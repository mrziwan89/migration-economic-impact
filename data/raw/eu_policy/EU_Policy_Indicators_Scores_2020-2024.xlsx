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utreach\Desktop\MIPEX_UPDATE_website_countries report\DATA Export\"/>
    </mc:Choice>
  </mc:AlternateContent>
  <xr:revisionPtr revIDLastSave="0" documentId="13_ncr:1_{3DE98CDC-0AE7-4426-9931-E6EB69D20A97}" xr6:coauthVersionLast="47" xr6:coauthVersionMax="47" xr10:uidLastSave="{00000000-0000-0000-0000-000000000000}"/>
  <bookViews>
    <workbookView xWindow="28680" yWindow="-120" windowWidth="29040" windowHeight="15720" firstSheet="1" activeTab="3" xr2:uid="{00000000-000D-0000-FFFF-FFFF00000000}"/>
  </bookViews>
  <sheets>
    <sheet name="AT" sheetId="2" r:id="rId1"/>
    <sheet name="BE" sheetId="3" r:id="rId2"/>
    <sheet name="BG" sheetId="4" r:id="rId3"/>
    <sheet name="CA" sheetId="31" r:id="rId4"/>
    <sheet name="CY" sheetId="5" r:id="rId5"/>
    <sheet name="CZ" sheetId="7" r:id="rId6"/>
    <sheet name="DE" sheetId="30" r:id="rId7"/>
    <sheet name="DK" sheetId="8" r:id="rId8"/>
    <sheet name="EE" sheetId="9" r:id="rId9"/>
    <sheet name="ES" sheetId="11" r:id="rId10"/>
    <sheet name="FI" sheetId="12" r:id="rId11"/>
    <sheet name="FR" sheetId="13" r:id="rId12"/>
    <sheet name="GR" sheetId="14" r:id="rId13"/>
    <sheet name="HR" sheetId="6" r:id="rId14"/>
    <sheet name="HU" sheetId="15" r:id="rId15"/>
    <sheet name="IE" sheetId="29" r:id="rId16"/>
    <sheet name="IT" sheetId="17" r:id="rId17"/>
    <sheet name="LT" sheetId="18" r:id="rId18"/>
    <sheet name="LU" sheetId="19" r:id="rId19"/>
    <sheet name="LV" sheetId="20" r:id="rId20"/>
    <sheet name="MT" sheetId="21" r:id="rId21"/>
    <sheet name="NL" sheetId="22" r:id="rId22"/>
    <sheet name="PL" sheetId="23" r:id="rId23"/>
    <sheet name="PT" sheetId="24" r:id="rId24"/>
    <sheet name="RO" sheetId="25" r:id="rId25"/>
    <sheet name="SK" sheetId="28" r:id="rId26"/>
    <sheet name="SE" sheetId="26" r:id="rId27"/>
    <sheet name="SI" sheetId="27" r:id="rId28"/>
  </sheets>
  <definedNames>
    <definedName name="_xlnm.Print_Area" localSheetId="0">AT!$A$8:$AJ$18</definedName>
    <definedName name="_xlnm.Print_Area" localSheetId="1">BE!$A$9:$AJ$19</definedName>
    <definedName name="_xlnm.Print_Area" localSheetId="2">BG!$A$8:$AJ$18</definedName>
    <definedName name="_xlnm.Print_Area" localSheetId="3">CA!$A$9:$AJ$19</definedName>
    <definedName name="_xlnm.Print_Area" localSheetId="4">CY!$A$9:$AJ$19</definedName>
    <definedName name="_xlnm.Print_Area" localSheetId="5">CZ!$A$9:$AJ$19</definedName>
    <definedName name="_xlnm.Print_Area" localSheetId="6">DE!$A$9:$AJ$19</definedName>
    <definedName name="_xlnm.Print_Area" localSheetId="7">DK!$A$9:$AJ$19</definedName>
    <definedName name="_xlnm.Print_Area" localSheetId="8">EE!$A$9:$AJ$19</definedName>
    <definedName name="_xlnm.Print_Area" localSheetId="9">ES!$A$9:$AJ$19</definedName>
    <definedName name="_xlnm.Print_Area" localSheetId="10">FI!$A$9:$AJ$19</definedName>
    <definedName name="_xlnm.Print_Area" localSheetId="11">FR!$A$9:$AJ$19</definedName>
    <definedName name="_xlnm.Print_Area" localSheetId="12">GR!$A$9:$AJ$19</definedName>
    <definedName name="_xlnm.Print_Area" localSheetId="13">HR!$A$8:$AJ$18</definedName>
    <definedName name="_xlnm.Print_Area" localSheetId="14">HU!$A$8:$AJ$18</definedName>
    <definedName name="_xlnm.Print_Area" localSheetId="15">IE!$A$8:$AJ$18</definedName>
    <definedName name="_xlnm.Print_Area" localSheetId="16">IT!$A$8:$AJ$18</definedName>
    <definedName name="_xlnm.Print_Area" localSheetId="17">LT!$A$8:$AJ$18</definedName>
    <definedName name="_xlnm.Print_Area" localSheetId="18">LU!$A$9:$AJ$19</definedName>
    <definedName name="_xlnm.Print_Area" localSheetId="19">LV!$A$8:$AJ$18</definedName>
    <definedName name="_xlnm.Print_Area" localSheetId="20">MT!$A$9:$AJ$19</definedName>
    <definedName name="_xlnm.Print_Area" localSheetId="21">NL!$A$8:$AJ$18</definedName>
    <definedName name="_xlnm.Print_Area" localSheetId="22">PL!$A$9:$AJ$19</definedName>
    <definedName name="_xlnm.Print_Area" localSheetId="23">PT!$A$8:$AJ$18</definedName>
    <definedName name="_xlnm.Print_Area" localSheetId="24">RO!$A$8:$AJ$18</definedName>
    <definedName name="_xlnm.Print_Area" localSheetId="26">SE!$A$8:$AJ$18</definedName>
    <definedName name="_xlnm.Print_Area" localSheetId="27">SI!$A$9:$AJ$19</definedName>
    <definedName name="_xlnm.Print_Area" localSheetId="25">SK!$A$8:$AJ$18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22" l="1"/>
  <c r="B77" i="22"/>
  <c r="B27" i="22" l="1"/>
  <c r="B3" i="22" s="1"/>
  <c r="B4" i="22"/>
  <c r="B6" i="22"/>
  <c r="B90" i="22"/>
  <c r="B111" i="30"/>
  <c r="B110" i="30"/>
  <c r="B109" i="30"/>
  <c r="B108" i="30"/>
  <c r="B107" i="30"/>
  <c r="H98" i="30"/>
  <c r="B98" i="30"/>
  <c r="H97" i="30"/>
  <c r="B97" i="30" s="1"/>
  <c r="H96" i="30"/>
  <c r="B96" i="30"/>
  <c r="H95" i="30"/>
  <c r="B95" i="30" s="1"/>
  <c r="H94" i="30"/>
  <c r="B94" i="30"/>
  <c r="K85" i="30"/>
  <c r="B85" i="30" s="1"/>
  <c r="K84" i="30"/>
  <c r="B84" i="30"/>
  <c r="K83" i="30"/>
  <c r="B83" i="30" s="1"/>
  <c r="K82" i="30"/>
  <c r="B82" i="30"/>
  <c r="K81" i="30"/>
  <c r="B81" i="30" s="1"/>
  <c r="D3" i="30" s="1"/>
  <c r="B72" i="30"/>
  <c r="B71" i="30"/>
  <c r="B70" i="30"/>
  <c r="B69" i="30"/>
  <c r="B68" i="30"/>
  <c r="B59" i="30"/>
  <c r="B58" i="30"/>
  <c r="B57" i="30"/>
  <c r="B56" i="30"/>
  <c r="B55" i="30"/>
  <c r="N46" i="30"/>
  <c r="B46" i="30" s="1"/>
  <c r="N45" i="30"/>
  <c r="B45" i="30"/>
  <c r="N44" i="30"/>
  <c r="B44" i="30" s="1"/>
  <c r="N43" i="30"/>
  <c r="B43" i="30"/>
  <c r="N42" i="30"/>
  <c r="B42" i="30" s="1"/>
  <c r="AF33" i="30"/>
  <c r="B33" i="30"/>
  <c r="AF32" i="30"/>
  <c r="B32" i="30" s="1"/>
  <c r="AF31" i="30"/>
  <c r="B31" i="30"/>
  <c r="AF30" i="30"/>
  <c r="B30" i="30" s="1"/>
  <c r="AF29" i="30"/>
  <c r="B29" i="30"/>
  <c r="B20" i="30"/>
  <c r="B19" i="30"/>
  <c r="B18" i="30"/>
  <c r="B17" i="30"/>
  <c r="D4" i="30" s="1"/>
  <c r="B16" i="30"/>
  <c r="C3" i="30" s="1"/>
  <c r="B102" i="29"/>
  <c r="B101" i="29"/>
  <c r="B100" i="29"/>
  <c r="B99" i="29"/>
  <c r="H90" i="29"/>
  <c r="B90" i="29" s="1"/>
  <c r="H89" i="29"/>
  <c r="B89" i="29"/>
  <c r="H88" i="29"/>
  <c r="B88" i="29" s="1"/>
  <c r="B4" i="29" s="1"/>
  <c r="H87" i="29"/>
  <c r="B87" i="29"/>
  <c r="K78" i="29"/>
  <c r="B78" i="29"/>
  <c r="K77" i="29"/>
  <c r="B77" i="29"/>
  <c r="K76" i="29"/>
  <c r="B76" i="29"/>
  <c r="K75" i="29"/>
  <c r="B75" i="29"/>
  <c r="B66" i="29"/>
  <c r="B65" i="29"/>
  <c r="B64" i="29"/>
  <c r="B63" i="29"/>
  <c r="B54" i="29"/>
  <c r="B53" i="29"/>
  <c r="B52" i="29"/>
  <c r="B51" i="29"/>
  <c r="N42" i="29"/>
  <c r="B42" i="29"/>
  <c r="N41" i="29"/>
  <c r="B41" i="29"/>
  <c r="N40" i="29"/>
  <c r="B40" i="29"/>
  <c r="N39" i="29"/>
  <c r="B39" i="29"/>
  <c r="AF30" i="29"/>
  <c r="B30" i="29"/>
  <c r="AF29" i="29"/>
  <c r="B29" i="29"/>
  <c r="AF28" i="29"/>
  <c r="B28" i="29"/>
  <c r="AF27" i="29"/>
  <c r="B27" i="29"/>
  <c r="B18" i="29"/>
  <c r="B17" i="29"/>
  <c r="D5" i="29" s="1"/>
  <c r="B16" i="29"/>
  <c r="B15" i="29"/>
  <c r="B5" i="29"/>
  <c r="D3" i="29"/>
  <c r="C3" i="29"/>
  <c r="B3" i="29"/>
  <c r="B102" i="28"/>
  <c r="B101" i="28"/>
  <c r="B100" i="28"/>
  <c r="B99" i="28"/>
  <c r="H90" i="28"/>
  <c r="B90" i="28"/>
  <c r="H89" i="28"/>
  <c r="B89" i="28"/>
  <c r="H88" i="28"/>
  <c r="B88" i="28" s="1"/>
  <c r="H87" i="28"/>
  <c r="B87" i="28"/>
  <c r="K78" i="28"/>
  <c r="B78" i="28"/>
  <c r="K77" i="28"/>
  <c r="B77" i="28"/>
  <c r="K76" i="28"/>
  <c r="B76" i="28" s="1"/>
  <c r="K75" i="28"/>
  <c r="B75" i="28"/>
  <c r="B66" i="28"/>
  <c r="B65" i="28"/>
  <c r="B64" i="28"/>
  <c r="B63" i="28"/>
  <c r="B54" i="28"/>
  <c r="B53" i="28"/>
  <c r="B52" i="28"/>
  <c r="B51" i="28"/>
  <c r="N42" i="28"/>
  <c r="B42" i="28"/>
  <c r="N41" i="28"/>
  <c r="B41" i="28"/>
  <c r="N40" i="28"/>
  <c r="B40" i="28" s="1"/>
  <c r="N39" i="28"/>
  <c r="B39" i="28"/>
  <c r="AF30" i="28"/>
  <c r="B30" i="28"/>
  <c r="C6" i="28" s="1"/>
  <c r="AF29" i="28"/>
  <c r="B29" i="28"/>
  <c r="AF28" i="28"/>
  <c r="B28" i="28" s="1"/>
  <c r="AF27" i="28"/>
  <c r="B27" i="28"/>
  <c r="B18" i="28"/>
  <c r="B6" i="28" s="1"/>
  <c r="B17" i="28"/>
  <c r="D5" i="28" s="1"/>
  <c r="B16" i="28"/>
  <c r="B15" i="28"/>
  <c r="D3" i="28" s="1"/>
  <c r="D6" i="28"/>
  <c r="C5" i="30" l="1"/>
  <c r="B5" i="30"/>
  <c r="C6" i="30"/>
  <c r="D6" i="30"/>
  <c r="B6" i="30"/>
  <c r="D5" i="30"/>
  <c r="B4" i="30"/>
  <c r="C4" i="30"/>
  <c r="C7" i="30"/>
  <c r="D7" i="30"/>
  <c r="B7" i="30"/>
  <c r="B3" i="30"/>
  <c r="D6" i="29"/>
  <c r="D4" i="29"/>
  <c r="B6" i="29"/>
  <c r="C4" i="29"/>
  <c r="C5" i="29"/>
  <c r="C6" i="29"/>
  <c r="C4" i="28"/>
  <c r="D4" i="28"/>
  <c r="B4" i="28"/>
  <c r="C5" i="28"/>
  <c r="B5" i="28"/>
  <c r="C3" i="28"/>
  <c r="B3" i="28"/>
  <c r="B111" i="27" l="1"/>
  <c r="B110" i="27"/>
  <c r="B109" i="27"/>
  <c r="B108" i="27"/>
  <c r="B107" i="27"/>
  <c r="H98" i="27"/>
  <c r="B98" i="27" s="1"/>
  <c r="H97" i="27"/>
  <c r="B97" i="27"/>
  <c r="H96" i="27"/>
  <c r="B96" i="27" s="1"/>
  <c r="H95" i="27"/>
  <c r="B95" i="27"/>
  <c r="H94" i="27"/>
  <c r="B94" i="27" s="1"/>
  <c r="K85" i="27"/>
  <c r="B85" i="27"/>
  <c r="K84" i="27"/>
  <c r="B84" i="27" s="1"/>
  <c r="K83" i="27"/>
  <c r="B83" i="27"/>
  <c r="K82" i="27"/>
  <c r="B82" i="27" s="1"/>
  <c r="D4" i="27" s="1"/>
  <c r="K81" i="27"/>
  <c r="B81" i="27"/>
  <c r="B72" i="27"/>
  <c r="B71" i="27"/>
  <c r="B70" i="27"/>
  <c r="B69" i="27"/>
  <c r="B68" i="27"/>
  <c r="B59" i="27"/>
  <c r="B58" i="27"/>
  <c r="B57" i="27"/>
  <c r="B56" i="27"/>
  <c r="B55" i="27"/>
  <c r="N46" i="27"/>
  <c r="B46" i="27"/>
  <c r="N45" i="27"/>
  <c r="B45" i="27" s="1"/>
  <c r="N44" i="27"/>
  <c r="B44" i="27"/>
  <c r="N43" i="27"/>
  <c r="B43" i="27" s="1"/>
  <c r="B4" i="27" s="1"/>
  <c r="N42" i="27"/>
  <c r="B42" i="27"/>
  <c r="AF33" i="27"/>
  <c r="B33" i="27" s="1"/>
  <c r="C7" i="27" s="1"/>
  <c r="AF32" i="27"/>
  <c r="B32" i="27"/>
  <c r="AF31" i="27"/>
  <c r="B31" i="27"/>
  <c r="AF30" i="27"/>
  <c r="B30" i="27"/>
  <c r="C4" i="27" s="1"/>
  <c r="AF29" i="27"/>
  <c r="B29" i="27" s="1"/>
  <c r="B20" i="27"/>
  <c r="B19" i="27"/>
  <c r="B18" i="27"/>
  <c r="B17" i="27"/>
  <c r="B16" i="27"/>
  <c r="C3" i="27" l="1"/>
  <c r="D3" i="27"/>
  <c r="B3" i="27"/>
  <c r="B6" i="27"/>
  <c r="D7" i="27"/>
  <c r="D5" i="27"/>
  <c r="B5" i="27"/>
  <c r="C6" i="27"/>
  <c r="D6" i="27"/>
  <c r="B7" i="27"/>
  <c r="C5" i="27"/>
  <c r="B102" i="26" l="1"/>
  <c r="B101" i="26"/>
  <c r="B100" i="26"/>
  <c r="B99" i="26"/>
  <c r="H90" i="26"/>
  <c r="B90" i="26" s="1"/>
  <c r="D6" i="26" s="1"/>
  <c r="H89" i="26"/>
  <c r="B89" i="26"/>
  <c r="H88" i="26"/>
  <c r="B88" i="26" s="1"/>
  <c r="H87" i="26"/>
  <c r="B87" i="26"/>
  <c r="K78" i="26"/>
  <c r="B78" i="26"/>
  <c r="K77" i="26"/>
  <c r="B77" i="26"/>
  <c r="K76" i="26"/>
  <c r="B76" i="26" s="1"/>
  <c r="K75" i="26"/>
  <c r="B75" i="26"/>
  <c r="B66" i="26"/>
  <c r="B65" i="26"/>
  <c r="B64" i="26"/>
  <c r="B63" i="26"/>
  <c r="B54" i="26"/>
  <c r="B53" i="26"/>
  <c r="B52" i="26"/>
  <c r="B51" i="26"/>
  <c r="N42" i="26"/>
  <c r="B42" i="26"/>
  <c r="N41" i="26"/>
  <c r="B41" i="26"/>
  <c r="N40" i="26"/>
  <c r="B40" i="26" s="1"/>
  <c r="N39" i="26"/>
  <c r="B39" i="26"/>
  <c r="AF30" i="26"/>
  <c r="B30" i="26"/>
  <c r="AF29" i="26"/>
  <c r="B29" i="26"/>
  <c r="AF28" i="26"/>
  <c r="B28" i="26" s="1"/>
  <c r="AF27" i="26"/>
  <c r="B27" i="26"/>
  <c r="B18" i="26"/>
  <c r="B17" i="26"/>
  <c r="D5" i="26" s="1"/>
  <c r="B16" i="26"/>
  <c r="B15" i="26"/>
  <c r="D3" i="26" s="1"/>
  <c r="B5" i="26"/>
  <c r="C6" i="26" l="1"/>
  <c r="D4" i="26"/>
  <c r="C4" i="26"/>
  <c r="B4" i="26"/>
  <c r="C5" i="26"/>
  <c r="C3" i="26"/>
  <c r="B6" i="26"/>
  <c r="B3" i="26"/>
  <c r="B102" i="25"/>
  <c r="B101" i="25"/>
  <c r="B100" i="25"/>
  <c r="B99" i="25"/>
  <c r="H90" i="25"/>
  <c r="B90" i="25"/>
  <c r="H89" i="25"/>
  <c r="B89" i="25"/>
  <c r="H88" i="25"/>
  <c r="B88" i="25"/>
  <c r="H87" i="25"/>
  <c r="B87" i="25"/>
  <c r="K78" i="25"/>
  <c r="B78" i="25"/>
  <c r="K77" i="25"/>
  <c r="B77" i="25"/>
  <c r="K76" i="25"/>
  <c r="B76" i="25"/>
  <c r="K75" i="25"/>
  <c r="B75" i="25"/>
  <c r="B66" i="25"/>
  <c r="B65" i="25"/>
  <c r="B64" i="25"/>
  <c r="B63" i="25"/>
  <c r="B54" i="25"/>
  <c r="B53" i="25"/>
  <c r="B5" i="25" s="1"/>
  <c r="B52" i="25"/>
  <c r="B51" i="25"/>
  <c r="N42" i="25"/>
  <c r="B42" i="25"/>
  <c r="N41" i="25"/>
  <c r="B41" i="25"/>
  <c r="N40" i="25"/>
  <c r="B40" i="25"/>
  <c r="N39" i="25"/>
  <c r="B39" i="25"/>
  <c r="AF30" i="25"/>
  <c r="B30" i="25"/>
  <c r="AF29" i="25"/>
  <c r="B29" i="25"/>
  <c r="AF28" i="25"/>
  <c r="B28" i="25"/>
  <c r="B4" i="25" s="1"/>
  <c r="AF27" i="25"/>
  <c r="B27" i="25"/>
  <c r="B18" i="25"/>
  <c r="B6" i="25" s="1"/>
  <c r="B17" i="25"/>
  <c r="D5" i="25" s="1"/>
  <c r="B16" i="25"/>
  <c r="B15" i="25"/>
  <c r="C3" i="25" s="1"/>
  <c r="D6" i="25"/>
  <c r="C6" i="25"/>
  <c r="D3" i="25"/>
  <c r="B3" i="25"/>
  <c r="C4" i="25" l="1"/>
  <c r="D4" i="25"/>
  <c r="C5" i="25"/>
  <c r="B102" i="24" l="1"/>
  <c r="B101" i="24"/>
  <c r="B100" i="24"/>
  <c r="B99" i="24"/>
  <c r="H90" i="24"/>
  <c r="B90" i="24"/>
  <c r="H89" i="24"/>
  <c r="B89" i="24"/>
  <c r="H88" i="24"/>
  <c r="B88" i="24" s="1"/>
  <c r="H87" i="24"/>
  <c r="B87" i="24"/>
  <c r="K78" i="24"/>
  <c r="B78" i="24"/>
  <c r="K77" i="24"/>
  <c r="B77" i="24"/>
  <c r="K76" i="24"/>
  <c r="B76" i="24" s="1"/>
  <c r="K75" i="24"/>
  <c r="B75" i="24"/>
  <c r="B66" i="24"/>
  <c r="B65" i="24"/>
  <c r="B64" i="24"/>
  <c r="B63" i="24"/>
  <c r="B54" i="24"/>
  <c r="B53" i="24"/>
  <c r="B52" i="24"/>
  <c r="B51" i="24"/>
  <c r="N42" i="24"/>
  <c r="B42" i="24"/>
  <c r="N41" i="24"/>
  <c r="B41" i="24"/>
  <c r="N40" i="24"/>
  <c r="B40" i="24" s="1"/>
  <c r="N39" i="24"/>
  <c r="B39" i="24"/>
  <c r="AF30" i="24"/>
  <c r="B30" i="24"/>
  <c r="AF29" i="24"/>
  <c r="B29" i="24"/>
  <c r="AF28" i="24"/>
  <c r="B28" i="24" s="1"/>
  <c r="AF27" i="24"/>
  <c r="B27" i="24"/>
  <c r="B18" i="24"/>
  <c r="C6" i="24" s="1"/>
  <c r="B17" i="24"/>
  <c r="D5" i="24" s="1"/>
  <c r="B16" i="24"/>
  <c r="B15" i="24"/>
  <c r="D3" i="24" s="1"/>
  <c r="D6" i="24"/>
  <c r="B5" i="24"/>
  <c r="B4" i="24" l="1"/>
  <c r="D4" i="24"/>
  <c r="C4" i="24"/>
  <c r="C3" i="24"/>
  <c r="B6" i="24"/>
  <c r="C5" i="24"/>
  <c r="B3" i="24"/>
  <c r="B111" i="23"/>
  <c r="B110" i="23"/>
  <c r="B109" i="23"/>
  <c r="B108" i="23"/>
  <c r="B107" i="23"/>
  <c r="H98" i="23"/>
  <c r="B98" i="23"/>
  <c r="H97" i="23"/>
  <c r="B97" i="23" s="1"/>
  <c r="H96" i="23"/>
  <c r="B96" i="23"/>
  <c r="H95" i="23"/>
  <c r="B95" i="23"/>
  <c r="H94" i="23"/>
  <c r="B94" i="23"/>
  <c r="K85" i="23"/>
  <c r="B85" i="23" s="1"/>
  <c r="K84" i="23"/>
  <c r="B84" i="23" s="1"/>
  <c r="K83" i="23"/>
  <c r="B83" i="23"/>
  <c r="K82" i="23"/>
  <c r="B82" i="23"/>
  <c r="K81" i="23"/>
  <c r="B81" i="23" s="1"/>
  <c r="B72" i="23"/>
  <c r="B71" i="23"/>
  <c r="B70" i="23"/>
  <c r="B69" i="23"/>
  <c r="B68" i="23"/>
  <c r="B59" i="23"/>
  <c r="B58" i="23"/>
  <c r="B57" i="23"/>
  <c r="B56" i="23"/>
  <c r="B55" i="23"/>
  <c r="N46" i="23"/>
  <c r="B46" i="23"/>
  <c r="N45" i="23"/>
  <c r="B45" i="23"/>
  <c r="N44" i="23"/>
  <c r="B44" i="23" s="1"/>
  <c r="N43" i="23"/>
  <c r="B43" i="23" s="1"/>
  <c r="N42" i="23"/>
  <c r="B42" i="23"/>
  <c r="AF33" i="23"/>
  <c r="B33" i="23"/>
  <c r="AF32" i="23"/>
  <c r="B32" i="23" s="1"/>
  <c r="AF31" i="23"/>
  <c r="B31" i="23" s="1"/>
  <c r="AF30" i="23"/>
  <c r="B30" i="23"/>
  <c r="AF29" i="23"/>
  <c r="B29" i="23"/>
  <c r="B3" i="23" s="1"/>
  <c r="B20" i="23"/>
  <c r="D7" i="23" s="1"/>
  <c r="B19" i="23"/>
  <c r="B18" i="23"/>
  <c r="D5" i="23" s="1"/>
  <c r="B17" i="23"/>
  <c r="D4" i="23" s="1"/>
  <c r="B16" i="23"/>
  <c r="D3" i="23" l="1"/>
  <c r="C3" i="23"/>
  <c r="C4" i="23"/>
  <c r="B4" i="23"/>
  <c r="C6" i="23"/>
  <c r="B6" i="23"/>
  <c r="D6" i="23"/>
  <c r="B7" i="23"/>
  <c r="C7" i="23"/>
  <c r="B5" i="23"/>
  <c r="C5" i="23"/>
  <c r="B102" i="22" l="1"/>
  <c r="B101" i="22"/>
  <c r="B100" i="22"/>
  <c r="B99" i="22"/>
  <c r="H90" i="22"/>
  <c r="H89" i="22"/>
  <c r="B89" i="22" s="1"/>
  <c r="H88" i="22"/>
  <c r="B88" i="22"/>
  <c r="H87" i="22"/>
  <c r="B87" i="22"/>
  <c r="K78" i="22"/>
  <c r="B78" i="22"/>
  <c r="K77" i="22"/>
  <c r="K76" i="22"/>
  <c r="B76" i="22"/>
  <c r="K75" i="22"/>
  <c r="B75" i="22"/>
  <c r="B66" i="22"/>
  <c r="B65" i="22"/>
  <c r="B64" i="22"/>
  <c r="B63" i="22"/>
  <c r="B54" i="22"/>
  <c r="B53" i="22"/>
  <c r="B52" i="22"/>
  <c r="B51" i="22"/>
  <c r="N42" i="22"/>
  <c r="B42" i="22"/>
  <c r="N41" i="22"/>
  <c r="B41" i="22"/>
  <c r="N40" i="22"/>
  <c r="B40" i="22"/>
  <c r="N39" i="22"/>
  <c r="B39" i="22"/>
  <c r="AF30" i="22"/>
  <c r="B30" i="22"/>
  <c r="C6" i="22" s="1"/>
  <c r="AF29" i="22"/>
  <c r="B5" i="22"/>
  <c r="AF28" i="22"/>
  <c r="B28" i="22"/>
  <c r="AF27" i="22"/>
  <c r="B18" i="22"/>
  <c r="D6" i="22" s="1"/>
  <c r="B17" i="22"/>
  <c r="B16" i="22"/>
  <c r="B15" i="22"/>
  <c r="D3" i="22" s="1"/>
  <c r="C4" i="22"/>
  <c r="D5" i="22" l="1"/>
  <c r="D4" i="22"/>
  <c r="C5" i="22"/>
  <c r="C3" i="22"/>
  <c r="B111" i="21" l="1"/>
  <c r="B110" i="21"/>
  <c r="B109" i="21"/>
  <c r="B108" i="21"/>
  <c r="B107" i="21"/>
  <c r="H98" i="21"/>
  <c r="B98" i="21"/>
  <c r="H97" i="21"/>
  <c r="B97" i="21"/>
  <c r="H96" i="21"/>
  <c r="B96" i="21"/>
  <c r="H95" i="21"/>
  <c r="B95" i="21" s="1"/>
  <c r="H94" i="21"/>
  <c r="B94" i="21"/>
  <c r="K85" i="21"/>
  <c r="B85" i="21"/>
  <c r="K84" i="21"/>
  <c r="B84" i="21"/>
  <c r="K83" i="21"/>
  <c r="B83" i="21"/>
  <c r="K82" i="21"/>
  <c r="B82" i="21"/>
  <c r="K81" i="21"/>
  <c r="B81" i="21"/>
  <c r="B72" i="21"/>
  <c r="B71" i="21"/>
  <c r="B70" i="21"/>
  <c r="B69" i="21"/>
  <c r="B68" i="21"/>
  <c r="B59" i="21"/>
  <c r="B58" i="21"/>
  <c r="B57" i="21"/>
  <c r="B56" i="21"/>
  <c r="B55" i="21"/>
  <c r="N46" i="21"/>
  <c r="B46" i="21"/>
  <c r="N45" i="21"/>
  <c r="B45" i="21"/>
  <c r="N44" i="21"/>
  <c r="B44" i="21"/>
  <c r="N43" i="21"/>
  <c r="B43" i="21"/>
  <c r="N42" i="21"/>
  <c r="B42" i="21"/>
  <c r="AF33" i="21"/>
  <c r="B33" i="21"/>
  <c r="AF32" i="21"/>
  <c r="B32" i="21"/>
  <c r="AF31" i="21"/>
  <c r="B31" i="21"/>
  <c r="C5" i="21" s="1"/>
  <c r="AF30" i="21"/>
  <c r="B30" i="21"/>
  <c r="AF29" i="21"/>
  <c r="B29" i="21"/>
  <c r="C3" i="21" s="1"/>
  <c r="B20" i="21"/>
  <c r="D7" i="21" s="1"/>
  <c r="B19" i="21"/>
  <c r="B6" i="21" s="1"/>
  <c r="B18" i="21"/>
  <c r="B17" i="21"/>
  <c r="C4" i="21" s="1"/>
  <c r="B16" i="21"/>
  <c r="C6" i="21"/>
  <c r="D5" i="21"/>
  <c r="D3" i="21"/>
  <c r="B3" i="21"/>
  <c r="D6" i="21" l="1"/>
  <c r="B7" i="21"/>
  <c r="D4" i="21"/>
  <c r="C7" i="21"/>
  <c r="B4" i="21"/>
  <c r="B5" i="21"/>
  <c r="B102" i="20"/>
  <c r="B101" i="20"/>
  <c r="B100" i="20"/>
  <c r="B99" i="20"/>
  <c r="H90" i="20"/>
  <c r="B90" i="20" s="1"/>
  <c r="C6" i="20" s="1"/>
  <c r="H89" i="20"/>
  <c r="B89" i="20"/>
  <c r="H88" i="20"/>
  <c r="B88" i="20"/>
  <c r="H87" i="20"/>
  <c r="B87" i="20"/>
  <c r="K78" i="20"/>
  <c r="B78" i="20"/>
  <c r="K77" i="20"/>
  <c r="B77" i="20"/>
  <c r="K76" i="20"/>
  <c r="B76" i="20"/>
  <c r="K75" i="20"/>
  <c r="B75" i="20"/>
  <c r="B66" i="20"/>
  <c r="B65" i="20"/>
  <c r="B64" i="20"/>
  <c r="B63" i="20"/>
  <c r="B54" i="20"/>
  <c r="B53" i="20"/>
  <c r="B52" i="20"/>
  <c r="B51" i="20"/>
  <c r="N42" i="20"/>
  <c r="B42" i="20"/>
  <c r="N41" i="20"/>
  <c r="B41" i="20"/>
  <c r="N40" i="20"/>
  <c r="B40" i="20"/>
  <c r="N39" i="20"/>
  <c r="B39" i="20"/>
  <c r="AF30" i="20"/>
  <c r="B30" i="20"/>
  <c r="AF29" i="20"/>
  <c r="B29" i="20"/>
  <c r="B5" i="20" s="1"/>
  <c r="AF28" i="20"/>
  <c r="B28" i="20"/>
  <c r="C4" i="20" s="1"/>
  <c r="AF27" i="20"/>
  <c r="B27" i="20"/>
  <c r="B18" i="20"/>
  <c r="B17" i="20"/>
  <c r="D5" i="20" s="1"/>
  <c r="B16" i="20"/>
  <c r="B4" i="20" s="1"/>
  <c r="B15" i="20"/>
  <c r="C3" i="20" s="1"/>
  <c r="D3" i="20"/>
  <c r="D6" i="20" l="1"/>
  <c r="D4" i="20"/>
  <c r="C5" i="20"/>
  <c r="B3" i="20"/>
  <c r="B6" i="20"/>
  <c r="B111" i="19" l="1"/>
  <c r="B110" i="19"/>
  <c r="B109" i="19"/>
  <c r="B108" i="19"/>
  <c r="B107" i="19"/>
  <c r="H98" i="19"/>
  <c r="B98" i="19"/>
  <c r="H97" i="19"/>
  <c r="B97" i="19"/>
  <c r="H96" i="19"/>
  <c r="B96" i="19"/>
  <c r="H95" i="19"/>
  <c r="B95" i="19" s="1"/>
  <c r="H94" i="19"/>
  <c r="B94" i="19"/>
  <c r="K85" i="19"/>
  <c r="B85" i="19"/>
  <c r="K84" i="19"/>
  <c r="B84" i="19"/>
  <c r="K83" i="19"/>
  <c r="B83" i="19" s="1"/>
  <c r="K82" i="19"/>
  <c r="B82" i="19"/>
  <c r="K81" i="19"/>
  <c r="B81" i="19"/>
  <c r="B72" i="19"/>
  <c r="B71" i="19"/>
  <c r="B70" i="19"/>
  <c r="B69" i="19"/>
  <c r="B68" i="19"/>
  <c r="B59" i="19"/>
  <c r="B58" i="19"/>
  <c r="B57" i="19"/>
  <c r="D5" i="19" s="1"/>
  <c r="B56" i="19"/>
  <c r="B55" i="19"/>
  <c r="N46" i="19"/>
  <c r="B46" i="19" s="1"/>
  <c r="N45" i="19"/>
  <c r="B45" i="19"/>
  <c r="N44" i="19"/>
  <c r="B44" i="19"/>
  <c r="C5" i="19" s="1"/>
  <c r="N43" i="19"/>
  <c r="B43" i="19"/>
  <c r="N42" i="19"/>
  <c r="B42" i="19"/>
  <c r="AF33" i="19"/>
  <c r="B33" i="19"/>
  <c r="AF32" i="19"/>
  <c r="B32" i="19"/>
  <c r="AF31" i="19"/>
  <c r="B31" i="19"/>
  <c r="AF30" i="19"/>
  <c r="B30" i="19"/>
  <c r="AF29" i="19"/>
  <c r="B29" i="19"/>
  <c r="B20" i="19"/>
  <c r="D7" i="19" s="1"/>
  <c r="B19" i="19"/>
  <c r="B6" i="19" s="1"/>
  <c r="B18" i="19"/>
  <c r="B17" i="19"/>
  <c r="B16" i="19"/>
  <c r="C3" i="19" s="1"/>
  <c r="D3" i="19"/>
  <c r="C4" i="19" l="1"/>
  <c r="B4" i="19"/>
  <c r="D4" i="19"/>
  <c r="C7" i="19"/>
  <c r="C6" i="19"/>
  <c r="B7" i="19"/>
  <c r="B5" i="19"/>
  <c r="B3" i="19"/>
  <c r="D6" i="19"/>
  <c r="B102" i="18" l="1"/>
  <c r="B101" i="18"/>
  <c r="B100" i="18"/>
  <c r="B99" i="18"/>
  <c r="H90" i="18"/>
  <c r="B90" i="18" s="1"/>
  <c r="H89" i="18"/>
  <c r="B89" i="18"/>
  <c r="H88" i="18"/>
  <c r="B88" i="18"/>
  <c r="H87" i="18"/>
  <c r="B87" i="18" s="1"/>
  <c r="K78" i="18"/>
  <c r="B78" i="18" s="1"/>
  <c r="K77" i="18"/>
  <c r="B77" i="18"/>
  <c r="K76" i="18"/>
  <c r="B76" i="18"/>
  <c r="K75" i="18"/>
  <c r="B75" i="18" s="1"/>
  <c r="B66" i="18"/>
  <c r="B65" i="18"/>
  <c r="B64" i="18"/>
  <c r="B63" i="18"/>
  <c r="B54" i="18"/>
  <c r="B53" i="18"/>
  <c r="B52" i="18"/>
  <c r="B51" i="18"/>
  <c r="N42" i="18"/>
  <c r="B42" i="18" s="1"/>
  <c r="N41" i="18"/>
  <c r="B41" i="18"/>
  <c r="N40" i="18"/>
  <c r="B40" i="18"/>
  <c r="N39" i="18"/>
  <c r="B39" i="18" s="1"/>
  <c r="AF30" i="18"/>
  <c r="B30" i="18" s="1"/>
  <c r="AF29" i="18"/>
  <c r="B29" i="18"/>
  <c r="C5" i="18" s="1"/>
  <c r="AF28" i="18"/>
  <c r="B28" i="18"/>
  <c r="D4" i="18" s="1"/>
  <c r="AF27" i="18"/>
  <c r="B27" i="18" s="1"/>
  <c r="B18" i="18"/>
  <c r="B17" i="18"/>
  <c r="D5" i="18" s="1"/>
  <c r="B16" i="18"/>
  <c r="B15" i="18"/>
  <c r="D3" i="18" l="1"/>
  <c r="C3" i="18"/>
  <c r="B3" i="18"/>
  <c r="D6" i="18"/>
  <c r="C6" i="18"/>
  <c r="B6" i="18"/>
  <c r="B4" i="18"/>
  <c r="C4" i="18"/>
  <c r="B5" i="18"/>
  <c r="B102" i="17" l="1"/>
  <c r="B101" i="17"/>
  <c r="B100" i="17"/>
  <c r="B99" i="17"/>
  <c r="H90" i="17"/>
  <c r="B90" i="17" s="1"/>
  <c r="C6" i="17" s="1"/>
  <c r="H89" i="17"/>
  <c r="B89" i="17"/>
  <c r="H88" i="17"/>
  <c r="B88" i="17"/>
  <c r="H87" i="17"/>
  <c r="B87" i="17"/>
  <c r="K78" i="17"/>
  <c r="B78" i="17"/>
  <c r="K77" i="17"/>
  <c r="B77" i="17"/>
  <c r="K76" i="17"/>
  <c r="B76" i="17"/>
  <c r="K75" i="17"/>
  <c r="B75" i="17"/>
  <c r="B66" i="17"/>
  <c r="B65" i="17"/>
  <c r="B64" i="17"/>
  <c r="B63" i="17"/>
  <c r="B54" i="17"/>
  <c r="B53" i="17"/>
  <c r="B52" i="17"/>
  <c r="B51" i="17"/>
  <c r="N42" i="17"/>
  <c r="B42" i="17"/>
  <c r="N41" i="17"/>
  <c r="B41" i="17"/>
  <c r="N40" i="17"/>
  <c r="B40" i="17"/>
  <c r="N39" i="17"/>
  <c r="B39" i="17"/>
  <c r="AF30" i="17"/>
  <c r="B30" i="17"/>
  <c r="AF29" i="17"/>
  <c r="B29" i="17"/>
  <c r="B5" i="17" s="1"/>
  <c r="AF28" i="17"/>
  <c r="B28" i="17"/>
  <c r="B4" i="17" s="1"/>
  <c r="AF27" i="17"/>
  <c r="B27" i="17"/>
  <c r="B18" i="17"/>
  <c r="B17" i="17"/>
  <c r="C5" i="17" s="1"/>
  <c r="B16" i="17"/>
  <c r="B15" i="17"/>
  <c r="C3" i="17" s="1"/>
  <c r="D3" i="17"/>
  <c r="D6" i="17" l="1"/>
  <c r="D4" i="17"/>
  <c r="C4" i="17"/>
  <c r="B3" i="17"/>
  <c r="D5" i="17"/>
  <c r="B6" i="17"/>
  <c r="B102" i="15" l="1"/>
  <c r="B101" i="15"/>
  <c r="B100" i="15"/>
  <c r="B99" i="15"/>
  <c r="H90" i="15"/>
  <c r="B90" i="15" s="1"/>
  <c r="H89" i="15"/>
  <c r="B89" i="15"/>
  <c r="H88" i="15"/>
  <c r="B88" i="15" s="1"/>
  <c r="H87" i="15"/>
  <c r="B87" i="15"/>
  <c r="K78" i="15"/>
  <c r="B78" i="15" s="1"/>
  <c r="K77" i="15"/>
  <c r="B77" i="15"/>
  <c r="K76" i="15"/>
  <c r="B76" i="15" s="1"/>
  <c r="K75" i="15"/>
  <c r="B75" i="15"/>
  <c r="B66" i="15"/>
  <c r="B65" i="15"/>
  <c r="B64" i="15"/>
  <c r="B63" i="15"/>
  <c r="B54" i="15"/>
  <c r="B53" i="15"/>
  <c r="B52" i="15"/>
  <c r="B51" i="15"/>
  <c r="N42" i="15"/>
  <c r="B42" i="15" s="1"/>
  <c r="N41" i="15"/>
  <c r="B41" i="15"/>
  <c r="N40" i="15"/>
  <c r="B40" i="15" s="1"/>
  <c r="N39" i="15"/>
  <c r="B39" i="15"/>
  <c r="AF30" i="15"/>
  <c r="B30" i="15" s="1"/>
  <c r="D6" i="15" s="1"/>
  <c r="AF29" i="15"/>
  <c r="B29" i="15"/>
  <c r="D5" i="15" s="1"/>
  <c r="AF28" i="15"/>
  <c r="B28" i="15" s="1"/>
  <c r="AF27" i="15"/>
  <c r="B27" i="15"/>
  <c r="B18" i="15"/>
  <c r="B17" i="15"/>
  <c r="B16" i="15"/>
  <c r="B15" i="15"/>
  <c r="D3" i="15" s="1"/>
  <c r="C6" i="15" l="1"/>
  <c r="C4" i="15"/>
  <c r="B4" i="15"/>
  <c r="D4" i="15"/>
  <c r="B5" i="15"/>
  <c r="B3" i="15"/>
  <c r="C3" i="15"/>
  <c r="B6" i="15"/>
  <c r="C5" i="15"/>
  <c r="B111" i="14" l="1"/>
  <c r="B110" i="14"/>
  <c r="B109" i="14"/>
  <c r="B108" i="14"/>
  <c r="B107" i="14"/>
  <c r="H98" i="14"/>
  <c r="B98" i="14" s="1"/>
  <c r="H97" i="14"/>
  <c r="B97" i="14"/>
  <c r="H96" i="14"/>
  <c r="B96" i="14" s="1"/>
  <c r="H95" i="14"/>
  <c r="B95" i="14"/>
  <c r="H94" i="14"/>
  <c r="B94" i="14" s="1"/>
  <c r="K85" i="14"/>
  <c r="B85" i="14"/>
  <c r="K84" i="14"/>
  <c r="B84" i="14" s="1"/>
  <c r="K83" i="14"/>
  <c r="B83" i="14"/>
  <c r="K82" i="14"/>
  <c r="B82" i="14" s="1"/>
  <c r="K81" i="14"/>
  <c r="B81" i="14"/>
  <c r="B72" i="14"/>
  <c r="B71" i="14"/>
  <c r="B70" i="14"/>
  <c r="B69" i="14"/>
  <c r="B68" i="14"/>
  <c r="B59" i="14"/>
  <c r="B58" i="14"/>
  <c r="B57" i="14"/>
  <c r="B56" i="14"/>
  <c r="B55" i="14"/>
  <c r="N46" i="14"/>
  <c r="B46" i="14"/>
  <c r="N45" i="14"/>
  <c r="B45" i="14" s="1"/>
  <c r="N44" i="14"/>
  <c r="B44" i="14"/>
  <c r="N43" i="14"/>
  <c r="B43" i="14" s="1"/>
  <c r="N42" i="14"/>
  <c r="B42" i="14"/>
  <c r="AF33" i="14"/>
  <c r="B33" i="14" s="1"/>
  <c r="AF32" i="14"/>
  <c r="B32" i="14"/>
  <c r="AF31" i="14"/>
  <c r="B31" i="14" s="1"/>
  <c r="AF30" i="14"/>
  <c r="B30" i="14"/>
  <c r="AF29" i="14"/>
  <c r="B29" i="14" s="1"/>
  <c r="B20" i="14"/>
  <c r="B7" i="14" s="1"/>
  <c r="B19" i="14"/>
  <c r="D6" i="14" s="1"/>
  <c r="B18" i="14"/>
  <c r="B17" i="14"/>
  <c r="B16" i="14"/>
  <c r="B3" i="14" s="1"/>
  <c r="C6" i="14" l="1"/>
  <c r="B6" i="14"/>
  <c r="D5" i="14"/>
  <c r="D7" i="14"/>
  <c r="C7" i="14"/>
  <c r="D4" i="14"/>
  <c r="C3" i="14"/>
  <c r="D3" i="14"/>
  <c r="C4" i="14"/>
  <c r="B4" i="14"/>
  <c r="B5" i="14"/>
  <c r="C5" i="14"/>
  <c r="B111" i="13" l="1"/>
  <c r="B110" i="13"/>
  <c r="B109" i="13"/>
  <c r="B108" i="13"/>
  <c r="B107" i="13"/>
  <c r="H98" i="13"/>
  <c r="B98" i="13" s="1"/>
  <c r="H97" i="13"/>
  <c r="B97" i="13"/>
  <c r="H96" i="13"/>
  <c r="B96" i="13" s="1"/>
  <c r="H95" i="13"/>
  <c r="B95" i="13"/>
  <c r="H94" i="13"/>
  <c r="B94" i="13" s="1"/>
  <c r="K85" i="13"/>
  <c r="B85" i="13"/>
  <c r="K84" i="13"/>
  <c r="B84" i="13" s="1"/>
  <c r="K83" i="13"/>
  <c r="B83" i="13"/>
  <c r="K82" i="13"/>
  <c r="B82" i="13" s="1"/>
  <c r="K81" i="13"/>
  <c r="B81" i="13"/>
  <c r="B72" i="13"/>
  <c r="B71" i="13"/>
  <c r="B70" i="13"/>
  <c r="B69" i="13"/>
  <c r="B68" i="13"/>
  <c r="B59" i="13"/>
  <c r="B58" i="13"/>
  <c r="B57" i="13"/>
  <c r="B56" i="13"/>
  <c r="B55" i="13"/>
  <c r="N46" i="13"/>
  <c r="B46" i="13"/>
  <c r="N45" i="13"/>
  <c r="B45" i="13" s="1"/>
  <c r="B6" i="13" s="1"/>
  <c r="N44" i="13"/>
  <c r="B44" i="13"/>
  <c r="N43" i="13"/>
  <c r="B43" i="13" s="1"/>
  <c r="N42" i="13"/>
  <c r="B42" i="13"/>
  <c r="AF33" i="13"/>
  <c r="B33" i="13" s="1"/>
  <c r="AF32" i="13"/>
  <c r="B32" i="13"/>
  <c r="AF31" i="13"/>
  <c r="B31" i="13" s="1"/>
  <c r="AF30" i="13"/>
  <c r="B30" i="13"/>
  <c r="AF29" i="13"/>
  <c r="B29" i="13" s="1"/>
  <c r="B20" i="13"/>
  <c r="D7" i="13" s="1"/>
  <c r="B19" i="13"/>
  <c r="B18" i="13"/>
  <c r="B17" i="13"/>
  <c r="B16" i="13"/>
  <c r="D5" i="13" l="1"/>
  <c r="C6" i="13"/>
  <c r="C7" i="13"/>
  <c r="B3" i="13"/>
  <c r="D3" i="13"/>
  <c r="C3" i="13"/>
  <c r="D4" i="13"/>
  <c r="C4" i="13"/>
  <c r="B4" i="13"/>
  <c r="D6" i="13"/>
  <c r="B7" i="13"/>
  <c r="C5" i="13"/>
  <c r="B5" i="13"/>
  <c r="B111" i="12" l="1"/>
  <c r="B110" i="12"/>
  <c r="B109" i="12"/>
  <c r="B108" i="12"/>
  <c r="B107" i="12"/>
  <c r="H98" i="12"/>
  <c r="B98" i="12" s="1"/>
  <c r="H97" i="12"/>
  <c r="B97" i="12"/>
  <c r="H96" i="12"/>
  <c r="B96" i="12" s="1"/>
  <c r="H95" i="12"/>
  <c r="B95" i="12"/>
  <c r="H94" i="12"/>
  <c r="B94" i="12" s="1"/>
  <c r="K85" i="12"/>
  <c r="B85" i="12"/>
  <c r="K84" i="12"/>
  <c r="B84" i="12" s="1"/>
  <c r="K83" i="12"/>
  <c r="B83" i="12"/>
  <c r="K82" i="12"/>
  <c r="B82" i="12" s="1"/>
  <c r="D4" i="12" s="1"/>
  <c r="K81" i="12"/>
  <c r="B81" i="12"/>
  <c r="B72" i="12"/>
  <c r="B71" i="12"/>
  <c r="B70" i="12"/>
  <c r="B69" i="12"/>
  <c r="B68" i="12"/>
  <c r="B59" i="12"/>
  <c r="B58" i="12"/>
  <c r="B57" i="12"/>
  <c r="B56" i="12"/>
  <c r="B55" i="12"/>
  <c r="N46" i="12"/>
  <c r="B46" i="12"/>
  <c r="N45" i="12"/>
  <c r="B45" i="12" s="1"/>
  <c r="B6" i="12" s="1"/>
  <c r="N44" i="12"/>
  <c r="B44" i="12"/>
  <c r="N43" i="12"/>
  <c r="B43" i="12" s="1"/>
  <c r="N42" i="12"/>
  <c r="B42" i="12"/>
  <c r="AF33" i="12"/>
  <c r="B33" i="12" s="1"/>
  <c r="AF32" i="12"/>
  <c r="B32" i="12"/>
  <c r="AF31" i="12"/>
  <c r="B31" i="12" s="1"/>
  <c r="AF30" i="12"/>
  <c r="B30" i="12"/>
  <c r="AF29" i="12"/>
  <c r="B29" i="12" s="1"/>
  <c r="B20" i="12"/>
  <c r="B7" i="12" s="1"/>
  <c r="B19" i="12"/>
  <c r="D6" i="12" s="1"/>
  <c r="B18" i="12"/>
  <c r="B17" i="12"/>
  <c r="B16" i="12"/>
  <c r="B3" i="12" s="1"/>
  <c r="C6" i="12" l="1"/>
  <c r="D5" i="12"/>
  <c r="D7" i="12"/>
  <c r="C7" i="12"/>
  <c r="C3" i="12"/>
  <c r="D3" i="12"/>
  <c r="C4" i="12"/>
  <c r="B4" i="12"/>
  <c r="C5" i="12"/>
  <c r="B5" i="12"/>
  <c r="B111" i="11" l="1"/>
  <c r="B110" i="11"/>
  <c r="B109" i="11"/>
  <c r="B108" i="11"/>
  <c r="B107" i="11"/>
  <c r="H98" i="11"/>
  <c r="B98" i="11"/>
  <c r="H97" i="11"/>
  <c r="B97" i="11"/>
  <c r="H96" i="11"/>
  <c r="B96" i="11"/>
  <c r="H95" i="11"/>
  <c r="B95" i="11"/>
  <c r="H94" i="11"/>
  <c r="B94" i="11"/>
  <c r="K85" i="11"/>
  <c r="B85" i="11"/>
  <c r="K84" i="11"/>
  <c r="B84" i="11"/>
  <c r="K83" i="11"/>
  <c r="B83" i="11"/>
  <c r="K82" i="11"/>
  <c r="B82" i="11"/>
  <c r="K81" i="11"/>
  <c r="B81" i="11"/>
  <c r="B72" i="11"/>
  <c r="B71" i="11"/>
  <c r="B70" i="11"/>
  <c r="B69" i="11"/>
  <c r="B68" i="11"/>
  <c r="B59" i="11"/>
  <c r="B58" i="11"/>
  <c r="B57" i="11"/>
  <c r="B56" i="11"/>
  <c r="B55" i="11"/>
  <c r="AF46" i="11"/>
  <c r="N46" i="11"/>
  <c r="B46" i="11" s="1"/>
  <c r="AF45" i="11"/>
  <c r="N45" i="11"/>
  <c r="B45" i="11"/>
  <c r="AF44" i="11"/>
  <c r="N44" i="11"/>
  <c r="B44" i="11" s="1"/>
  <c r="C5" i="11" s="1"/>
  <c r="AF43" i="11"/>
  <c r="N43" i="11"/>
  <c r="B43" i="11"/>
  <c r="AF42" i="11"/>
  <c r="N42" i="11"/>
  <c r="B42" i="11" s="1"/>
  <c r="AF33" i="11"/>
  <c r="B33" i="11"/>
  <c r="AF32" i="11"/>
  <c r="B32" i="11" s="1"/>
  <c r="AF31" i="11"/>
  <c r="B31" i="11"/>
  <c r="D5" i="11" s="1"/>
  <c r="AF30" i="11"/>
  <c r="B30" i="11" s="1"/>
  <c r="AF29" i="11"/>
  <c r="B29" i="11"/>
  <c r="B20" i="11"/>
  <c r="D7" i="11" s="1"/>
  <c r="B19" i="11"/>
  <c r="B18" i="11"/>
  <c r="B5" i="11" s="1"/>
  <c r="B17" i="11"/>
  <c r="B16" i="11"/>
  <c r="D4" i="11" l="1"/>
  <c r="C3" i="11"/>
  <c r="D6" i="11"/>
  <c r="C6" i="11"/>
  <c r="B6" i="11"/>
  <c r="B3" i="11"/>
  <c r="D3" i="11"/>
  <c r="B4" i="11"/>
  <c r="C4" i="11"/>
  <c r="B7" i="11"/>
  <c r="C7" i="11"/>
  <c r="B111" i="9" l="1"/>
  <c r="B110" i="9"/>
  <c r="B109" i="9"/>
  <c r="B108" i="9"/>
  <c r="B107" i="9"/>
  <c r="H98" i="9"/>
  <c r="B98" i="9" s="1"/>
  <c r="H97" i="9"/>
  <c r="B97" i="9" s="1"/>
  <c r="H96" i="9"/>
  <c r="B96" i="9" s="1"/>
  <c r="D5" i="9" s="1"/>
  <c r="H95" i="9"/>
  <c r="B95" i="9" s="1"/>
  <c r="H94" i="9"/>
  <c r="B94" i="9" s="1"/>
  <c r="K85" i="9"/>
  <c r="B85" i="9" s="1"/>
  <c r="K84" i="9"/>
  <c r="B84" i="9"/>
  <c r="K83" i="9"/>
  <c r="B83" i="9"/>
  <c r="K82" i="9"/>
  <c r="B82" i="9" s="1"/>
  <c r="K81" i="9"/>
  <c r="B81" i="9" s="1"/>
  <c r="B72" i="9"/>
  <c r="B71" i="9"/>
  <c r="B70" i="9"/>
  <c r="B69" i="9"/>
  <c r="B68" i="9"/>
  <c r="B59" i="9"/>
  <c r="B58" i="9"/>
  <c r="B57" i="9"/>
  <c r="B56" i="9"/>
  <c r="B55" i="9"/>
  <c r="N46" i="9"/>
  <c r="B46" i="9"/>
  <c r="N45" i="9"/>
  <c r="B45" i="9" s="1"/>
  <c r="N44" i="9"/>
  <c r="B44" i="9" s="1"/>
  <c r="B5" i="9" s="1"/>
  <c r="N43" i="9"/>
  <c r="B43" i="9"/>
  <c r="N42" i="9"/>
  <c r="B42" i="9"/>
  <c r="AF33" i="9"/>
  <c r="B33" i="9" s="1"/>
  <c r="AF32" i="9"/>
  <c r="B32" i="9" s="1"/>
  <c r="AF31" i="9"/>
  <c r="B31" i="9"/>
  <c r="AF30" i="9"/>
  <c r="B30" i="9"/>
  <c r="AF29" i="9"/>
  <c r="B29" i="9" s="1"/>
  <c r="B20" i="9"/>
  <c r="B19" i="9"/>
  <c r="B18" i="9"/>
  <c r="B17" i="9"/>
  <c r="B16" i="9"/>
  <c r="D4" i="9" l="1"/>
  <c r="B4" i="9"/>
  <c r="C4" i="9"/>
  <c r="C5" i="9"/>
  <c r="C6" i="9"/>
  <c r="D6" i="9"/>
  <c r="B6" i="9"/>
  <c r="C7" i="9"/>
  <c r="D3" i="9"/>
  <c r="C3" i="9"/>
  <c r="B3" i="9"/>
  <c r="B7" i="9"/>
  <c r="D7" i="9"/>
  <c r="B111" i="8" l="1"/>
  <c r="B110" i="8"/>
  <c r="B109" i="8"/>
  <c r="B108" i="8"/>
  <c r="B107" i="8"/>
  <c r="H98" i="8"/>
  <c r="B98" i="8"/>
  <c r="H97" i="8"/>
  <c r="B97" i="8"/>
  <c r="H96" i="8"/>
  <c r="B96" i="8"/>
  <c r="H95" i="8"/>
  <c r="B95" i="8" s="1"/>
  <c r="H94" i="8"/>
  <c r="B94" i="8"/>
  <c r="K85" i="8"/>
  <c r="B85" i="8"/>
  <c r="K84" i="8"/>
  <c r="B84" i="8"/>
  <c r="K83" i="8"/>
  <c r="B83" i="8" s="1"/>
  <c r="K82" i="8"/>
  <c r="B82" i="8"/>
  <c r="K81" i="8"/>
  <c r="B81" i="8"/>
  <c r="B72" i="8"/>
  <c r="B71" i="8"/>
  <c r="B70" i="8"/>
  <c r="B69" i="8"/>
  <c r="B68" i="8"/>
  <c r="B59" i="8"/>
  <c r="B58" i="8"/>
  <c r="B57" i="8"/>
  <c r="D5" i="8" s="1"/>
  <c r="B56" i="8"/>
  <c r="B55" i="8"/>
  <c r="N46" i="8"/>
  <c r="B46" i="8" s="1"/>
  <c r="N45" i="8"/>
  <c r="B45" i="8"/>
  <c r="N44" i="8"/>
  <c r="B44" i="8"/>
  <c r="C5" i="8" s="1"/>
  <c r="N43" i="8"/>
  <c r="B43" i="8"/>
  <c r="N42" i="8"/>
  <c r="B42" i="8" s="1"/>
  <c r="AF33" i="8"/>
  <c r="B33" i="8"/>
  <c r="AF32" i="8"/>
  <c r="B32" i="8"/>
  <c r="AF31" i="8"/>
  <c r="B31" i="8"/>
  <c r="AF30" i="8"/>
  <c r="B30" i="8" s="1"/>
  <c r="AF29" i="8"/>
  <c r="B29" i="8"/>
  <c r="B20" i="8"/>
  <c r="D7" i="8" s="1"/>
  <c r="B19" i="8"/>
  <c r="B6" i="8" s="1"/>
  <c r="B18" i="8"/>
  <c r="B17" i="8"/>
  <c r="B16" i="8"/>
  <c r="C6" i="8"/>
  <c r="D3" i="8"/>
  <c r="D4" i="8" l="1"/>
  <c r="C3" i="8"/>
  <c r="B4" i="8"/>
  <c r="C4" i="8"/>
  <c r="C7" i="8"/>
  <c r="B7" i="8"/>
  <c r="B5" i="8"/>
  <c r="D6" i="8"/>
  <c r="B3" i="8"/>
  <c r="B111" i="7" l="1"/>
  <c r="B110" i="7"/>
  <c r="B109" i="7"/>
  <c r="B108" i="7"/>
  <c r="B107" i="7"/>
  <c r="H98" i="7"/>
  <c r="B98" i="7" s="1"/>
  <c r="H97" i="7"/>
  <c r="B97" i="7"/>
  <c r="H96" i="7"/>
  <c r="B96" i="7" s="1"/>
  <c r="H95" i="7"/>
  <c r="B95" i="7" s="1"/>
  <c r="H94" i="7"/>
  <c r="B94" i="7" s="1"/>
  <c r="K85" i="7"/>
  <c r="B85" i="7"/>
  <c r="K84" i="7"/>
  <c r="B84" i="7" s="1"/>
  <c r="K83" i="7"/>
  <c r="B83" i="7" s="1"/>
  <c r="K82" i="7"/>
  <c r="B82" i="7" s="1"/>
  <c r="K81" i="7"/>
  <c r="B81" i="7"/>
  <c r="B72" i="7"/>
  <c r="B71" i="7"/>
  <c r="B70" i="7"/>
  <c r="B69" i="7"/>
  <c r="B68" i="7"/>
  <c r="B59" i="7"/>
  <c r="B58" i="7"/>
  <c r="B57" i="7"/>
  <c r="B56" i="7"/>
  <c r="B55" i="7"/>
  <c r="N46" i="7"/>
  <c r="B46" i="7" s="1"/>
  <c r="N45" i="7"/>
  <c r="B45" i="7" s="1"/>
  <c r="B6" i="7" s="1"/>
  <c r="N44" i="7"/>
  <c r="B44" i="7"/>
  <c r="N43" i="7"/>
  <c r="B43" i="7" s="1"/>
  <c r="N42" i="7"/>
  <c r="B42" i="7" s="1"/>
  <c r="AF33" i="7"/>
  <c r="B33" i="7" s="1"/>
  <c r="AF32" i="7"/>
  <c r="B32" i="7"/>
  <c r="AF31" i="7"/>
  <c r="B31" i="7" s="1"/>
  <c r="AF30" i="7"/>
  <c r="B30" i="7" s="1"/>
  <c r="AF29" i="7"/>
  <c r="B29" i="7" s="1"/>
  <c r="B20" i="7"/>
  <c r="B19" i="7"/>
  <c r="C6" i="7" s="1"/>
  <c r="B18" i="7"/>
  <c r="D5" i="7" s="1"/>
  <c r="B17" i="7"/>
  <c r="B16" i="7"/>
  <c r="D3" i="7" l="1"/>
  <c r="C3" i="7"/>
  <c r="D4" i="7"/>
  <c r="C4" i="7"/>
  <c r="B4" i="7"/>
  <c r="D7" i="7"/>
  <c r="B3" i="7"/>
  <c r="D6" i="7"/>
  <c r="B7" i="7"/>
  <c r="C7" i="7"/>
  <c r="B5" i="7"/>
  <c r="C5" i="7"/>
  <c r="B102" i="6" l="1"/>
  <c r="B101" i="6"/>
  <c r="B100" i="6"/>
  <c r="B99" i="6"/>
  <c r="H90" i="6"/>
  <c r="B90" i="6" s="1"/>
  <c r="C6" i="6" s="1"/>
  <c r="H89" i="6"/>
  <c r="B89" i="6"/>
  <c r="H88" i="6"/>
  <c r="B88" i="6"/>
  <c r="H87" i="6"/>
  <c r="B87" i="6"/>
  <c r="K78" i="6"/>
  <c r="B78" i="6"/>
  <c r="K77" i="6"/>
  <c r="B77" i="6"/>
  <c r="K76" i="6"/>
  <c r="B76" i="6"/>
  <c r="K75" i="6"/>
  <c r="B75" i="6"/>
  <c r="B66" i="6"/>
  <c r="B65" i="6"/>
  <c r="B64" i="6"/>
  <c r="B63" i="6"/>
  <c r="B54" i="6"/>
  <c r="B53" i="6"/>
  <c r="B52" i="6"/>
  <c r="B51" i="6"/>
  <c r="N42" i="6"/>
  <c r="B42" i="6"/>
  <c r="N41" i="6"/>
  <c r="B41" i="6"/>
  <c r="N40" i="6"/>
  <c r="B40" i="6"/>
  <c r="N39" i="6"/>
  <c r="B39" i="6"/>
  <c r="AF30" i="6"/>
  <c r="B30" i="6"/>
  <c r="AF29" i="6"/>
  <c r="B29" i="6"/>
  <c r="D5" i="6" s="1"/>
  <c r="AF28" i="6"/>
  <c r="B28" i="6"/>
  <c r="B4" i="6" s="1"/>
  <c r="AF27" i="6"/>
  <c r="B27" i="6"/>
  <c r="B18" i="6"/>
  <c r="D6" i="6" s="1"/>
  <c r="B17" i="6"/>
  <c r="C5" i="6" s="1"/>
  <c r="B16" i="6"/>
  <c r="B15" i="6"/>
  <c r="D4" i="6"/>
  <c r="C4" i="6"/>
  <c r="D3" i="6" l="1"/>
  <c r="B5" i="6"/>
  <c r="B3" i="6"/>
  <c r="C3" i="6"/>
  <c r="B6" i="6"/>
  <c r="B111" i="5" l="1"/>
  <c r="B110" i="5"/>
  <c r="B109" i="5"/>
  <c r="B108" i="5"/>
  <c r="B107" i="5"/>
  <c r="H98" i="5"/>
  <c r="B98" i="5"/>
  <c r="H97" i="5"/>
  <c r="B97" i="5" s="1"/>
  <c r="H96" i="5"/>
  <c r="B96" i="5" s="1"/>
  <c r="D5" i="5" s="1"/>
  <c r="H95" i="5"/>
  <c r="B95" i="5" s="1"/>
  <c r="H94" i="5"/>
  <c r="B94" i="5"/>
  <c r="K85" i="5"/>
  <c r="B85" i="5" s="1"/>
  <c r="K84" i="5"/>
  <c r="B84" i="5"/>
  <c r="K83" i="5"/>
  <c r="B83" i="5"/>
  <c r="K82" i="5"/>
  <c r="B82" i="5"/>
  <c r="K81" i="5"/>
  <c r="B81" i="5" s="1"/>
  <c r="B72" i="5"/>
  <c r="B71" i="5"/>
  <c r="B70" i="5"/>
  <c r="B69" i="5"/>
  <c r="B68" i="5"/>
  <c r="B59" i="5"/>
  <c r="B58" i="5"/>
  <c r="B57" i="5"/>
  <c r="B56" i="5"/>
  <c r="B55" i="5"/>
  <c r="N46" i="5"/>
  <c r="B46" i="5"/>
  <c r="N45" i="5"/>
  <c r="B45" i="5"/>
  <c r="N44" i="5"/>
  <c r="B44" i="5" s="1"/>
  <c r="N43" i="5"/>
  <c r="B43" i="5"/>
  <c r="N42" i="5"/>
  <c r="B42" i="5"/>
  <c r="AF33" i="5"/>
  <c r="B33" i="5"/>
  <c r="AF32" i="5"/>
  <c r="B32" i="5" s="1"/>
  <c r="AF31" i="5"/>
  <c r="B31" i="5"/>
  <c r="AF30" i="5"/>
  <c r="B30" i="5"/>
  <c r="AF29" i="5"/>
  <c r="B29" i="5"/>
  <c r="B20" i="5"/>
  <c r="B7" i="5" s="1"/>
  <c r="B19" i="5"/>
  <c r="B6" i="5" s="1"/>
  <c r="B18" i="5"/>
  <c r="B17" i="5"/>
  <c r="B16" i="5"/>
  <c r="B3" i="5" s="1"/>
  <c r="D3" i="5" l="1"/>
  <c r="C6" i="5"/>
  <c r="D6" i="5"/>
  <c r="B4" i="5"/>
  <c r="C4" i="5"/>
  <c r="C5" i="5"/>
  <c r="B5" i="5"/>
  <c r="D4" i="5"/>
  <c r="D7" i="5"/>
  <c r="C7" i="5"/>
  <c r="C3" i="5"/>
  <c r="B102" i="4" l="1"/>
  <c r="B101" i="4"/>
  <c r="B100" i="4"/>
  <c r="B99" i="4"/>
  <c r="H90" i="4"/>
  <c r="B90" i="4" s="1"/>
  <c r="H89" i="4"/>
  <c r="B89" i="4"/>
  <c r="H88" i="4"/>
  <c r="B88" i="4" s="1"/>
  <c r="H87" i="4"/>
  <c r="B87" i="4"/>
  <c r="K78" i="4"/>
  <c r="B78" i="4" s="1"/>
  <c r="K77" i="4"/>
  <c r="B77" i="4"/>
  <c r="K76" i="4"/>
  <c r="B76" i="4" s="1"/>
  <c r="K75" i="4"/>
  <c r="B75" i="4"/>
  <c r="B66" i="4"/>
  <c r="B65" i="4"/>
  <c r="B64" i="4"/>
  <c r="B63" i="4"/>
  <c r="B54" i="4"/>
  <c r="B53" i="4"/>
  <c r="B52" i="4"/>
  <c r="B51" i="4"/>
  <c r="N42" i="4"/>
  <c r="B42" i="4" s="1"/>
  <c r="N41" i="4"/>
  <c r="B41" i="4"/>
  <c r="N40" i="4"/>
  <c r="B40" i="4" s="1"/>
  <c r="N39" i="4"/>
  <c r="B39" i="4" s="1"/>
  <c r="AF30" i="4"/>
  <c r="B30" i="4" s="1"/>
  <c r="D6" i="4" s="1"/>
  <c r="AF29" i="4"/>
  <c r="B29" i="4"/>
  <c r="C5" i="4" s="1"/>
  <c r="AF28" i="4"/>
  <c r="B28" i="4" s="1"/>
  <c r="AF27" i="4"/>
  <c r="B27" i="4"/>
  <c r="B18" i="4"/>
  <c r="B17" i="4"/>
  <c r="D5" i="4" s="1"/>
  <c r="B16" i="4"/>
  <c r="B15" i="4"/>
  <c r="D3" i="4" s="1"/>
  <c r="D4" i="4" l="1"/>
  <c r="C6" i="4"/>
  <c r="C4" i="4"/>
  <c r="B4" i="4"/>
  <c r="B5" i="4"/>
  <c r="B3" i="4"/>
  <c r="C3" i="4"/>
  <c r="B6" i="4"/>
  <c r="B111" i="3" l="1"/>
  <c r="B110" i="3"/>
  <c r="B109" i="3"/>
  <c r="B108" i="3"/>
  <c r="B107" i="3"/>
  <c r="H98" i="3"/>
  <c r="B98" i="3"/>
  <c r="H97" i="3"/>
  <c r="B97" i="3" s="1"/>
  <c r="H96" i="3"/>
  <c r="B96" i="3"/>
  <c r="H95" i="3"/>
  <c r="B95" i="3" s="1"/>
  <c r="H94" i="3"/>
  <c r="B94" i="3"/>
  <c r="K85" i="3"/>
  <c r="B85" i="3" s="1"/>
  <c r="K84" i="3"/>
  <c r="B84" i="3"/>
  <c r="K83" i="3"/>
  <c r="B83" i="3" s="1"/>
  <c r="K82" i="3"/>
  <c r="B82" i="3"/>
  <c r="K81" i="3"/>
  <c r="B81" i="3" s="1"/>
  <c r="B72" i="3"/>
  <c r="B71" i="3"/>
  <c r="B70" i="3"/>
  <c r="D5" i="3" s="1"/>
  <c r="B69" i="3"/>
  <c r="B68" i="3"/>
  <c r="B59" i="3"/>
  <c r="B58" i="3"/>
  <c r="B57" i="3"/>
  <c r="B56" i="3"/>
  <c r="B55" i="3"/>
  <c r="N46" i="3"/>
  <c r="B46" i="3" s="1"/>
  <c r="N45" i="3"/>
  <c r="B45" i="3"/>
  <c r="N44" i="3"/>
  <c r="B44" i="3" s="1"/>
  <c r="N43" i="3"/>
  <c r="B43" i="3"/>
  <c r="N42" i="3"/>
  <c r="B42" i="3" s="1"/>
  <c r="AF33" i="3"/>
  <c r="B33" i="3"/>
  <c r="AF32" i="3"/>
  <c r="B32" i="3" s="1"/>
  <c r="AF31" i="3"/>
  <c r="B31" i="3"/>
  <c r="AF30" i="3"/>
  <c r="B30" i="3" s="1"/>
  <c r="AF29" i="3"/>
  <c r="B29" i="3"/>
  <c r="B20" i="3"/>
  <c r="B7" i="3" s="1"/>
  <c r="B19" i="3"/>
  <c r="B18" i="3"/>
  <c r="B17" i="3"/>
  <c r="B16" i="3"/>
  <c r="C6" i="3" l="1"/>
  <c r="D6" i="3"/>
  <c r="D3" i="3"/>
  <c r="B5" i="3"/>
  <c r="C5" i="3"/>
  <c r="B6" i="3"/>
  <c r="D4" i="3"/>
  <c r="B4" i="3"/>
  <c r="C4" i="3"/>
  <c r="D7" i="3"/>
  <c r="C7" i="3"/>
  <c r="B3" i="3"/>
  <c r="C3" i="3"/>
  <c r="B102" i="2" l="1"/>
  <c r="B101" i="2"/>
  <c r="B100" i="2"/>
  <c r="B99" i="2"/>
  <c r="H90" i="2"/>
  <c r="B90" i="2" s="1"/>
  <c r="H89" i="2"/>
  <c r="B89" i="2" s="1"/>
  <c r="H88" i="2"/>
  <c r="B88" i="2" s="1"/>
  <c r="H87" i="2"/>
  <c r="B87" i="2"/>
  <c r="K78" i="2"/>
  <c r="B78" i="2"/>
  <c r="K77" i="2"/>
  <c r="B77" i="2"/>
  <c r="K76" i="2"/>
  <c r="B76" i="2"/>
  <c r="K75" i="2"/>
  <c r="B75" i="2"/>
  <c r="B66" i="2"/>
  <c r="B65" i="2"/>
  <c r="B64" i="2"/>
  <c r="B63" i="2"/>
  <c r="B54" i="2"/>
  <c r="B53" i="2"/>
  <c r="B52" i="2"/>
  <c r="B51" i="2"/>
  <c r="AF42" i="2"/>
  <c r="N42" i="2"/>
  <c r="B42" i="2" s="1"/>
  <c r="AF41" i="2"/>
  <c r="B41" i="2" s="1"/>
  <c r="N41" i="2"/>
  <c r="AF40" i="2"/>
  <c r="N40" i="2"/>
  <c r="B40" i="2" s="1"/>
  <c r="AF39" i="2"/>
  <c r="N39" i="2"/>
  <c r="B39" i="2"/>
  <c r="AF30" i="2"/>
  <c r="B30" i="2"/>
  <c r="D6" i="2" s="1"/>
  <c r="AF29" i="2"/>
  <c r="B29" i="2"/>
  <c r="AF28" i="2"/>
  <c r="B28" i="2"/>
  <c r="AF27" i="2"/>
  <c r="B27" i="2"/>
  <c r="D3" i="2" s="1"/>
  <c r="B18" i="2"/>
  <c r="B17" i="2"/>
  <c r="C5" i="2" s="1"/>
  <c r="B16" i="2"/>
  <c r="B15" i="2"/>
  <c r="B3" i="2"/>
  <c r="D4" i="2" l="1"/>
  <c r="B5" i="2"/>
  <c r="B6" i="2"/>
  <c r="C6" i="2"/>
  <c r="D5" i="2"/>
  <c r="C3" i="2"/>
  <c r="B4" i="2"/>
  <c r="C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tc={35715857-4E7B-4F9F-91B8-001CB0DEEEBE}</author>
    <author>tc={1C25DD40-BB31-4939-8BD1-CA78E7F03B48}</author>
    <author>tc={1AAD9B0A-47C9-441C-8B2C-487043AE3C6F}</author>
    <author>tc={DBAEF83E-D951-4EF1-B469-729D7E8350A0}</author>
  </authors>
  <commentList>
    <comment ref="E16" authorId="0" shapeId="0" xr:uid="{35715857-4E7B-4F9F-91B8-001CB0DEEEBE}">
      <text>
        <t xml:space="preserve">[Threaded comment]
Your version of Excel allows you to read this threaded comment; however, any edits to it will get removed if the file is opened in a newer version of Excel. Learn more: https://go.microsoft.com/fwlink/?linkid=870924
Comment:
    Further checks for 2019 </t>
      </text>
    </comment>
    <comment ref="W16" authorId="1" shapeId="0" xr:uid="{1C25DD40-BB31-4939-8BD1-CA78E7F03B48}">
      <text>
        <t>[Threaded comment]
Your version of Excel allows you to read this threaded comment; however, any edits to it will get removed if the file is opened in a newer version of Excel. Learn more: https://go.microsoft.com/fwlink/?linkid=870924
Comment:
    Plans developed in 2016-19 no longer available</t>
      </text>
    </comment>
    <comment ref="K42" authorId="2" shapeId="0" xr:uid="{1AAD9B0A-47C9-441C-8B2C-487043AE3C6F}">
      <text>
        <t>[Threaded comment]
Your version of Excel allows you to read this threaded comment; however, any edits to it will get removed if the file is opened in a newer version of Excel. Learn more: https://go.microsoft.com/fwlink/?linkid=870924
Comment:
    Clarify the scoring explanation</t>
      </text>
    </comment>
    <comment ref="Z42" authorId="3" shapeId="0" xr:uid="{DBAEF83E-D951-4EF1-B469-729D7E8350A0}">
      <text>
        <t>[Threaded comment]
Your version of Excel allows you to read this threaded comment; however, any edits to it will get removed if the file is opened in a newer version of Excel. Learn more: https://go.microsoft.com/fwlink/?linkid=870924
Comment:
    Clarify scoring explanation (Flanders does have systematic provision)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tc={DDAFA3B8-83DE-4033-98CC-ED689425B83D}</author>
    <author>tc={7A798C25-2131-4ACC-BC80-8BCB414F5BBA}</author>
  </authors>
  <commentList>
    <comment ref="X75" authorId="0" shapeId="0" xr:uid="{DDAFA3B8-83DE-4033-98CC-ED689425B83D}">
      <text>
        <t>[Threaded comment]
Your version of Excel allows you to read this threaded comment; however, any edits to it will get removed if the file is opened in a newer version of Excel. Learn more: https://go.microsoft.com/fwlink/?linkid=870924
Comment:
    For me it makes sense to keep the score as 0, and maybe it should have been 0 in the previous evaluation as well. But unsure whether we need to change it now or maybe keep the previous score to reflect the unchanged situation. 
Reply:
    Thomas' feedback: definitely a zero. Change the previous one as well.</t>
      </text>
    </comment>
    <comment ref="L99" authorId="1" shapeId="0" xr:uid="{7A798C25-2131-4ACC-BC80-8BCB414F5BBA}">
      <text>
        <t>[Threaded comment]
Your version of Excel allows you to read this threaded comment; however, any edits to it will get removed if the file is opened in a newer version of Excel. Learn more: https://go.microsoft.com/fwlink/?linkid=870924
Comment:
    The comments from the previous evaluation are the same as here, yet the score has changed. The new score makes more sense to me since it explicitly mentions that inclusion in the health coverage is unconditional for asylum seekers an paid for by the state. Although I found the actual legal text to be not as clear as this.
Reply:
    Thomas' feedback: we are not looking at what they have access to, but if they have any requirements to access. Ask the expert if comment from 2014 is still the same. Is completion of registration still a condition for access or can asylum seekers access health care the moment they claim asylum?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tc={5DEE8196-4588-443E-A325-EE9DF7B79D50}</author>
    <author>tc={086983AF-0717-48B1-A962-9D9F55AB0928}</author>
    <author>tc={347BB42D-0E7C-4940-B72C-B59B858A73A3}</author>
    <author>tc={E1C5329D-7EB4-48A0-9487-FB46CA9E4445}</author>
    <author>tc={C9D65A08-279A-43B1-B883-91BB6C5722EF}</author>
    <author>tc={882828A5-8C06-4898-89D0-D8F6FFC82D00}</author>
    <author>tc={2CC0DEB8-43C4-45E8-A217-08D4643D03A6}</author>
  </authors>
  <commentList>
    <comment ref="AC16" authorId="0" shapeId="0" xr:uid="{5DEE8196-4588-443E-A325-EE9DF7B79D50}">
      <text>
        <t>[Threaded comment]
Your version of Excel allows you to read this threaded comment; however, any edits to it will get removed if the file is opened in a newer version of Excel. Learn more: https://go.microsoft.com/fwlink/?linkid=870924
Comment:
    Not sure if 100 still applies with these changes?</t>
      </text>
    </comment>
    <comment ref="AC17" authorId="1" shapeId="0" xr:uid="{086983AF-0717-48B1-A962-9D9F55AB0928}">
      <text>
        <t>[Threaded comment]
Your version of Excel allows you to read this threaded comment; however, any edits to it will get removed if the file is opened in a newer version of Excel. Learn more: https://go.microsoft.com/fwlink/?linkid=870924
Comment:
    The comment on the word file is to keep it at '0', did they mean keep it at 100 or change it to 0? 0 doesn't seem justifiable to me in this case.
Reply:
    Confirmed with Expert: keep 100.</t>
      </text>
    </comment>
    <comment ref="AD18" authorId="2" shapeId="0" xr:uid="{347BB42D-0E7C-4940-B72C-B59B858A73A3}">
      <text>
        <t>[Threaded comment]
Your version of Excel allows you to read this threaded comment; however, any edits to it will get removed if the file is opened in a newer version of Excel. Learn more: https://go.microsoft.com/fwlink/?linkid=870924
Comment:
    Ask the expert.</t>
      </text>
    </comment>
    <comment ref="E29" authorId="3" shapeId="0" xr:uid="{E1C5329D-7EB4-48A0-9487-FB46CA9E4445}">
      <text>
        <t>[Threaded comment]
Your version of Excel allows you to read this threaded comment; however, any edits to it will get removed if the file is opened in a newer version of Excel. Learn more: https://go.microsoft.com/fwlink/?linkid=870924
Comment:
    I am scoring this as 0 because there haven't been any fundamental changes. However, based on the conditions (as explained for 2014, would it not rather be a 50?</t>
      </text>
    </comment>
    <comment ref="H44" authorId="4" shapeId="0" xr:uid="{C9D65A08-279A-43B1-B883-91BB6C5722EF}">
      <text>
        <t>[Threaded comment]
Your version of Excel allows you to read this threaded comment; however, any edits to it will get removed if the file is opened in a newer version of Excel. Learn more: https://go.microsoft.com/fwlink/?linkid=870924
Comment:
    Not sure if the new measures justify a 100?</t>
      </text>
    </comment>
    <comment ref="F71" authorId="5" shapeId="0" xr:uid="{882828A5-8C06-4898-89D0-D8F6FFC82D00}">
      <text>
        <t>[Threaded comment]
Your version of Excel allows you to read this threaded comment; however, any edits to it will get removed if the file is opened in a newer version of Excel. Learn more: https://go.microsoft.com/fwlink/?linkid=870924
Comment:
    Not sure if this qualifies for a 100? It doesn't apply to all groups of migrants, though.</t>
      </text>
    </comment>
    <comment ref="F72" authorId="6" shapeId="0" xr:uid="{2CC0DEB8-43C4-45E8-A217-08D4643D03A6}">
      <text>
        <t>[Threaded comment]
Your version of Excel allows you to read this threaded comment; however, any edits to it will get removed if the file is opened in a newer version of Excel. Learn more: https://go.microsoft.com/fwlink/?linkid=870924
Comment:
    Not sure if this qualifies for a 100? It doesn't apply to all groups of migrants, though.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tc={BE333D3E-80FC-4021-AE2F-A3BEC7B7693D}</author>
  </authors>
  <commentList>
    <comment ref="I20" authorId="0" shapeId="0" xr:uid="{BE333D3E-80FC-4021-AE2F-A3BEC7B7693D}">
      <text>
        <t>[Threaded comment]
Your version of Excel allows you to read this threaded comment; however, any edits to it will get removed if the file is opened in a newer version of Excel. Learn more: https://go.microsoft.com/fwlink/?linkid=870924
Comment:
    Please add any information on the legal provisions that allow for this, this would be helpful for our country reports.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tc={90EFBD55-2C50-43F0-A77B-49D114B21777}</author>
    <author>tc={B63A029E-51D8-4750-909A-5D0D95921626}</author>
    <author>tc={405B482F-EBB3-4FE7-BD90-C924655BFB4B}</author>
    <author>tc={96C00261-EE79-4295-89C8-B900FBCBD9CB}</author>
    <author>tc={75D86FE6-BDB5-4B83-A1B2-D9B49A7AA1F6}</author>
    <author>tc={32B64445-233E-439B-9329-53BA301C480A}</author>
  </authors>
  <commentList>
    <comment ref="AR29" authorId="0" shapeId="0" xr:uid="{90EFBD55-2C50-43F0-A77B-49D114B21777}">
      <text>
        <t>[Threaded comment]
Your version of Excel allows you to read this threaded comment; however, any edits to it will get removed if the file is opened in a newer version of Excel. Learn more: https://go.microsoft.com/fwlink/?linkid=870924
Comment:
    Please, check this interpretation
Reply:
    To ask Thomas
Reply:
    Thomas agreed on 0. And backscore to 0 the previous evaluation</t>
      </text>
    </comment>
    <comment ref="AR30" authorId="1" shapeId="0" xr:uid="{B63A029E-51D8-4750-909A-5D0D95921626}">
      <text>
        <t>[Threaded comment]
Your version of Excel allows you to read this threaded comment; however, any edits to it will get removed if the file is opened in a newer version of Excel. Learn more: https://go.microsoft.com/fwlink/?linkid=870924
Comment:
    Please, check this interpretation</t>
      </text>
    </comment>
    <comment ref="AR31" authorId="2" shapeId="0" xr:uid="{405B482F-EBB3-4FE7-BD90-C924655BFB4B}">
      <text>
        <t>[Threaded comment]
Your version of Excel allows you to read this threaded comment; however, any edits to it will get removed if the file is opened in a newer version of Excel. Learn more: https://go.microsoft.com/fwlink/?linkid=870924
Comment:
    Please, check this interpretation</t>
      </text>
    </comment>
    <comment ref="AR32" authorId="3" shapeId="0" xr:uid="{96C00261-EE79-4295-89C8-B900FBCBD9CB}">
      <text>
        <t>[Threaded comment]
Your version of Excel allows you to read this threaded comment; however, any edits to it will get removed if the file is opened in a newer version of Excel. Learn more: https://go.microsoft.com/fwlink/?linkid=870924
Comment:
    Please, check this interpretation</t>
      </text>
    </comment>
    <comment ref="AR33" authorId="4" shapeId="0" xr:uid="{75D86FE6-BDB5-4B83-A1B2-D9B49A7AA1F6}">
      <text>
        <t>[Threaded comment]
Your version of Excel allows you to read this threaded comment; however, any edits to it will get removed if the file is opened in a newer version of Excel. Learn more: https://go.microsoft.com/fwlink/?linkid=870924
Comment:
    Please, check this interpretation</t>
      </text>
    </comment>
    <comment ref="AG107" authorId="5" shapeId="0" xr:uid="{32B64445-233E-439B-9329-53BA301C480A}">
      <text>
        <t>[Threaded comment]
Your version of Excel allows you to read this threaded comment; however, any edits to it will get removed if the file is opened in a newer version of Excel. Learn more: https://go.microsoft.com/fwlink/?linkid=870924
Comment:
    Participation in research is very limited - specify this in the comment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tc={661606BA-C017-4E0E-84D8-D10A3E844C0D}</author>
    <author>tc={B86FFE94-9FFF-4B13-B496-77B1F3AB01AF}</author>
    <author>tc={4F42359D-8588-44A2-AB9F-CB8AC0BAEA4A}</author>
  </authors>
  <commentList>
    <comment ref="N18" authorId="0" shapeId="0" xr:uid="{661606BA-C017-4E0E-84D8-D10A3E844C0D}">
      <text>
        <t>[Threaded comment]
Your version of Excel allows you to read this threaded comment; however, any edits to it will get removed if the file is opened in a newer version of Excel. Learn more: https://go.microsoft.com/fwlink/?linkid=870924
Comment:
    Discuss with Basak or ask Thomas.
Score change from 50 to 0. 
Comment in the word file: We do not have a permanent residence status we have a long term residence. It is very discretionary. It can be 50 it can be 0. Maybe we marked more generously because there was a statement before but now this is the state. 
Reply:
    Thomas' feedback: no legislation change. Keep the score as 50</t>
      </text>
    </comment>
    <comment ref="AA18" authorId="1" shapeId="0" xr:uid="{B86FFE94-9FFF-4B13-B496-77B1F3AB01AF}">
      <text>
        <t>[Threaded comment]
Your version of Excel allows you to read this threaded comment; however, any edits to it will get removed if the file is opened in a newer version of Excel. Learn more: https://go.microsoft.com/fwlink/?linkid=870924
Comment:
    Score change 0 to 50. The change does not seem to be addressed at migrant women specifically, I would consider keeping it at 0.	
Reply:
    Thomas' feedback: just because they removed some restrictions does not mean these are targeted measures. Keep 0.</t>
      </text>
    </comment>
    <comment ref="L42" authorId="2" shapeId="0" xr:uid="{4F42359D-8588-44A2-AB9F-CB8AC0BAEA4A}">
      <text>
        <t>[Threaded comment]
Your version of Excel allows you to read this threaded comment; however, any edits to it will get removed if the file is opened in a newer version of Excel. Learn more: https://go.microsoft.com/fwlink/?linkid=870924
Comment:
    Score change from 50 to 0. it seems that the available information and guidance mentioned in the previous evaluation are only available in English and Gaeilge, and not migrant languages of origin. This might be the reason for the different interpretation since the situation and legislation seem unchanged? Or is the info mentioned in the previous evaluation just no longer available? Ask Thomas.
Reply:
    http://www.education.ie/en/Parents/Information/A-Guide-to-the-Irish-Education-System.pdf
Reply:
    Thomas' feedback: As of September 2021 the translations are not available on the government website mentioned in the comments of previous evaluation. So the score is reduced to 0 from 2022 onwards.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tc={8AD8C270-4806-48B9-9CC4-84D4191EB4DD}</author>
  </authors>
  <commentList>
    <comment ref="T99" authorId="0" shapeId="0" xr:uid="{8AD8C270-4806-48B9-9CC4-84D4191EB4DD}">
      <text>
        <t>[Threaded comment]
Your version of Excel allows you to read this threaded comment; however, any edits to it will get removed if the file is opened in a newer version of Excel. Learn more: https://go.microsoft.com/fwlink/?linkid=870924
Comment:
    BASAK : ''We settled on 50 because the expert comments indicate some discretion but because emergency care is provided, decided on a score of 50''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tc={BA7B83B6-C4F3-4307-92FF-8F7B380A22A0}</author>
    <author>tc={ACC70F9A-E5D9-4D59-9909-BB5B411B9152}</author>
    <author>tc={D8D3C5C7-60C1-4F91-B7BF-BEBC364DA717}</author>
  </authors>
  <commentList>
    <comment ref="W11" authorId="0" shapeId="0" xr:uid="{BA7B83B6-C4F3-4307-92FF-8F7B380A22A0}">
      <text>
        <t>[Threaded comment]
Your version of Excel allows you to read this threaded comment; however, any edits to it will get removed if the file is opened in a newer version of Excel. Learn more: https://go.microsoft.com/fwlink/?linkid=870924
Comment:
    Reikia peržiūrėti strateginius dokumentus, galbūt būtų galima paminėti International House Vilnius (bet iš principo turbūt vis tiek bus 0)</t>
      </text>
    </comment>
    <comment ref="F39" authorId="1" shapeId="0" xr:uid="{ACC70F9A-E5D9-4D59-9909-BB5B411B9152}">
      <text>
        <t>[Threaded comment]
Your version of Excel allows you to read this threaded comment; however, any edits to it will get removed if the file is opened in a newer version of Excel. Learn more: https://go.microsoft.com/fwlink/?linkid=870924
Comment:
    I am still not sure which option I should choose. According to the Law migrants are eligible both to (a) and (b) options. The requirement is to hold temporary or permanent residence permit. 
P.S. I don't see any changes of the Law on Education since previous MIPEX</t>
      </text>
    </comment>
    <comment ref="Q95" authorId="2" shapeId="0" xr:uid="{D8D3C5C7-60C1-4F91-B7BF-BEBC364DA717}">
      <text>
        <t xml:space="preserve">[Threaded comment]
Your version of Excel allows you to read this threaded comment; however, any edits to it will get removed if the file is opened in a newer version of Excel. Learn more: https://go.microsoft.com/fwlink/?linkid=870924
Comment:
    here I am trying to understand whether asylum seekers and undocumented migrants deserve the same score. From the previous evaluation comment to 146a I understand that there is no legislation on healthcare for asylum seekers and undocumented migrants. // Both undocumented migrants and asylum seekers can be scored the same. The eligibility to healthcare for these group of migrants are foreseen under the Law on Legal Status of Aliens.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tc={C58F925A-8AA4-4CC6-AD45-9F2BB223C424}</author>
    <author>tc={09F61DB5-573C-42CB-9056-13C705E86465}</author>
    <author>tc={4DBF4DFF-7D5C-40C8-8F52-7F3B309E22E5}</author>
  </authors>
  <commentList>
    <comment ref="U16" authorId="0" shapeId="0" xr:uid="{C58F925A-8AA4-4CC6-AD45-9F2BB223C424}">
      <text>
        <t>[Threaded comment]
Your version of Excel allows you to read this threaded comment; however, any edits to it will get removed if the file is opened in a newer version of Excel. Learn more: https://go.microsoft.com/fwlink/?linkid=870924
Comment:
    From 50 to 0</t>
      </text>
    </comment>
    <comment ref="AR29" authorId="1" shapeId="0" xr:uid="{09F61DB5-573C-42CB-9056-13C705E86465}">
      <text>
        <t>[Threaded comment]
Your version of Excel allows you to read this threaded comment; however, any edits to it will get removed if the file is opened in a newer version of Excel. Learn more: https://go.microsoft.com/fwlink/?linkid=870924
Comment:
    No change in the score</t>
      </text>
    </comment>
    <comment ref="W94" authorId="2" shapeId="0" xr:uid="{4DBF4DFF-7D5C-40C8-8F52-7F3B309E22E5}">
      <text>
        <t>[Threaded comment]
Your version of Excel allows you to read this threaded comment; however, any edits to it will get removed if the file is opened in a newer version of Excel. Learn more: https://go.microsoft.com/fwlink/?linkid=870924
Comment:
    HIGHLIGHTED in yellow not because 75 is not ok (checked with the expert, it is) but because we have to change the previous MIPEX scores into 75</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tc={4E928A95-C369-48E0-BF41-159645CD17D0}</author>
    <author>tc={B6D37921-888D-4FDF-873A-7648A4BC4DB8}</author>
    <author>tc={7AF0D40D-0D0C-4F5E-8087-4629E91FE1DC}</author>
  </authors>
  <commentList>
    <comment ref="W12" authorId="0" shapeId="0" xr:uid="{4E928A95-C369-48E0-BF41-159645CD17D0}">
      <text>
        <t>[Threaded comment]
Your version of Excel allows you to read this threaded comment; however, any edits to it will get removed if the file is opened in a newer version of Excel. Learn more: https://go.microsoft.com/fwlink/?linkid=870924
Comment:
    Changes: column "Economic integration measures of TCNs, and targeted measures for young and female migrants</t>
      </text>
    </comment>
    <comment ref="H77" authorId="1" shapeId="0" xr:uid="{B6D37921-888D-4FDF-873A-7648A4BC4DB8}">
      <text>
        <t>[Threaded comment]
Your version of Excel allows you to read this threaded comment; however, any edits to it will get removed if the file is opened in a newer version of Excel. Learn more: https://go.microsoft.com/fwlink/?linkid=870924
Comment:
    before this section was "brithright and second generation"</t>
      </text>
    </comment>
    <comment ref="Q77" authorId="2" shapeId="0" xr:uid="{7AF0D40D-0D0C-4F5E-8087-4629E91FE1DC}">
      <text>
        <t>[Threaded comment]
Your version of Excel allows you to read this threaded comment; however, any edits to it will get removed if the file is opened in a newer version of Excel. Learn more: https://go.microsoft.com/fwlink/?linkid=870924
Comment:
    before was "naturalisation integration form" so maybe data pasted does not correspond?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tc={8985BB86-6E1B-44E1-A195-B05BF2DFFF6F}</author>
    <author>tc={A70977F4-BE2E-445F-8E5B-69CAB753D901}</author>
  </authors>
  <commentList>
    <comment ref="AV33" authorId="0" shapeId="0" xr:uid="{8985BB86-6E1B-44E1-A195-B05BF2DFFF6F}">
      <text>
        <t>[Threaded comment]
Your version of Excel allows you to read this threaded comment; however, any edits to it will get removed if the file is opened in a newer version of Excel. Learn more: https://go.microsoft.com/fwlink/?linkid=870924
Comment:
    Rescore the previous wave</t>
      </text>
    </comment>
    <comment ref="AJ46" authorId="1" shapeId="0" xr:uid="{A70977F4-BE2E-445F-8E5B-69CAB753D901}">
      <text>
        <t>[Threaded comment]
Your version of Excel allows you to read this threaded comment; however, any edits to it will get removed if the file is opened in a newer version of Excel. Learn more: https://go.microsoft.com/fwlink/?linkid=870924
Comment:
    Mention this progress in the country report</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tc={F826182C-C0E2-439C-9C79-9DDF09EF0186}</author>
    <author>tc={563EF7E7-383B-4251-B50B-FD1B1EE1A8EB}</author>
    <author>tc={64AB2F3E-283F-4F78-AD5B-08543344E703}</author>
  </authors>
  <commentList>
    <comment ref="R64" authorId="0" shapeId="0" xr:uid="{F826182C-C0E2-439C-9C79-9DDF09EF0186}">
      <text>
        <t>[Threaded comment]
Your version of Excel allows you to read this threaded comment; however, any edits to it will get removed if the file is opened in a newer version of Excel. Learn more: https://go.microsoft.com/fwlink/?linkid=870924
Comment:
    Comment from previous year: applicant still has to show prove of accommodation. 
Yet the score was 100. I think this should have been a 50 in the previous MIPEX as well, since there is still an application and criteria to be met, even if it is only one document.</t>
      </text>
    </comment>
    <comment ref="R101" authorId="1" shapeId="0" xr:uid="{563EF7E7-383B-4251-B50B-FD1B1EE1A8EB}">
      <text>
        <t>[Threaded comment]
Your version of Excel allows you to read this threaded comment; however, any edits to it will get removed if the file is opened in a newer version of Excel. Learn more: https://go.microsoft.com/fwlink/?linkid=870924
Comment:
    In this case, with the logic of emergency medical assistance is 'A form of health care', shouldn't the score be 100 as in the case of Austria?
The comment in the word file only mentions that we accept the change to 50, because it is well justified.</t>
      </text>
    </comment>
    <comment ref="AG102" authorId="2" shapeId="0" xr:uid="{64AB2F3E-283F-4F78-AD5B-08543344E703}">
      <text>
        <t>[Threaded comment]
Your version of Excel allows you to read this threaded comment; however, any edits to it will get removed if the file is opened in a newer version of Excel. Learn more: https://go.microsoft.com/fwlink/?linkid=870924
Comment:
    Ask Thomas.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tc={4B07AEC7-1FD0-4FC1-926C-EB95591A4D01}</author>
    <author>tc={BD483665-732D-413D-AEB4-1EA8C07E18FB}</author>
    <author>tc={FB627AED-EE56-4DC8-84FC-312C6513DFB5}</author>
    <author>tc={0733D2C6-F05E-43CC-A3B9-5A7C6EB4846E}</author>
    <author>tc={FA741DD6-3FA3-4FB9-B9E0-55565D9BEF28}</author>
    <author>tc={C6746535-F0D9-455E-82C3-443D16719D6F}</author>
    <author>tc={615A6852-AFF6-4E34-A7C8-79509CB07CCA}</author>
    <author>tc={38325D3C-8DB8-471B-A095-2F52C3C7FC6E}</author>
    <author>tc={413AF04C-F6A0-4079-8C4D-1639F4B29A7A}</author>
    <author>tc={3D5A7FA2-03BE-40BE-B272-8A2C7DF252CB}</author>
    <author>tc={00090DE9-441C-4784-BE1E-8E1F2328B17C}</author>
    <author>tc={7A95E80D-A9BF-454D-9E69-58DC496295D3}</author>
    <author>tc={F0923FD2-34C7-44D9-BE39-EF3163ADA6AB}</author>
  </authors>
  <commentList>
    <comment ref="U15" authorId="0" shapeId="0" xr:uid="{4B07AEC7-1FD0-4FC1-926C-EB95591A4D01}">
      <text>
        <t xml:space="preserve">[Threaded comment]
Your version of Excel allows you to read this threaded comment; however, any edits to it will get removed if the file is opened in a newer version of Excel. Learn more: https://go.microsoft.com/fwlink/?linkid=870924
Comment:
    Scire change from 50 to 100. not clear if the score has changed because of legislative change or new interpretation. Expert will readdress as she does not recall how it was scored in the first place. </t>
      </text>
    </comment>
    <comment ref="U16" authorId="1" shapeId="0" xr:uid="{BD483665-732D-413D-AEB4-1EA8C07E18FB}">
      <text>
        <t>[Threaded comment]
Your version of Excel allows you to read this threaded comment; however, any edits to it will get removed if the file is opened in a newer version of Excel. Learn more: https://go.microsoft.com/fwlink/?linkid=870924
Comment:
    They mention that the process of recognition of diplomas for regulated professions depends on the country where the diploma was obtained, not the nationality of the person. For unregulated professions (such as waiter, baker, etc) there is no need for a diploma and hence no need for recognition. Yet, for some professions such as architects or state vets, TCNs can be limited to work due to their citizenship and for instance TCN architects cannot register at the chamber of architects. They believe the number of professions where such issues can occur is insignificant but they don't have any data on this.
In my opinion this can be an example of diplomas in certain fields not being fully recognized due to citizenship, and 100 does not seem justified to me.
Reply:
    Comment by the expert in the word file: 100, and revise previous score. In my view this relates to the right to equal treatment in the recognition of academic qualifications not to whether or not they are required for work permit or residence.</t>
      </text>
    </comment>
    <comment ref="AA27" authorId="2" shapeId="0" xr:uid="{FB627AED-EE56-4DC8-84FC-312C6513DFB5}">
      <text>
        <t>[Threaded comment]
Your version of Excel allows you to read this threaded comment; however, any edits to it will get removed if the file is opened in a newer version of Excel. Learn more: https://go.microsoft.com/fwlink/?linkid=870924
Comment:
    From the answer options for bb29: score 100 - bb29a=100
And in the description for 29a it is stated that: (if no requirement, skip to question bb30b31)
the expert has not responded to these as is stated in the form and this will not make a difference in the final score.</t>
      </text>
    </comment>
    <comment ref="AD27" authorId="3" shapeId="0" xr:uid="{0733D2C6-F05E-43CC-A3B9-5A7C6EB4846E}">
      <text>
        <t>[Threaded comment]
Your version of Excel allows you to read this threaded comment; however, any edits to it will get removed if the file is opened in a newer version of Excel. Learn more: https://go.microsoft.com/fwlink/?linkid=870924
Comment:
    Same as before.</t>
      </text>
    </comment>
    <comment ref="AY27" authorId="4" shapeId="0" xr:uid="{FA741DD6-3FA3-4FB9-B9E0-55565D9BEF28}">
      <text>
        <t>[Threaded comment]
Your version of Excel allows you to read this threaded comment; however, any edits to it will get removed if the file is opened in a newer version of Excel. Learn more: https://go.microsoft.com/fwlink/?linkid=870924
Comment:
    Decision: Score is 0. for some groups there are certain conditions to be met.</t>
      </text>
    </comment>
    <comment ref="AM30" authorId="5" shapeId="0" xr:uid="{C6746535-F0D9-455E-82C3-443D16719D6F}">
      <text>
        <t xml:space="preserve">[Threaded comment]
Your version of Excel allows you to read this threaded comment; however, any edits to it will get removed if the file is opened in a newer version of Excel. Learn more: https://go.microsoft.com/fwlink/?linkid=870924
Comment:
    Score change from 0 to 50, even though the expert says they had scored 50 in the previous evaluation as well. The law has not changed. 
Comments:
“Appropriate accommodation meeting the general health and safety standards has to be documented. At the same time the family member must prove that he or she is living with the sponsor.” 
In my opinion relevant legislation only requires general health and safety standards, which is aimed at protecting applicants from inhumane conditions (basically, but ofc can serve as a reason to reject). 
Duration of rental contract (6 months) is not so important, because it seems this condition only impacts the length of validity of the "ID card" (Art 73). Prolonged with a new rental.
Reply:
    Follow-up comment by the expert: I would keep the score bb30 at 50.
In my opinion relevant legislation only requires general health and safety standards, 
which is aimed at protecting applicants from inhumane conditions. 
Perhaps duration of rental contract (6 months) is not so important
in this case, because such a condition only impacts the length of validity of the "ID card" (Art 73).
</t>
      </text>
    </comment>
    <comment ref="R39" authorId="6" shapeId="0" xr:uid="{615A6852-AFF6-4E34-A7C8-79509CB07CCA}">
      <text>
        <t>[Threaded comment]
Your version of Excel allows you to read this threaded comment; however, any edits to it will get removed if the file is opened in a newer version of Excel. Learn more: https://go.microsoft.com/fwlink/?linkid=870924
Comment:
    Score change from o to 50. The comment on the word file says that expert will look at when exactly the change has happened in the law to determine whether it is a new legislation of a different interpretation, and if we should change the previous score. From the link in the comment below the legislation that is mentioned seems to be from 2003 and 2008, so I think only the interpretation might have been different in the previous evaluation.
Reply:
    The follow-up comment says that even though there was a legal provision beore there has been improvement in implementation since 2021, which can explain the score change only for 2021 onwards.
Complete comment by the expert: I would not rescore it, despite the fact that there was a legal provision, there was a Curricular reform after 2021. Before it was only implemented on an ad hoc basis (as far as I understand opinions of previous experts) because the regulations and methodological tools were missing. A lot of guidelines has been adopted between 2021 and 2023 (majority in 23).</t>
      </text>
    </comment>
    <comment ref="R40" authorId="7" shapeId="0" xr:uid="{38325D3C-8DB8-471B-A095-2F52C3C7FC6E}">
      <text>
        <t>[Threaded comment]
Your version of Excel allows you to read this threaded comment; however, any edits to it will get removed if the file is opened in a newer version of Excel. Learn more: https://go.microsoft.com/fwlink/?linkid=870924
Comment:
    futher comments by expert: There was a provision in the law before, but it was not implemented. Curriculum for the basic and extension language course of the state language for children of foreigners and Methodological recommendations for teaching the Slovak language in the basic and extension language course of the state language for children of foreigners have been issued only as a recommendation. In the end of 2019 Ministry prepared implementation manual: “Organising and financing state language courses for children of foreigners in 2023.
According to an expert from NIVAM The Recovery and Resilience Plan of the Slovak Republic has been developed and approved on the basis of the criteria of Regulation (EU) 2021/241 of the European Parliament and of the Council of 12 February 2021 establishing a mechanism to support recovery and resilience. One of the priorities of the reform is to improve educational outcomes and better teacher training / Raising the quality of Slovak pupils and students above the OECD average / Strengthening the inclusion of socially and physically disadvantaged children in education will contribute significantly to their successful integration into society and the labour market.</t>
      </text>
    </comment>
    <comment ref="X42" authorId="8" shapeId="0" xr:uid="{413AF04C-F6A0-4079-8C4D-1639F4B29A7A}">
      <text>
        <t>[Threaded comment]
Your version of Excel allows you to read this threaded comment; however, any edits to it will get removed if the file is opened in a newer version of Excel. Learn more: https://go.microsoft.com/fwlink/?linkid=870924
Comment:
    I think this should probably be a 0. the expert still needs to confirm their final answer after consultation with colleagues.
Reply:
    expert has suggested to change the score for 2023 to 50.
Reply:
    Decision: scored 0 because there are suggested measures, not monitored or anything else.</t>
      </text>
    </comment>
    <comment ref="F54" authorId="9" shapeId="0" xr:uid="{3D5A7FA2-03BE-40BE-B272-8A2C7DF252CB}">
      <text>
        <t>[Threaded comment]
Your version of Excel allows you to read this threaded comment; however, any edits to it will get removed if the file is opened in a newer version of Excel. Learn more: https://go.microsoft.com/fwlink/?linkid=870924
Comment:
    We have checked this with Thomas before, but comments on the handwritten notes are unclear.</t>
      </text>
    </comment>
    <comment ref="F63" authorId="10" shapeId="0" xr:uid="{00090DE9-441C-4784-BE1E-8E1F2328B17C}">
      <text>
        <t>[Threaded comment]
Your version of Excel allows you to read this threaded comment; however, any edits to it will get removed if the file is opened in a newer version of Excel. Learn more: https://go.microsoft.com/fwlink/?linkid=870924
Comment:
    score consistent with previous evaluation, yet many categories who are not allowed to apply – probably fine but could potentially be checked with Thomas.
Reply:
    Comment by expert: Please see updated comment in the chart. 
Which chart? Did they share a new excel file?</t>
      </text>
    </comment>
    <comment ref="U63" authorId="11" shapeId="0" xr:uid="{7A95E80D-A9BF-454D-9E69-58DC496295D3}">
      <text>
        <t xml:space="preserve">[Threaded comment]
Your version of Excel allows you to read this threaded comment; however, any edits to it will get removed if the file is opened in a newer version of Excel. Learn more: https://go.microsoft.com/fwlink/?linkid=870924
Comment:
    Double check with Basak to make sure the comment from Thomas' handwritten feedback was to score 0.
</t>
      </text>
    </comment>
    <comment ref="Z102" authorId="12" shapeId="0" xr:uid="{F0923FD2-34C7-44D9-BE39-EF3163ADA6AB}">
      <text>
        <t>[Threaded comment]
Your version of Excel allows you to read this threaded comment; however, any edits to it will get removed if the file is opened in a newer version of Excel. Learn more: https://go.microsoft.com/fwlink/?linkid=870924
Comment:
    Following  a similar thing we did for Bulgaria (although in citizenship - fb107), I think we need to rescore these for the previous scores as well. I looked at the links and it seems like this has never been the case. The previous expert has written a, b, and c, but the link they have provided does not include undocumented migrants. 
Reply:
    We decided to rescore the previous evaluation.</t>
      </text>
    </comment>
  </commentList>
</comments>
</file>

<file path=xl/sharedStrings.xml><?xml version="1.0" encoding="utf-8"?>
<sst xmlns="http://schemas.openxmlformats.org/spreadsheetml/2006/main" count="32330" uniqueCount="2075">
  <si>
    <t>Overall Scores</t>
  </si>
  <si>
    <t>Year</t>
  </si>
  <si>
    <t>Overall Score (with health)</t>
  </si>
  <si>
    <t>Overall Score (with/out health)</t>
  </si>
  <si>
    <t>Overall Score (with/out health and education)</t>
  </si>
  <si>
    <t>Policy strand</t>
  </si>
  <si>
    <t>Labour Market Mobility Strand</t>
  </si>
  <si>
    <t>Indicator</t>
  </si>
  <si>
    <t>a</t>
  </si>
  <si>
    <t>ab6</t>
  </si>
  <si>
    <t>ab7ab8</t>
  </si>
  <si>
    <t>ab9</t>
  </si>
  <si>
    <t>ad18</t>
  </si>
  <si>
    <t>Sub-indicator</t>
  </si>
  <si>
    <t>aa1</t>
  </si>
  <si>
    <t>aa3</t>
  </si>
  <si>
    <t>aa5</t>
  </si>
  <si>
    <t>ac13</t>
  </si>
  <si>
    <t>ac14</t>
  </si>
  <si>
    <t xml:space="preserve">Title </t>
  </si>
  <si>
    <t>Labour Market Mobility</t>
  </si>
  <si>
    <t>Immediate access to labour market</t>
  </si>
  <si>
    <t xml:space="preserve"> Access to public sector </t>
  </si>
  <si>
    <t xml:space="preserve">Access to self employment </t>
  </si>
  <si>
    <t>Public employment services</t>
  </si>
  <si>
    <t>Education and vocational training and study grants</t>
  </si>
  <si>
    <t>Recognition of academic qualifications</t>
  </si>
  <si>
    <t>Economic integration measures of TCNs</t>
  </si>
  <si>
    <t xml:space="preserve">Economic integration measures of youth and women </t>
  </si>
  <si>
    <t>Access to social security and assistance</t>
  </si>
  <si>
    <t xml:space="preserve">Description </t>
  </si>
  <si>
    <t>Average of the strand</t>
  </si>
  <si>
    <t>Immediate access to labour market:
What categories of foreign residents have equal access to employment as nationals?
a. Permanent residents
b. Residents on temporary work permits  (excluding seasonal) within period of ≤ 1 year
c. Residents on family reunion permits (same as sponsor)</t>
  </si>
  <si>
    <t>Access to public sector (activities serving the needs of the public. Not restricted to certain types of employment or private or public law):
Are foreign residents able to accept any public-sector employment under equal conditions as nationals?                                                   (excluding exercise of public authority e.g. police, defence, heads of units/divisions but not excluding civil servants and permanent staff)</t>
  </si>
  <si>
    <t>Access to self-employment
Are foreign residents able to take up self-employed activity under equal conditions as nationals?</t>
  </si>
  <si>
    <t>Access to public employment services:
What categories of foreign residents have equal access?
a. Permanent residents
b. Residents on temporary work permits (excluding seasonal)
c. Residents on family reunion permits (same as sponsor)</t>
  </si>
  <si>
    <t>Equality of access to: 
1) higher education and vocational training
2) study grants
What categories of foreign resident adults have equal access to 1) or/and 2)?
a. Permanent residents
b. Residents on temporary work permits (excluding seasonal)
c. Residents on family reunion permits (same as sponsor)</t>
  </si>
  <si>
    <t>Recognition of academic qualifications acquired abroad</t>
  </si>
  <si>
    <t xml:space="preserve">Do all TCNs have access to: 
a. Targeted training for TCNs other than generic language training (e.g. bridging courses, job specific language training, etc.)
b. Programmes to encourage hiring of TCNs (e.g. employer incentives, work placements, public sector commitments, etc.)
</t>
  </si>
  <si>
    <t>Targeted measures to further the integration of TCNs into the labour market
a. National programmes to address labour market situation of migrant youth
b. National programmes  to address labour market situation of migrant women</t>
  </si>
  <si>
    <t>What categories of TCNs have equal access to social security? (unemployment benefits, old age pension, invalidity benefits, maternity leave, family benefits, social assistance)
a. Long-term residents
b. Residents on temporary work permits (excluding seasonal)
c. Residents on family reunion permits (same as sponsor)</t>
  </si>
  <si>
    <t xml:space="preserve">Answer options </t>
  </si>
  <si>
    <t>TO BE FILLED AUTOMATICALLY</t>
  </si>
  <si>
    <r>
      <rPr>
        <b/>
        <sz val="10"/>
        <color theme="1"/>
        <rFont val="Calibri"/>
        <family val="2"/>
      </rPr>
      <t>100</t>
    </r>
    <r>
      <rPr>
        <sz val="10"/>
        <color theme="1"/>
        <rFont val="Calibri"/>
        <family val="2"/>
      </rPr>
      <t xml:space="preserve"> - All of them
</t>
    </r>
    <r>
      <rPr>
        <b/>
        <sz val="10"/>
        <color theme="1"/>
        <rFont val="Calibri"/>
        <family val="2"/>
      </rPr>
      <t>50</t>
    </r>
    <r>
      <rPr>
        <sz val="10"/>
        <color theme="1"/>
        <rFont val="Calibri"/>
        <family val="2"/>
      </rPr>
      <t xml:space="preserve"> - A and (C or certain categories of B)
</t>
    </r>
    <r>
      <rPr>
        <b/>
        <sz val="10"/>
        <color theme="1"/>
        <rFont val="Calibri"/>
        <family val="2"/>
      </rPr>
      <t>0</t>
    </r>
    <r>
      <rPr>
        <sz val="10"/>
        <color theme="1"/>
        <rFont val="Calibri"/>
        <family val="2"/>
      </rPr>
      <t xml:space="preserve"> - Only A or none</t>
    </r>
  </si>
  <si>
    <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t>
    </r>
    <r>
      <rPr>
        <b/>
        <sz val="10"/>
        <rFont val="Calibri"/>
        <family val="2"/>
      </rPr>
      <t>0</t>
    </r>
    <r>
      <rPr>
        <sz val="10"/>
        <rFont val="Calibri"/>
        <family val="2"/>
      </rPr>
      <t xml:space="preserve"> - Certain sectors and activities solely for nationals (please specify)</t>
    </r>
  </si>
  <si>
    <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linguistic testing (please specify)
</t>
    </r>
    <r>
      <rPr>
        <b/>
        <sz val="10"/>
        <rFont val="Calibri"/>
        <family val="2"/>
      </rPr>
      <t>0</t>
    </r>
    <r>
      <rPr>
        <sz val="10"/>
        <rFont val="Calibri"/>
        <family val="2"/>
      </rPr>
      <t xml:space="preserve"> - Certain sectors and activities solely for nationals (please specify)</t>
    </r>
  </si>
  <si>
    <r>
      <rPr>
        <b/>
        <sz val="10"/>
        <color theme="1"/>
        <rFont val="Calibri"/>
        <family val="2"/>
      </rPr>
      <t>100</t>
    </r>
    <r>
      <rPr>
        <sz val="10"/>
        <color theme="1"/>
        <rFont val="Calibri"/>
        <family val="2"/>
      </rPr>
      <t xml:space="preserve"> - All of them
</t>
    </r>
    <r>
      <rPr>
        <b/>
        <sz val="10"/>
        <color theme="1"/>
        <rFont val="Calibri"/>
        <family val="2"/>
      </rPr>
      <t>50</t>
    </r>
    <r>
      <rPr>
        <sz val="10"/>
        <color theme="1"/>
        <rFont val="Calibri"/>
        <family val="2"/>
      </rPr>
      <t xml:space="preserve"> - A and (C or certain categories of B) 
</t>
    </r>
    <r>
      <rPr>
        <b/>
        <sz val="10"/>
        <color theme="1"/>
        <rFont val="Calibri"/>
        <family val="2"/>
      </rPr>
      <t>0</t>
    </r>
    <r>
      <rPr>
        <sz val="10"/>
        <color theme="1"/>
        <rFont val="Calibri"/>
        <family val="2"/>
      </rPr>
      <t xml:space="preserve"> - Only A or none</t>
    </r>
  </si>
  <si>
    <r>
      <rPr>
        <b/>
        <sz val="10"/>
        <color theme="1"/>
        <rFont val="Calibri"/>
        <family val="2"/>
      </rPr>
      <t>100</t>
    </r>
    <r>
      <rPr>
        <sz val="10"/>
        <color theme="1"/>
        <rFont val="Calibri"/>
        <family val="2"/>
      </rPr>
      <t xml:space="preserve"> - All of them has access to both 1) and 2)
67 - All of them has access to 1) 
</t>
    </r>
    <r>
      <rPr>
        <b/>
        <sz val="10"/>
        <color theme="1"/>
        <rFont val="Calibri"/>
        <family val="2"/>
      </rPr>
      <t>33</t>
    </r>
    <r>
      <rPr>
        <sz val="10"/>
        <color theme="1"/>
        <rFont val="Calibri"/>
        <family val="2"/>
      </rPr>
      <t xml:space="preserve"> - A and (C or certain categories of B) has equal access to 1)
</t>
    </r>
    <r>
      <rPr>
        <b/>
        <sz val="10"/>
        <color theme="1"/>
        <rFont val="Calibri"/>
        <family val="2"/>
      </rPr>
      <t>0</t>
    </r>
    <r>
      <rPr>
        <sz val="10"/>
        <color theme="1"/>
        <rFont val="Calibri"/>
        <family val="2"/>
      </rPr>
      <t xml:space="preserve"> - Only A or none has equal access to 1) 
</t>
    </r>
  </si>
  <si>
    <r>
      <t>100</t>
    </r>
    <r>
      <rPr>
        <sz val="10"/>
        <color theme="1"/>
        <rFont val="Calibri"/>
        <family val="2"/>
      </rPr>
      <t xml:space="preserve"> - Same procedures and fees as for nationals 
</t>
    </r>
    <r>
      <rPr>
        <b/>
        <sz val="10"/>
        <color theme="1"/>
        <rFont val="Calibri"/>
        <family val="2"/>
      </rPr>
      <t>50</t>
    </r>
    <r>
      <rPr>
        <sz val="10"/>
        <color theme="1"/>
        <rFont val="Calibri"/>
        <family val="2"/>
      </rPr>
      <t xml:space="preserve"> - Different procedure than for nationals (e.g. more documents and/or higher fees are required)
</t>
    </r>
    <r>
      <rPr>
        <b/>
        <sz val="10"/>
        <color theme="1"/>
        <rFont val="Calibri"/>
        <family val="2"/>
      </rPr>
      <t>0</t>
    </r>
    <r>
      <rPr>
        <sz val="10"/>
        <color theme="1"/>
        <rFont val="Calibri"/>
        <family val="2"/>
      </rPr>
      <t xml:space="preserve"> - Ad hoc/No procedure for recognition of titles for certain TCN residents or certain fields of study (e.g. recognition depending on mutual recognition agreements)</t>
    </r>
  </si>
  <si>
    <r>
      <rPr>
        <b/>
        <sz val="10"/>
        <rFont val="Calibri"/>
        <family val="2"/>
      </rPr>
      <t>100</t>
    </r>
    <r>
      <rPr>
        <sz val="10"/>
        <rFont val="Calibri"/>
        <family val="2"/>
      </rPr>
      <t xml:space="preserve"> - A and b (please specify content)
</t>
    </r>
    <r>
      <rPr>
        <b/>
        <sz val="10"/>
        <rFont val="Calibri"/>
        <family val="2"/>
      </rPr>
      <t>50</t>
    </r>
    <r>
      <rPr>
        <sz val="10"/>
        <rFont val="Calibri"/>
        <family val="2"/>
      </rPr>
      <t xml:space="preserve"> - A or b (please specify content)
</t>
    </r>
    <r>
      <rPr>
        <b/>
        <sz val="10"/>
        <rFont val="Calibri"/>
        <family val="2"/>
      </rPr>
      <t>0</t>
    </r>
    <r>
      <rPr>
        <sz val="10"/>
        <rFont val="Calibri"/>
        <family val="2"/>
      </rPr>
      <t xml:space="preserve"> - Only ad hoc (mainly through projects implemented by NGOs)</t>
    </r>
  </si>
  <si>
    <r>
      <rPr>
        <b/>
        <sz val="10"/>
        <rFont val="Calibri"/>
        <family val="2"/>
      </rPr>
      <t>100</t>
    </r>
    <r>
      <rPr>
        <sz val="10"/>
        <rFont val="Calibri"/>
        <family val="2"/>
      </rPr>
      <t xml:space="preserve"> - Both (please specify content)
</t>
    </r>
    <r>
      <rPr>
        <b/>
        <sz val="10"/>
        <rFont val="Calibri"/>
        <family val="2"/>
      </rPr>
      <t>50</t>
    </r>
    <r>
      <rPr>
        <sz val="10"/>
        <rFont val="Calibri"/>
        <family val="2"/>
      </rPr>
      <t xml:space="preserve"> -One of these (please specify content)
</t>
    </r>
    <r>
      <rPr>
        <b/>
        <sz val="10"/>
        <rFont val="Calibri"/>
        <family val="2"/>
      </rPr>
      <t>0</t>
    </r>
    <r>
      <rPr>
        <sz val="10"/>
        <rFont val="Calibri"/>
        <family val="2"/>
      </rPr>
      <t xml:space="preserve"> - Only ad hoc (mainly through projects implemented by NGOs)</t>
    </r>
  </si>
  <si>
    <r>
      <rPr>
        <b/>
        <sz val="10"/>
        <color theme="1"/>
        <rFont val="Calibri"/>
        <family val="2"/>
      </rPr>
      <t xml:space="preserve">100 - </t>
    </r>
    <r>
      <rPr>
        <sz val="10"/>
        <color theme="1"/>
        <rFont val="Calibri"/>
        <family val="2"/>
      </rPr>
      <t xml:space="preserve">All of them
</t>
    </r>
    <r>
      <rPr>
        <b/>
        <sz val="10"/>
        <color theme="1"/>
        <rFont val="Calibri"/>
        <family val="2"/>
      </rPr>
      <t>50</t>
    </r>
    <r>
      <rPr>
        <sz val="10"/>
        <color theme="1"/>
        <rFont val="Calibri"/>
        <family val="2"/>
      </rPr>
      <t xml:space="preserve"> - A and (C or certain categories of B) 
</t>
    </r>
    <r>
      <rPr>
        <b/>
        <sz val="10"/>
        <color theme="1"/>
        <rFont val="Calibri"/>
        <family val="2"/>
      </rPr>
      <t>0</t>
    </r>
    <r>
      <rPr>
        <sz val="10"/>
        <color theme="1"/>
        <rFont val="Calibri"/>
        <family val="2"/>
      </rPr>
      <t xml:space="preserve"> - Only A or none</t>
    </r>
  </si>
  <si>
    <t>Score</t>
  </si>
  <si>
    <t>Comments</t>
  </si>
  <si>
    <t xml:space="preserve">Score </t>
  </si>
  <si>
    <t>a, trainings and bridging courses are mainly offered in the big cities vienna and linz, not in all austrian regions</t>
  </si>
  <si>
    <t>the regulation in the social assistance act (Sozialhilfegrundsatzgesetz) to need German or English knowledge was overturned by the Austrian constituional court  VfGH G 164/2019-25, G 171/2019-24 vom 12.12.2019</t>
  </si>
  <si>
    <t xml:space="preserve">certain study grants for termporarily displaced persons from ukraine and expemtion from tuiton fees </t>
  </si>
  <si>
    <t>People from Ukraine with temporary protection have free acces to the labour market since 21.4.2023, art 1 par. 2 lit k aliens emlpoyment act. BGBl. I Nr. 43/2023</t>
  </si>
  <si>
    <t>Family Reunification Strand</t>
  </si>
  <si>
    <t>b</t>
  </si>
  <si>
    <t>ba21</t>
  </si>
  <si>
    <t>ba26ba27</t>
  </si>
  <si>
    <t>bb28</t>
  </si>
  <si>
    <t>bb29</t>
  </si>
  <si>
    <t>bb30bb31</t>
  </si>
  <si>
    <t>bc34</t>
  </si>
  <si>
    <t>bc35</t>
  </si>
  <si>
    <t>bc36</t>
  </si>
  <si>
    <t>bd38</t>
  </si>
  <si>
    <t>bb28a</t>
  </si>
  <si>
    <t>bb28b</t>
  </si>
  <si>
    <t>bb29a</t>
  </si>
  <si>
    <t>bb29b</t>
  </si>
  <si>
    <t>bb29c</t>
  </si>
  <si>
    <t>bb31</t>
  </si>
  <si>
    <t>bb30</t>
  </si>
  <si>
    <t>Family Reunion</t>
  </si>
  <si>
    <t>Residence period</t>
  </si>
  <si>
    <t>Dependent relatives</t>
  </si>
  <si>
    <t xml:space="preserve">Pre-entry or immediately post-entry (i.e. in the first six months) </t>
  </si>
  <si>
    <t>a. Pre-entry or immediately post-entry (i.e. in the first six months) language form</t>
  </si>
  <si>
    <t>b. Pre-entry or immediately post-entry (i.e. in the first six months) integration form</t>
  </si>
  <si>
    <t>In-country integration requirement</t>
  </si>
  <si>
    <t>a. In-country language form</t>
  </si>
  <si>
    <t>b. In-country language level</t>
  </si>
  <si>
    <t>c. In-country integration form</t>
  </si>
  <si>
    <t>Requirements</t>
  </si>
  <si>
    <t>Economic resources</t>
  </si>
  <si>
    <t>Accommodation</t>
  </si>
  <si>
    <t>Duration of the validity of permit</t>
  </si>
  <si>
    <t>Grounds for rejection, withdrawal, refusal</t>
  </si>
  <si>
    <t xml:space="preserve">Personal circumstances considered </t>
  </si>
  <si>
    <t>Right to autonomous residence permit for partners and children</t>
  </si>
  <si>
    <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color theme="1"/>
        <rFont val="Calibri"/>
        <family val="2"/>
      </rPr>
      <t>Please specify in the comment box the exact number of months required</t>
    </r>
    <r>
      <rPr>
        <sz val="10"/>
        <color theme="1"/>
        <rFont val="Calibri"/>
        <family val="2"/>
      </rPr>
      <t>)</t>
    </r>
  </si>
  <si>
    <t>Eligibility for dependent relatives:
a) parents/grandparents
b) adult children</t>
  </si>
  <si>
    <t>Form of pre-departure or immediately post-entry (i.e. in the first six months) language measure for family member abroad</t>
  </si>
  <si>
    <t>Form of pre-departure or immediately post-entry (i.e. in the first six months) integration measure for family member abroad, e.g. not language, but social/cultural</t>
  </si>
  <si>
    <t>Form of language requirement for sponsor and/or family member after arrival on territory
Note: Can be test, interview, completion of course, or other for country of assessments.
(if no requirement, skip to question bb30b31)</t>
  </si>
  <si>
    <t>Level of language requirement 
Note: Can be test, interview, completion of course, or other for country of assessments.</t>
  </si>
  <si>
    <t>Form of integration requirement for sponsor and/or family member after arrival on territory e.g. not language but social/cultural (if no requirement, skip to question 30)</t>
  </si>
  <si>
    <t>Economic resources requirement</t>
  </si>
  <si>
    <t>Accommodation requirement</t>
  </si>
  <si>
    <t>Grounds for rejecting, withdrawing or refusing to renew status: 
a. Actual and serious threat to public policy or national security, 
b. Proven fraud in the acquisition of permit (inexistent relationship or misleading information).
c. Break-up of family relationship (before three years)
d. Original conditions are no longer satisfied (e.g. unemployment or economic resources)</t>
  </si>
  <si>
    <t>Before refusal or withdrawal, due account is taken of (regulated by law) :                                                                                                               a. Solidity of sponsor’s family relationship
b. Duration of sponsor’s residence in country
c. Existing links with country of origin
d. Physical or emotional violence</t>
  </si>
  <si>
    <t>Right to autonomous residence permit  for partners and children at age of majority (permit is renewable and independent of sponsor)</t>
  </si>
  <si>
    <r>
      <rPr>
        <b/>
        <sz val="10"/>
        <color theme="1"/>
        <rFont val="Calibri"/>
        <family val="2"/>
      </rPr>
      <t>100</t>
    </r>
    <r>
      <rPr>
        <sz val="10"/>
        <color theme="1"/>
        <rFont val="Calibri"/>
        <family val="2"/>
      </rPr>
      <t xml:space="preserve"> - No residence requirement
</t>
    </r>
    <r>
      <rPr>
        <b/>
        <sz val="10"/>
        <color theme="1"/>
        <rFont val="Calibri"/>
        <family val="2"/>
      </rPr>
      <t>50</t>
    </r>
    <r>
      <rPr>
        <sz val="10"/>
        <color theme="1"/>
        <rFont val="Calibri"/>
        <family val="2"/>
      </rPr>
      <t xml:space="preserve"> - ≤  1 year
</t>
    </r>
    <r>
      <rPr>
        <b/>
        <sz val="10"/>
        <color theme="1"/>
        <rFont val="Calibri"/>
        <family val="2"/>
      </rPr>
      <t xml:space="preserve">0 </t>
    </r>
    <r>
      <rPr>
        <sz val="10"/>
        <color theme="1"/>
        <rFont val="Calibri"/>
        <family val="2"/>
      </rPr>
      <t>- &gt;1 year or no legal entitlement to family reunification for ordinary residents.</t>
    </r>
  </si>
  <si>
    <r>
      <rPr>
        <b/>
        <sz val="10"/>
        <color theme="1"/>
        <rFont val="Calibri"/>
        <family val="2"/>
      </rPr>
      <t>100</t>
    </r>
    <r>
      <rPr>
        <sz val="10"/>
        <color theme="1"/>
        <rFont val="Calibri"/>
        <family val="2"/>
      </rPr>
      <t xml:space="preserve"> - Allowed for both a) and b)
</t>
    </r>
    <r>
      <rPr>
        <b/>
        <sz val="10"/>
        <color theme="1"/>
        <rFont val="Calibri"/>
        <family val="2"/>
      </rPr>
      <t>75</t>
    </r>
    <r>
      <rPr>
        <sz val="10"/>
        <color theme="1"/>
        <rFont val="Calibri"/>
        <family val="2"/>
      </rPr>
      <t xml:space="preserve"> - Allowed for either a) or b)
</t>
    </r>
    <r>
      <rPr>
        <b/>
        <sz val="10"/>
        <color theme="1"/>
        <rFont val="Calibri"/>
        <family val="2"/>
      </rPr>
      <t>50</t>
    </r>
    <r>
      <rPr>
        <sz val="10"/>
        <color theme="1"/>
        <rFont val="Calibri"/>
        <family val="2"/>
      </rPr>
      <t xml:space="preserve"> - Restrictive definition of dependency (e.g. only one ground e.g. poor health or income or no access to social benefits) for both a) and b)
</t>
    </r>
    <r>
      <rPr>
        <b/>
        <sz val="10"/>
        <color theme="1"/>
        <rFont val="Calibri"/>
        <family val="2"/>
      </rPr>
      <t>25</t>
    </r>
    <r>
      <rPr>
        <sz val="10"/>
        <color theme="1"/>
        <rFont val="Calibri"/>
        <family val="2"/>
      </rPr>
      <t xml:space="preserve"> - Restrictive definition of dependency (e.g. only one ground e.g. poor health or income or no access to social benefits) for either a) or b)
</t>
    </r>
    <r>
      <rPr>
        <b/>
        <sz val="10"/>
        <color theme="1"/>
        <rFont val="Calibri"/>
        <family val="2"/>
      </rPr>
      <t>0</t>
    </r>
    <r>
      <rPr>
        <sz val="10"/>
        <color theme="1"/>
        <rFont val="Calibri"/>
        <family val="2"/>
      </rPr>
      <t xml:space="preserve"> - Not allowed or by discretion/exception for both a) and b)</t>
    </r>
  </si>
  <si>
    <r>
      <t>0</t>
    </r>
    <r>
      <rPr>
        <sz val="10"/>
        <rFont val="Calibri"/>
        <family val="2"/>
      </rPr>
      <t xml:space="preserve"> - bb28a=0 &amp; bb28b=0 
</t>
    </r>
    <r>
      <rPr>
        <b/>
        <sz val="10"/>
        <rFont val="Calibri"/>
        <family val="2"/>
      </rPr>
      <t>17</t>
    </r>
    <r>
      <rPr>
        <sz val="10"/>
        <rFont val="Calibri"/>
        <family val="2"/>
      </rPr>
      <t xml:space="preserve"> - bb28a=50 &amp; bb28b=0
</t>
    </r>
    <r>
      <rPr>
        <b/>
        <sz val="10"/>
        <rFont val="Calibri"/>
        <family val="2"/>
      </rPr>
      <t>33</t>
    </r>
    <r>
      <rPr>
        <sz val="10"/>
        <rFont val="Calibri"/>
        <family val="2"/>
      </rPr>
      <t xml:space="preserve"> - bb28a=0 &amp; bb28b=50
</t>
    </r>
    <r>
      <rPr>
        <b/>
        <sz val="10"/>
        <rFont val="Calibri"/>
        <family val="2"/>
      </rPr>
      <t>50</t>
    </r>
    <r>
      <rPr>
        <sz val="10"/>
        <rFont val="Calibri"/>
        <family val="2"/>
      </rPr>
      <t xml:space="preserve"> - bb28a=50 &amp; bb28b=50
</t>
    </r>
    <r>
      <rPr>
        <b/>
        <sz val="10"/>
        <rFont val="Calibri"/>
        <family val="2"/>
      </rPr>
      <t>67</t>
    </r>
    <r>
      <rPr>
        <sz val="10"/>
        <rFont val="Calibri"/>
        <family val="2"/>
      </rPr>
      <t xml:space="preserve"> - bb28a=0 &amp; bb28b=100
</t>
    </r>
    <r>
      <rPr>
        <b/>
        <sz val="10"/>
        <rFont val="Calibri"/>
        <family val="2"/>
      </rPr>
      <t>83</t>
    </r>
    <r>
      <rPr>
        <sz val="10"/>
        <rFont val="Calibri"/>
        <family val="2"/>
      </rPr>
      <t xml:space="preserve"> - bb28a=50 &amp; bb28b=100
</t>
    </r>
    <r>
      <rPr>
        <b/>
        <sz val="10"/>
        <rFont val="Calibri"/>
        <family val="2"/>
      </rPr>
      <t>100</t>
    </r>
    <r>
      <rPr>
        <sz val="10"/>
        <rFont val="Calibri"/>
        <family val="2"/>
      </rPr>
      <t xml:space="preserve"> - bb28a=100</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</si>
  <si>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t>
    </r>
    <r>
      <rPr>
        <sz val="10"/>
        <color theme="1"/>
        <rFont val="Calibri"/>
        <family val="2"/>
      </rPr>
      <t xml:space="preserve"> - Requirement to take a language course
</t>
    </r>
    <r>
      <rPr>
        <b/>
        <sz val="10"/>
        <color theme="1"/>
        <rFont val="Calibri"/>
        <family val="2"/>
      </rPr>
      <t>0</t>
    </r>
    <r>
      <rPr>
        <sz val="10"/>
        <color theme="1"/>
        <rFont val="Calibri"/>
        <family val="2"/>
      </rPr>
      <t xml:space="preserve"> - Requirement includes language test/assessment</t>
    </r>
  </si>
  <si>
    <r>
      <rPr>
        <b/>
        <sz val="10"/>
        <color theme="1"/>
        <rFont val="Calibri"/>
        <family val="2"/>
      </rPr>
      <t xml:space="preserve">100- </t>
    </r>
    <r>
      <rPr>
        <sz val="10"/>
        <color theme="1"/>
        <rFont val="Calibri"/>
        <family val="2"/>
      </rPr>
      <t xml:space="preserve"> None measure OR voluntary information/course (please specify)
</t>
    </r>
    <r>
      <rPr>
        <b/>
        <sz val="10"/>
        <color theme="1"/>
        <rFont val="Calibri"/>
        <family val="2"/>
      </rPr>
      <t>50</t>
    </r>
    <r>
      <rPr>
        <sz val="10"/>
        <color theme="1"/>
        <rFont val="Calibri"/>
        <family val="2"/>
      </rPr>
      <t xml:space="preserve"> - Requirement to take an integration course
</t>
    </r>
    <r>
      <rPr>
        <b/>
        <sz val="10"/>
        <color theme="1"/>
        <rFont val="Calibri"/>
        <family val="2"/>
      </rPr>
      <t>0</t>
    </r>
    <r>
      <rPr>
        <sz val="10"/>
        <color theme="1"/>
        <rFont val="Calibri"/>
        <family val="2"/>
      </rPr>
      <t xml:space="preserve"> - Requirement to pass an integration test/assessment</t>
    </r>
  </si>
  <si>
    <t>0 - bb29a=0 &amp; bb29b=0 &amp; bb29c=0
10 - bb29a=0 &amp; bb29b=50 &amp; bb29c=0
20 - bb29a=0 &amp; bb29b=100 &amp; bb29c=0
30 - bb29a=0 &amp; bb29b=0 &amp; bb29c=50
40 - bb29a=0 &amp; bb29b=50 &amp; bb29c=50
50 - bb29a=0 &amp; bb29b=100 &amp; bb29c=50
60 - bb29a=0 &amp; bb29b=0 &amp; bb29c=100
70 - bb29a=0 &amp; bb29b=50 &amp; bb29c=100
80 - bb29a=0 &amp; bb29b=100 &amp; bb29c=100
90 - bb29a=50
100 - bb29a=100</t>
  </si>
  <si>
    <r>
      <rPr>
        <b/>
        <sz val="10"/>
        <color theme="1"/>
        <rFont val="Calibri"/>
        <family val="2"/>
      </rPr>
      <t xml:space="preserve">100 </t>
    </r>
    <r>
      <rPr>
        <sz val="10"/>
        <color theme="1"/>
        <rFont val="Calibri"/>
        <family val="2"/>
      </rPr>
      <t xml:space="preserve">- No Requirement OR Voluntary course/information (please specify which)
</t>
    </r>
    <r>
      <rPr>
        <b/>
        <sz val="10"/>
        <color theme="1"/>
        <rFont val="Calibri"/>
        <family val="2"/>
      </rPr>
      <t>50</t>
    </r>
    <r>
      <rPr>
        <sz val="10"/>
        <color theme="1"/>
        <rFont val="Calibri"/>
        <family val="2"/>
      </rPr>
      <t xml:space="preserve"> - Requirement to take a language course
</t>
    </r>
    <r>
      <rPr>
        <b/>
        <sz val="10"/>
        <color theme="1"/>
        <rFont val="Calibri"/>
        <family val="2"/>
      </rPr>
      <t>0</t>
    </r>
    <r>
      <rPr>
        <sz val="10"/>
        <color theme="1"/>
        <rFont val="Calibri"/>
        <family val="2"/>
      </rPr>
      <t xml:space="preserve"> - Requirement includes language test/assessment</t>
    </r>
  </si>
  <si>
    <r>
      <rPr>
        <b/>
        <sz val="10"/>
        <color theme="1"/>
        <rFont val="Calibri"/>
        <family val="2"/>
      </rPr>
      <t>100</t>
    </r>
    <r>
      <rPr>
        <sz val="10"/>
        <color theme="1"/>
        <rFont val="Calibri"/>
        <family val="2"/>
      </rPr>
      <t xml:space="preserve"> -  A1 or less set as standard
</t>
    </r>
    <r>
      <rPr>
        <b/>
        <sz val="10"/>
        <color theme="1"/>
        <rFont val="Calibri"/>
        <family val="2"/>
      </rPr>
      <t>50</t>
    </r>
    <r>
      <rPr>
        <sz val="10"/>
        <color theme="1"/>
        <rFont val="Calibri"/>
        <family val="2"/>
      </rPr>
      <t xml:space="preserve"> - A2 set as standard
</t>
    </r>
    <r>
      <rPr>
        <b/>
        <sz val="10"/>
        <color theme="1"/>
        <rFont val="Calibri"/>
        <family val="2"/>
      </rPr>
      <t>0</t>
    </r>
    <r>
      <rPr>
        <sz val="10"/>
        <color theme="1"/>
        <rFont val="Calibri"/>
        <family val="2"/>
      </rPr>
      <t xml:space="preserve"> - B1 or higher set as standard. OR no standards, based on administrative discretion. (please specify which)</t>
    </r>
  </si>
  <si>
    <t>100 - No Requirement OR Voluntary course/information (please specify which)
50 - Requirement to take an integration course
0 - Requirement includes integration test/assessment</t>
  </si>
  <si>
    <r>
      <rPr>
        <b/>
        <sz val="10"/>
        <color theme="1"/>
        <rFont val="Calibri"/>
        <family val="2"/>
      </rPr>
      <t>100</t>
    </r>
    <r>
      <rPr>
        <sz val="10"/>
        <color theme="1"/>
        <rFont val="Calibri"/>
        <family val="2"/>
      </rPr>
      <t xml:space="preserve"> - None or at/below level of social assistance and no income source is excluded (please specify)
</t>
    </r>
    <r>
      <rPr>
        <b/>
        <sz val="10"/>
        <color theme="1"/>
        <rFont val="Calibri"/>
        <family val="2"/>
      </rPr>
      <t>50</t>
    </r>
    <r>
      <rPr>
        <sz val="10"/>
        <color theme="1"/>
        <rFont val="Calibri"/>
        <family val="2"/>
      </rPr>
      <t xml:space="preserve"> - Higher than social assistance and no income source is excluded
</t>
    </r>
    <r>
      <rPr>
        <b/>
        <sz val="10"/>
        <color theme="1"/>
        <rFont val="Calibri"/>
        <family val="2"/>
      </rPr>
      <t>0</t>
    </r>
    <r>
      <rPr>
        <sz val="10"/>
        <color theme="1"/>
        <rFont val="Calibri"/>
        <family val="2"/>
      </rPr>
      <t xml:space="preserve"> - Income source linked to employment or no use of social assistance</t>
    </r>
  </si>
  <si>
    <r>
      <rPr>
        <b/>
        <sz val="10"/>
        <color theme="1"/>
        <rFont val="Calibri"/>
        <family val="2"/>
      </rPr>
      <t>100</t>
    </r>
    <r>
      <rPr>
        <sz val="10"/>
        <color theme="1"/>
        <rFont val="Calibri"/>
        <family val="2"/>
      </rPr>
      <t xml:space="preserve"> - None  
</t>
    </r>
    <r>
      <rPr>
        <b/>
        <sz val="10"/>
        <color theme="1"/>
        <rFont val="Calibri"/>
        <family val="2"/>
      </rPr>
      <t>50</t>
    </r>
    <r>
      <rPr>
        <sz val="10"/>
        <color theme="1"/>
        <rFont val="Calibri"/>
        <family val="2"/>
      </rPr>
      <t xml:space="preserve"> - Appropriate accommodation meeting the general health and safety standards
</t>
    </r>
    <r>
      <rPr>
        <b/>
        <sz val="10"/>
        <color theme="1"/>
        <rFont val="Calibri"/>
        <family val="2"/>
      </rPr>
      <t xml:space="preserve">0 - </t>
    </r>
    <r>
      <rPr>
        <sz val="10"/>
        <color theme="1"/>
        <rFont val="Calibri"/>
        <family val="2"/>
      </rPr>
      <t>Further requirements (please specify)</t>
    </r>
  </si>
  <si>
    <r>
      <rPr>
        <b/>
        <sz val="10"/>
        <color theme="1"/>
        <rFont val="Calibri"/>
        <family val="2"/>
      </rPr>
      <t>100</t>
    </r>
    <r>
      <rPr>
        <sz val="10"/>
        <color theme="1"/>
        <rFont val="Calibri"/>
        <family val="2"/>
      </rPr>
      <t xml:space="preserve"> - Equal to sponsor's residence permit and renewable 
</t>
    </r>
    <r>
      <rPr>
        <b/>
        <sz val="10"/>
        <color theme="1"/>
        <rFont val="Calibri"/>
        <family val="2"/>
      </rPr>
      <t>50</t>
    </r>
    <r>
      <rPr>
        <sz val="10"/>
        <color theme="1"/>
        <rFont val="Calibri"/>
        <family val="2"/>
      </rPr>
      <t xml:space="preserve"> - Not equal to sponsor’s but ≥ 1 year renewable permit
</t>
    </r>
    <r>
      <rPr>
        <b/>
        <sz val="10"/>
        <color theme="1"/>
        <rFont val="Calibri"/>
        <family val="2"/>
      </rPr>
      <t>0</t>
    </r>
    <r>
      <rPr>
        <sz val="10"/>
        <color theme="1"/>
        <rFont val="Calibri"/>
        <family val="2"/>
      </rPr>
      <t xml:space="preserve"> - &lt; 1 year renewable permit or new application necessary</t>
    </r>
  </si>
  <si>
    <r>
      <rPr>
        <b/>
        <sz val="10"/>
        <color theme="1"/>
        <rFont val="Calibri"/>
        <family val="2"/>
      </rPr>
      <t xml:space="preserve">100 - </t>
    </r>
    <r>
      <rPr>
        <sz val="10"/>
        <color theme="1"/>
        <rFont val="Calibri"/>
        <family val="2"/>
      </rPr>
      <t xml:space="preserve">No other than b
</t>
    </r>
    <r>
      <rPr>
        <b/>
        <sz val="10"/>
        <color theme="1"/>
        <rFont val="Calibri"/>
        <family val="2"/>
      </rPr>
      <t>50</t>
    </r>
    <r>
      <rPr>
        <sz val="10"/>
        <color theme="1"/>
        <rFont val="Calibri"/>
        <family val="2"/>
      </rPr>
      <t xml:space="preserve"> - Grounds include a,b,c
</t>
    </r>
    <r>
      <rPr>
        <b/>
        <sz val="10"/>
        <color theme="1"/>
        <rFont val="Calibri"/>
        <family val="2"/>
      </rPr>
      <t>0</t>
    </r>
    <r>
      <rPr>
        <sz val="10"/>
        <color theme="1"/>
        <rFont val="Calibri"/>
        <family val="2"/>
      </rPr>
      <t xml:space="preserve"> - Includes others like d (please specify) </t>
    </r>
  </si>
  <si>
    <r>
      <rPr>
        <b/>
        <sz val="10"/>
        <color theme="1"/>
        <rFont val="Calibri"/>
        <family val="2"/>
      </rPr>
      <t>100</t>
    </r>
    <r>
      <rPr>
        <sz val="10"/>
        <color theme="1"/>
        <rFont val="Calibri"/>
        <family val="2"/>
      </rPr>
      <t xml:space="preserve"> - All elements
</t>
    </r>
    <r>
      <rPr>
        <b/>
        <sz val="10"/>
        <color theme="1"/>
        <rFont val="Calibri"/>
        <family val="2"/>
      </rPr>
      <t>50</t>
    </r>
    <r>
      <rPr>
        <sz val="10"/>
        <color theme="1"/>
        <rFont val="Calibri"/>
        <family val="2"/>
      </rPr>
      <t xml:space="preserve"> - Elements include any of these or other but not all 
</t>
    </r>
    <r>
      <rPr>
        <b/>
        <sz val="10"/>
        <color theme="1"/>
        <rFont val="Calibri"/>
        <family val="2"/>
      </rPr>
      <t>0</t>
    </r>
    <r>
      <rPr>
        <sz val="10"/>
        <color theme="1"/>
        <rFont val="Calibri"/>
        <family val="2"/>
      </rPr>
      <t xml:space="preserve"> - No elements </t>
    </r>
  </si>
  <si>
    <r>
      <rPr>
        <b/>
        <sz val="10"/>
        <color theme="1"/>
        <rFont val="Calibri"/>
        <family val="2"/>
      </rPr>
      <t>100</t>
    </r>
    <r>
      <rPr>
        <sz val="10"/>
        <color theme="1"/>
        <rFont val="Calibri"/>
        <family val="2"/>
      </rPr>
      <t xml:space="preserve"> - After ≤ 3 years
</t>
    </r>
    <r>
      <rPr>
        <b/>
        <sz val="10"/>
        <color theme="1"/>
        <rFont val="Calibri"/>
        <family val="2"/>
      </rPr>
      <t>50</t>
    </r>
    <r>
      <rPr>
        <sz val="10"/>
        <color theme="1"/>
        <rFont val="Calibri"/>
        <family val="2"/>
      </rPr>
      <t xml:space="preserve">  - After &gt; 3 ≤ 5 years
</t>
    </r>
    <r>
      <rPr>
        <b/>
        <sz val="10"/>
        <color theme="1"/>
        <rFont val="Calibri"/>
        <family val="2"/>
      </rPr>
      <t>0</t>
    </r>
    <r>
      <rPr>
        <sz val="10"/>
        <color theme="1"/>
        <rFont val="Calibri"/>
        <family val="2"/>
      </rPr>
      <t xml:space="preserve"> - After &gt; 5 years, upon certain conditions or no right (e.g. normal procedure for permanent residence)</t>
    </r>
  </si>
  <si>
    <t xml:space="preserve">Year </t>
  </si>
  <si>
    <t xml:space="preserve">Comments </t>
  </si>
  <si>
    <t xml:space="preserve">Comment </t>
  </si>
  <si>
    <t>Comment</t>
  </si>
  <si>
    <t xml:space="preserve">decision of the administrative court with reference to the judgment of the eugh: when assessing whether a child is a minor, the point in time at which the application is filed is to be taken into account. VwGH vom 09.09.2020 Ra 2019/22/0070
    </t>
  </si>
  <si>
    <t>Amendment of the SRA (settlement and residence act): duration of validity of residence permit of family members of highly skilled migrants with RWR card or Blue Card EU equal to sponsors (2 years)</t>
  </si>
  <si>
    <t>Education Strand</t>
  </si>
  <si>
    <t>c</t>
  </si>
  <si>
    <t>ca45ca47</t>
  </si>
  <si>
    <t>ca49</t>
  </si>
  <si>
    <t>cb50</t>
  </si>
  <si>
    <t>cb51</t>
  </si>
  <si>
    <t>cb53</t>
  </si>
  <si>
    <t>cd60</t>
  </si>
  <si>
    <t>cc59cd64</t>
  </si>
  <si>
    <t>cb51a</t>
  </si>
  <si>
    <t>cb51b</t>
  </si>
  <si>
    <t>cb51c</t>
  </si>
  <si>
    <t>cc59</t>
  </si>
  <si>
    <t xml:space="preserve">cd64 </t>
  </si>
  <si>
    <t>Education</t>
  </si>
  <si>
    <t>Access to compulsory  and non-compulsory education</t>
  </si>
  <si>
    <t>Access to higher education</t>
  </si>
  <si>
    <t>Educational guidance at all level</t>
  </si>
  <si>
    <t xml:space="preserve">a. Language instruction </t>
  </si>
  <si>
    <t>b. Communicative/academic fluency</t>
  </si>
  <si>
    <t>c. Language instruction standards</t>
  </si>
  <si>
    <t>Measures to address educational situation of migrant groups</t>
  </si>
  <si>
    <t>School curriculum to reflect diversity</t>
  </si>
  <si>
    <t>Diversity at school</t>
  </si>
  <si>
    <t>Measures to bring migrants into the teacher workforce</t>
  </si>
  <si>
    <t xml:space="preserve">Teacher training to reflect diversity </t>
  </si>
  <si>
    <t>Access to compulsory and non-compulsary education:
a) Access to compulsory education is a legal right for all compulsory-age children in the country, regardless of their residence status (includes undocumented)
b) Access to non-compulsory education (e.g. pre-primary, vocational training and university education): Access is a legal right for all categories of migrants in the country, regardless of their residence status (includes undocumented).
Note: Use definition of compulsory in your country (please specify)</t>
  </si>
  <si>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</si>
  <si>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t>Access to advice and guidance on system and choices at all levels of compulsory and non-compulsory education (pre-primary to higher):
a. Written information on educational system in migrant languages of origin;
b. Provision of resource persons/centres for orientation of migrant pupils;
c. Provision of interpretation services for families of migrant pupils for general educational advice and guidance at all levels.</t>
  </si>
  <si>
    <t>Average of cb51</t>
  </si>
  <si>
    <t>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
(If no provision, please skip to question cb53)</t>
  </si>
  <si>
    <t>Provision includes: 
a. Communicative literacy (general fluency in reading, writing, and communicating in the language);
b. Academic literacy (fluency in studying, researching, and communicating in the language in the school academic setting).</t>
  </si>
  <si>
    <t>Provision includes quality measures:
a. Requirement for courses to use established second-language learning standards;
b. Requirement for teachers to be specialised and certified in these standards;
c. Curriculum standards are monitored by a state body.</t>
  </si>
  <si>
    <t>Targeted policies to address educational situation of migrant groups: 
a. Systematic provision of guidance  (e.g. teaching assistance, homework support);
b. Systematic provision of financial resources.</t>
  </si>
  <si>
    <t>The official aims of intercultural education include the appreciation of cultural diversity, and is delivered:
a. As a stand-alone curriculum subject;
b. Integrated throughout the curriculum.</t>
  </si>
  <si>
    <t>Measures (e.g. campaigns, incentives, support) to support bringing migrants into the teacher workforce:
a. To encourage more migrants to study and qualify as teachers;
b. To encourage more migrants to enter the teacher workforce.</t>
  </si>
  <si>
    <t>Teacher training and professional development programmes require intercultural education and the appreciation of cultural diversity for all teachers:
a. Topic required in pre-service training  in order to qualify as a teacher;
b. Topic required  in obligatory in-service professional development training.</t>
  </si>
  <si>
    <r>
      <rPr>
        <b/>
        <sz val="10"/>
        <color theme="1"/>
        <rFont val="Calibri"/>
        <family val="2"/>
      </rPr>
      <t xml:space="preserve">100 </t>
    </r>
    <r>
      <rPr>
        <sz val="10"/>
        <color theme="1"/>
        <rFont val="Calibri"/>
        <family val="2"/>
      </rPr>
      <t xml:space="preserve">- Explicit obligation in law for all categories of migrants to have  same access as nationals to a), and NO restrictions in law on access for some categories of migrants for b) 
</t>
    </r>
    <r>
      <rPr>
        <b/>
        <sz val="10"/>
        <color theme="1"/>
        <rFont val="Calibri"/>
        <family val="2"/>
      </rPr>
      <t>67</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theme="1"/>
        <rFont val="Calibri"/>
        <family val="2"/>
      </rPr>
      <t>33</t>
    </r>
    <r>
      <rPr>
        <sz val="10"/>
        <color theme="1"/>
        <rFont val="Calibri"/>
        <family val="2"/>
      </rPr>
      <t xml:space="preserve"> - For a): No impediment to equal access in law. e.g. No link between compulsory education and residence, or no category of migrant excluded; regardless of policies of b) 
</t>
    </r>
    <r>
      <rPr>
        <b/>
        <sz val="10"/>
        <color theme="1"/>
        <rFont val="Calibri"/>
        <family val="2"/>
      </rPr>
      <t>0</t>
    </r>
    <r>
      <rPr>
        <sz val="10"/>
        <color theme="1"/>
        <rFont val="Calibri"/>
        <family val="2"/>
      </rPr>
      <t xml:space="preserve"> - Restrictions in law on access for some categories of migrants (please specify) for a) ; regardless of policies on b) </t>
    </r>
  </si>
  <si>
    <r>
      <rPr>
        <b/>
        <sz val="10"/>
        <color theme="1"/>
        <rFont val="Calibri"/>
        <family val="2"/>
      </rPr>
      <t>100</t>
    </r>
    <r>
      <rPr>
        <sz val="10"/>
        <color theme="1"/>
        <rFont val="Calibri"/>
        <family val="2"/>
      </rPr>
      <t xml:space="preserve"> - Both of these (please specify content of a and b)
</t>
    </r>
    <r>
      <rPr>
        <b/>
        <sz val="10"/>
        <color theme="1"/>
        <rFont val="Calibri"/>
        <family val="2"/>
      </rPr>
      <t>50</t>
    </r>
    <r>
      <rPr>
        <sz val="10"/>
        <color theme="1"/>
        <rFont val="Calibri"/>
        <family val="2"/>
      </rPr>
      <t xml:space="preserve"> - One of these (please specify content)
</t>
    </r>
    <r>
      <rPr>
        <b/>
        <sz val="10"/>
        <color theme="1"/>
        <rFont val="Calibri"/>
        <family val="2"/>
      </rPr>
      <t>0</t>
    </r>
    <r>
      <rPr>
        <sz val="10"/>
        <color theme="1"/>
        <rFont val="Calibri"/>
        <family val="2"/>
      </rPr>
      <t xml:space="preserve"> - None. Migrants only benefit from general support for all students (and targeted non-governmental initiatives where provided).</t>
    </r>
  </si>
  <si>
    <t>100 - All of these
50 - One or two of these 
0 - Migrants only benefit from general support. If there is targeted support for migrants, it is only through non-governmental initiatives.</t>
  </si>
  <si>
    <r>
      <rPr>
        <b/>
        <sz val="10"/>
        <color theme="1"/>
        <rFont val="Calibri"/>
        <family val="2"/>
      </rPr>
      <t>100</t>
    </r>
    <r>
      <rPr>
        <sz val="10"/>
        <color theme="1"/>
        <rFont val="Calibri"/>
        <family val="2"/>
      </rPr>
      <t xml:space="preserve"> - Both of these
</t>
    </r>
    <r>
      <rPr>
        <b/>
        <sz val="10"/>
        <color theme="1"/>
        <rFont val="Calibri"/>
        <family val="2"/>
      </rPr>
      <t xml:space="preserve">50 </t>
    </r>
    <r>
      <rPr>
        <sz val="10"/>
        <color theme="1"/>
        <rFont val="Calibri"/>
        <family val="2"/>
      </rPr>
      <t xml:space="preserve">- One of these (please specify)
</t>
    </r>
    <r>
      <rPr>
        <b/>
        <sz val="10"/>
        <color theme="1"/>
        <rFont val="Calibri"/>
        <family val="2"/>
      </rPr>
      <t>0</t>
    </r>
    <r>
      <rPr>
        <sz val="10"/>
        <color theme="1"/>
        <rFont val="Calibri"/>
        <family val="2"/>
      </rPr>
      <t xml:space="preserve"> - No provision. Only through private or community initiatives. (skip to question cb53)</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</si>
  <si>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Only one of these (please specify)
</t>
    </r>
    <r>
      <rPr>
        <b/>
        <sz val="10"/>
        <color theme="1"/>
        <rFont val="Calibri"/>
        <family val="2"/>
      </rPr>
      <t>0</t>
    </r>
    <r>
      <rPr>
        <sz val="10"/>
        <color theme="1"/>
        <rFont val="Calibri"/>
        <family val="2"/>
      </rPr>
      <t xml:space="preserve"> - Level/goals not specified or defined.</t>
    </r>
  </si>
  <si>
    <r>
      <rPr>
        <b/>
        <sz val="10"/>
        <color theme="1"/>
        <rFont val="Calibri"/>
        <family val="2"/>
      </rPr>
      <t>100</t>
    </r>
    <r>
      <rPr>
        <sz val="10"/>
        <color theme="1"/>
        <rFont val="Calibri"/>
        <family val="2"/>
      </rPr>
      <t xml:space="preserve"> - Two or more of these (please specify)
</t>
    </r>
    <r>
      <rPr>
        <b/>
        <sz val="10"/>
        <color theme="1"/>
        <rFont val="Calibri"/>
        <family val="2"/>
      </rPr>
      <t>50</t>
    </r>
    <r>
      <rPr>
        <sz val="10"/>
        <color theme="1"/>
        <rFont val="Calibri"/>
        <family val="2"/>
      </rPr>
      <t xml:space="preserve"> - At least one of these (please specify)
</t>
    </r>
    <r>
      <rPr>
        <b/>
        <sz val="10"/>
        <color theme="1"/>
        <rFont val="Calibri"/>
        <family val="2"/>
      </rPr>
      <t>0</t>
    </r>
    <r>
      <rPr>
        <sz val="10"/>
        <color theme="1"/>
        <rFont val="Calibri"/>
        <family val="2"/>
      </rPr>
      <t xml:space="preserve"> - None of these elements</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</si>
  <si>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One of these (please specify)
</t>
    </r>
    <r>
      <rPr>
        <b/>
        <sz val="10"/>
        <color theme="1"/>
        <rFont val="Calibri"/>
        <family val="2"/>
      </rPr>
      <t>0</t>
    </r>
    <r>
      <rPr>
        <sz val="10"/>
        <color theme="1"/>
        <rFont val="Calibri"/>
        <family val="2"/>
      </rPr>
      <t xml:space="preserve"> - None. Migrants only benefit from general support. If there is targeted support for migrants, it is only through voluntary initiatives. </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</si>
  <si>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One of these (please specify)
</t>
    </r>
    <r>
      <rPr>
        <b/>
        <sz val="10"/>
        <color theme="1"/>
        <rFont val="Calibri"/>
        <family val="2"/>
      </rPr>
      <t>0</t>
    </r>
    <r>
      <rPr>
        <sz val="10"/>
        <color theme="1"/>
        <rFont val="Calibri"/>
        <family val="2"/>
      </rPr>
      <t xml:space="preserve"> - Intercultural education not included in curriculum, or intercultural education does not include appreciation of cultural diversity (please specify).</t>
    </r>
  </si>
  <si>
    <r>
      <t>0</t>
    </r>
    <r>
      <rPr>
        <sz val="10"/>
        <rFont val="Calibri"/>
        <family val="2"/>
      </rPr>
      <t xml:space="preserve"> - cd64=0
</t>
    </r>
    <r>
      <rPr>
        <b/>
        <sz val="10"/>
        <rFont val="Calibri"/>
        <family val="2"/>
      </rPr>
      <t>33</t>
    </r>
    <r>
      <rPr>
        <sz val="10"/>
        <rFont val="Calibri"/>
        <family val="2"/>
      </rPr>
      <t xml:space="preserve"> - cd64=50 &amp; cc59=0
</t>
    </r>
    <r>
      <rPr>
        <b/>
        <sz val="10"/>
        <rFont val="Calibri"/>
        <family val="2"/>
      </rPr>
      <t>67</t>
    </r>
    <r>
      <rPr>
        <sz val="10"/>
        <rFont val="Calibri"/>
        <family val="2"/>
      </rPr>
      <t xml:space="preserve"> - cd64=100 &amp; cc59=0
</t>
    </r>
    <r>
      <rPr>
        <b/>
        <sz val="10"/>
        <rFont val="Calibri"/>
        <family val="2"/>
      </rPr>
      <t>100</t>
    </r>
    <r>
      <rPr>
        <sz val="10"/>
        <rFont val="Calibri"/>
        <family val="2"/>
      </rPr>
      <t xml:space="preserve"> - cc59=50 or 100 &amp; cd64=50 or 100</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</si>
  <si>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One of these (please specify)
</t>
    </r>
    <r>
      <rPr>
        <b/>
        <sz val="10"/>
        <color theme="1"/>
        <rFont val="Calibri"/>
        <family val="2"/>
      </rPr>
      <t>0</t>
    </r>
    <r>
      <rPr>
        <sz val="10"/>
        <color theme="1"/>
        <rFont val="Calibri"/>
        <family val="2"/>
      </rPr>
      <t xml:space="preserve"> - None</t>
    </r>
  </si>
  <si>
    <r>
      <rPr>
        <b/>
        <sz val="10"/>
        <color theme="1"/>
        <rFont val="Calibri"/>
        <family val="2"/>
      </rPr>
      <t>100</t>
    </r>
    <r>
      <rPr>
        <sz val="10"/>
        <color theme="1"/>
        <rFont val="Calibri"/>
        <family val="2"/>
      </rPr>
      <t xml:space="preserve"> - A or B required 
</t>
    </r>
    <r>
      <rPr>
        <b/>
        <sz val="10"/>
        <color theme="1"/>
        <rFont val="Calibri"/>
        <family val="2"/>
      </rPr>
      <t xml:space="preserve">50- </t>
    </r>
    <r>
      <rPr>
        <sz val="10"/>
        <color theme="1"/>
        <rFont val="Calibri"/>
        <family val="2"/>
      </rPr>
      <t xml:space="preserve"> A or B offered extensively to teachers 
</t>
    </r>
    <r>
      <rPr>
        <b/>
        <sz val="10"/>
        <color theme="1"/>
        <rFont val="Calibri"/>
        <family val="2"/>
      </rPr>
      <t>0</t>
    </r>
    <r>
      <rPr>
        <sz val="10"/>
        <color theme="1"/>
        <rFont val="Calibri"/>
        <family val="2"/>
      </rPr>
      <t xml:space="preserve"> - A or B only ad hoc / project basis </t>
    </r>
  </si>
  <si>
    <t xml:space="preserve">Acces to vocational training is still only possible with acces to the labourmarket. </t>
  </si>
  <si>
    <t>b) Pupils are educated as extraordinary pupils in segregated German language support classes, or German support courses parallel to lessons since the 2018/19 school year, if their German is not sufficient. These classes have been widely criticized. there has been an official evaluation in 2022, which might lead to some reforms.  Since 2020  there is a 2 weeks summer school for pupils aged 6-14 (since 2021 also for secondary level 15-18) years as a preparation for the next school year. it is voluntarily and free of charge. it is mainly used by migrant children. there is also a buddy -programm in the summer school. https://www.bmbwf.gv.at/Themen/schule/zrp/sommerschule.html        a) there are couseling services for drop outs- jugendcoaching on a federal level https://www.bmbwf.gv.at/Themen/schule/beratung/psus/jugendcoaching.html, and some local initiatives f.e. mentoring for migrants looking for an appranticeship in styria https://www.wko.at/site/Migration/steiermark/pilotprojekt-mentoring-lehrstellensuchende-stmk.html, but there is no federal strategy to increas access to university education of migrants.</t>
  </si>
  <si>
    <t xml:space="preserve">a, b and c. there are counseling centers on education for migrants since the 90ies, which offer counseling in main migrant laguages. since 2021 there is also a video translation service available https://www.bmbwf.gv.at/Themen/ep/videodolmetsch.html
recommended change backwards 100  </t>
  </si>
  <si>
    <t>in theory also academic fluency is included in the german classes. However due to the pressure created by having to pass a test (mika-d) to be inlcuded into the normal class, mainly communicative literacy is taught. Study published by the chamber of labour in nov 2022 https://www.arbeiterkammer.at/interessenvertretung/arbeitundsoziales/bildung/Abschlussbericht_Deutschfoederklassen_VS_Deckergasse.pdf</t>
  </si>
  <si>
    <t>https://www.bmbwf.gv.at/Themen/schule/beratung/videodolmetsch.html</t>
  </si>
  <si>
    <t>an offical evaluation of the separate german classes has been published in 2022. https://www.bmbwf.gv.at/dam/jcr:2ba5ac1e-3be9-4dd2-8d04-c2465169e726/deutschfoerdermodell_eval.pdf</t>
  </si>
  <si>
    <t>Political Participation Strand</t>
  </si>
  <si>
    <t>d</t>
  </si>
  <si>
    <t>db65db67db68</t>
  </si>
  <si>
    <t>db70</t>
  </si>
  <si>
    <t>dc71abd</t>
  </si>
  <si>
    <t>dd75</t>
  </si>
  <si>
    <t>dd76</t>
  </si>
  <si>
    <t>POLITICAL PARTICIPATION</t>
  </si>
  <si>
    <t>Right to vote (national, local) and stand</t>
  </si>
  <si>
    <t>Membership in political parties</t>
  </si>
  <si>
    <t>Strenght of national consultive body</t>
  </si>
  <si>
    <t>Active information policy</t>
  </si>
  <si>
    <t xml:space="preserve">Public funding/support for national immigrant bodies </t>
  </si>
  <si>
    <t>Right to vote at national and/or local elections, and to stand in local elections</t>
  </si>
  <si>
    <t>Membership of and participation to political parties</t>
  </si>
  <si>
    <r>
      <t xml:space="preserve">Consultation of foreign residents on national level:
</t>
    </r>
    <r>
      <rPr>
        <b/>
        <sz val="10"/>
        <color theme="1"/>
        <rFont val="Calibri"/>
        <family val="2"/>
      </rPr>
      <t>Regular consultation</t>
    </r>
    <r>
      <rPr>
        <sz val="10"/>
        <color theme="1"/>
        <rFont val="Calibri"/>
        <family val="2"/>
      </rPr>
      <t xml:space="preserve">: consultation of immigrant population or of immigrant associations is structurally organised for policies which are relevant for foreign residents
</t>
    </r>
    <r>
      <rPr>
        <b/>
        <sz val="10"/>
        <color theme="1"/>
        <rFont val="Calibri"/>
        <family val="2"/>
      </rPr>
      <t>Ad-hoc consultation</t>
    </r>
    <r>
      <rPr>
        <sz val="10"/>
        <color theme="1"/>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</si>
  <si>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t>Active policy of information by national level (or regional in federal states) on political participation/political or related rights</t>
  </si>
  <si>
    <t>Public funding or support of immigrant organisations on national level</t>
  </si>
  <si>
    <r>
      <rPr>
        <b/>
        <sz val="10"/>
        <color theme="1"/>
        <rFont val="Calibri"/>
        <family val="2"/>
      </rPr>
      <t>0</t>
    </r>
    <r>
      <rPr>
        <sz val="10"/>
        <color theme="1"/>
        <rFont val="Calibri"/>
        <family val="2"/>
      </rPr>
      <t xml:space="preserve"> - No right to vote in local elections for foreign or non-EU citizens
</t>
    </r>
    <r>
      <rPr>
        <b/>
        <sz val="10"/>
        <color theme="1"/>
        <rFont val="Calibri"/>
        <family val="2"/>
      </rPr>
      <t>25</t>
    </r>
    <r>
      <rPr>
        <sz val="10"/>
        <color theme="1"/>
        <rFont val="Calibri"/>
        <family val="2"/>
      </rPr>
      <t xml:space="preserve"> - Local right to vote but with major restrictions (more than five years of residence, reciprocity, other special conditions or special registration procedure, or only in certain municipalities)
</t>
    </r>
    <r>
      <rPr>
        <b/>
        <sz val="10"/>
        <color theme="1"/>
        <rFont val="Calibri"/>
        <family val="2"/>
      </rPr>
      <t>50</t>
    </r>
    <r>
      <rPr>
        <sz val="10"/>
        <color theme="1"/>
        <rFont val="Calibri"/>
        <family val="2"/>
      </rPr>
      <t xml:space="preserve"> - Local right to vote (no restrictions: Equal rights as nationals or requirement of less than or equal to five years of residence) and  no or restricted right to stand in local elections
</t>
    </r>
    <r>
      <rPr>
        <b/>
        <sz val="10"/>
        <color theme="1"/>
        <rFont val="Calibri"/>
        <family val="2"/>
      </rPr>
      <t>75</t>
    </r>
    <r>
      <rPr>
        <sz val="10"/>
        <color theme="1"/>
        <rFont val="Calibri"/>
        <family val="2"/>
      </rPr>
      <t xml:space="preserve"> - Local right to vote (no restrictions) and unrestrictered right to stand in local elections
</t>
    </r>
    <r>
      <rPr>
        <b/>
        <sz val="10"/>
        <color theme="1"/>
        <rFont val="Calibri"/>
        <family val="2"/>
      </rPr>
      <t xml:space="preserve">100 </t>
    </r>
    <r>
      <rPr>
        <sz val="10"/>
        <color theme="1"/>
        <rFont val="Calibri"/>
        <family val="2"/>
      </rPr>
      <t>- National right to vote (no restrictions): Equal rights as nationals after certain period of residence</t>
    </r>
  </si>
  <si>
    <r>
      <rPr>
        <b/>
        <sz val="10"/>
        <color theme="1"/>
        <rFont val="Calibri"/>
        <family val="2"/>
      </rPr>
      <t>100</t>
    </r>
    <r>
      <rPr>
        <sz val="10"/>
        <color theme="1"/>
        <rFont val="Calibri"/>
        <family val="2"/>
      </rPr>
      <t xml:space="preserve"> - Equal access with nationals (no restrictions imposed by government)
</t>
    </r>
    <r>
      <rPr>
        <b/>
        <sz val="10"/>
        <color theme="1"/>
        <rFont val="Calibri"/>
        <family val="2"/>
      </rPr>
      <t>50</t>
    </r>
    <r>
      <rPr>
        <sz val="10"/>
        <color theme="1"/>
        <rFont val="Calibri"/>
        <family val="2"/>
      </rPr>
      <t xml:space="preserve"> - Restricted access to internal elected positions
</t>
    </r>
    <r>
      <rPr>
        <b/>
        <sz val="10"/>
        <color theme="1"/>
        <rFont val="Calibri"/>
        <family val="2"/>
      </rPr>
      <t>0</t>
    </r>
    <r>
      <rPr>
        <sz val="10"/>
        <color theme="1"/>
        <rFont val="Calibri"/>
        <family val="2"/>
      </rPr>
      <t xml:space="preserve"> - Other official/legal restrictions appl</t>
    </r>
  </si>
  <si>
    <r>
      <rPr>
        <b/>
        <sz val="10"/>
        <color theme="1"/>
        <rFont val="Calibri"/>
        <family val="2"/>
      </rPr>
      <t>100</t>
    </r>
    <r>
      <rPr>
        <sz val="10"/>
        <color theme="1"/>
        <rFont val="Calibri"/>
        <family val="2"/>
      </rPr>
      <t xml:space="preserve"> - Regular consultation, together with a) anf b) 
</t>
    </r>
    <r>
      <rPr>
        <b/>
        <sz val="10"/>
        <color theme="1"/>
        <rFont val="Calibri"/>
        <family val="2"/>
      </rPr>
      <t>75</t>
    </r>
    <r>
      <rPr>
        <sz val="10"/>
        <color theme="1"/>
        <rFont val="Calibri"/>
        <family val="2"/>
      </rPr>
      <t xml:space="preserve"> -  Regular consultation, with members elected or appointed by foreign residents or associations (with or without state intervention)
</t>
    </r>
    <r>
      <rPr>
        <b/>
        <sz val="10"/>
        <color theme="1"/>
        <rFont val="Calibri"/>
        <family val="2"/>
      </rPr>
      <t>50</t>
    </r>
    <r>
      <rPr>
        <sz val="10"/>
        <color theme="1"/>
        <rFont val="Calibri"/>
        <family val="2"/>
      </rPr>
      <t xml:space="preserve"> - Regular consultation of foreign residents on national level, with members selected/appointed by state only
</t>
    </r>
    <r>
      <rPr>
        <b/>
        <sz val="10"/>
        <color theme="1"/>
        <rFont val="Calibri"/>
        <family val="2"/>
      </rPr>
      <t>25</t>
    </r>
    <r>
      <rPr>
        <sz val="10"/>
        <color theme="1"/>
        <rFont val="Calibri"/>
        <family val="2"/>
      </rPr>
      <t xml:space="preserve">  - ad-hoc consultation of foreign residents on national level
</t>
    </r>
    <r>
      <rPr>
        <b/>
        <sz val="10"/>
        <color theme="1"/>
        <rFont val="Calibri"/>
        <family val="2"/>
      </rPr>
      <t xml:space="preserve">0 </t>
    </r>
    <r>
      <rPr>
        <sz val="10"/>
        <color theme="1"/>
        <rFont val="Calibri"/>
        <family val="2"/>
      </rPr>
      <t xml:space="preserve">- No consultation at the national level
</t>
    </r>
  </si>
  <si>
    <r>
      <t xml:space="preserve">100 </t>
    </r>
    <r>
      <rPr>
        <sz val="10"/>
        <color theme="1"/>
        <rFont val="Calibri"/>
        <family val="2"/>
      </rPr>
      <t>- Policy of information  by state targeted at migrant on individual basis (through individualised meeting or one-stop-shop)</t>
    </r>
    <r>
      <rPr>
        <b/>
        <sz val="10"/>
        <color theme="1"/>
        <rFont val="Calibri"/>
        <family val="2"/>
      </rPr>
      <t xml:space="preserve">
50 </t>
    </r>
    <r>
      <rPr>
        <sz val="10"/>
        <color theme="1"/>
        <rFont val="Calibri"/>
        <family val="2"/>
      </rPr>
      <t>- Policy of information on general basis  (through individual campaigns in certain regions, brochures, websites updated on a regular basis)</t>
    </r>
    <r>
      <rPr>
        <b/>
        <sz val="10"/>
        <color theme="1"/>
        <rFont val="Calibri"/>
        <family val="2"/>
      </rPr>
      <t xml:space="preserve">
0</t>
    </r>
    <r>
      <rPr>
        <sz val="10"/>
        <color theme="1"/>
        <rFont val="Calibri"/>
        <family val="2"/>
      </rPr>
      <t xml:space="preserve"> - No active policy of information in the last year</t>
    </r>
  </si>
  <si>
    <r>
      <rPr>
        <b/>
        <sz val="10"/>
        <color theme="1"/>
        <rFont val="Calibri"/>
        <family val="2"/>
      </rPr>
      <t>100</t>
    </r>
    <r>
      <rPr>
        <sz val="10"/>
        <color theme="1"/>
        <rFont val="Calibri"/>
        <family val="2"/>
      </rPr>
      <t xml:space="preserve"> - Funding or support (in kind) for immigrant organisations involved in consultation and advice at national level without further conditions than being a partner in talks 
</t>
    </r>
    <r>
      <rPr>
        <b/>
        <sz val="10"/>
        <color theme="1"/>
        <rFont val="Calibri"/>
        <family val="2"/>
      </rPr>
      <t>50</t>
    </r>
    <r>
      <rPr>
        <sz val="10"/>
        <color theme="1"/>
        <rFont val="Calibri"/>
        <family val="2"/>
      </rPr>
      <t xml:space="preserve"> - Funding or support (in kind) dependent on criteria set by the state (beyond being a partner in consultation and different than for non-immigrant groups) 
</t>
    </r>
    <r>
      <rPr>
        <b/>
        <sz val="10"/>
        <color theme="1"/>
        <rFont val="Calibri"/>
        <family val="2"/>
      </rPr>
      <t>0</t>
    </r>
    <r>
      <rPr>
        <sz val="10"/>
        <color theme="1"/>
        <rFont val="Calibri"/>
        <family val="2"/>
      </rPr>
      <t xml:space="preserve"> - No support funding</t>
    </r>
  </si>
  <si>
    <t>Permanent Residence Strand</t>
  </si>
  <si>
    <t>e</t>
  </si>
  <si>
    <t>ea80</t>
  </si>
  <si>
    <t>eb84a</t>
  </si>
  <si>
    <t>eb85</t>
  </si>
  <si>
    <t>eb88</t>
  </si>
  <si>
    <t>eb89</t>
  </si>
  <si>
    <t>eb90</t>
  </si>
  <si>
    <t>ed96</t>
  </si>
  <si>
    <t>PERMANENT RESIDENCE</t>
  </si>
  <si>
    <t xml:space="preserve">Residence period </t>
  </si>
  <si>
    <t>Language requirement</t>
  </si>
  <si>
    <t>Duration of validity</t>
  </si>
  <si>
    <t>Renewable permit</t>
  </si>
  <si>
    <t>Periods of absence allowed</t>
  </si>
  <si>
    <t>Accesso to social security and assistance</t>
  </si>
  <si>
    <t>Required time of habitual residence
(Please specify in the comment box the exact number of months required)</t>
  </si>
  <si>
    <t>a. LTR language form
Form of language requirement  (if no requirement, skip to question 84c
Note: Can be test, interview, completion of course, or other for country of assessments.</t>
  </si>
  <si>
    <t>Duration of validity of permit</t>
  </si>
  <si>
    <t>Periods of absence allowed for renewal, after granting of status (continuous or cumulative)
Note: for EU countries, this refers to time outside the EU.</t>
  </si>
  <si>
    <t>Access to social security (unemployment benefits, old age pension, invalidity benefits, maternity leave, family benefits, social assistance)</t>
  </si>
  <si>
    <r>
      <rPr>
        <b/>
        <sz val="10"/>
        <color theme="1"/>
        <rFont val="Calibri"/>
        <family val="2"/>
      </rPr>
      <t>100 -</t>
    </r>
    <r>
      <rPr>
        <sz val="10"/>
        <color theme="1"/>
        <rFont val="Calibri"/>
        <family val="2"/>
      </rPr>
      <t xml:space="preserve"> &lt; 5 years 
</t>
    </r>
    <r>
      <rPr>
        <b/>
        <sz val="10"/>
        <color theme="1"/>
        <rFont val="Calibri"/>
        <family val="2"/>
      </rPr>
      <t>50</t>
    </r>
    <r>
      <rPr>
        <sz val="10"/>
        <color theme="1"/>
        <rFont val="Calibri"/>
        <family val="2"/>
      </rPr>
      <t xml:space="preserve"> - 5 years
</t>
    </r>
    <r>
      <rPr>
        <b/>
        <sz val="10"/>
        <color theme="1"/>
        <rFont val="Calibri"/>
        <family val="2"/>
      </rPr>
      <t>0</t>
    </r>
    <r>
      <rPr>
        <sz val="10"/>
        <color theme="1"/>
        <rFont val="Calibri"/>
        <family val="2"/>
      </rPr>
      <t xml:space="preserve"> - &gt; 5 years or no legal entitlement to permanent residence for ordinary residents</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</si>
  <si>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t>
    </r>
    <r>
      <rPr>
        <sz val="10"/>
        <color theme="1"/>
        <rFont val="Calibri"/>
        <family val="2"/>
      </rPr>
      <t xml:space="preserve"> - Requirement to take a language course
</t>
    </r>
    <r>
      <rPr>
        <b/>
        <sz val="10"/>
        <color theme="1"/>
        <rFont val="Calibri"/>
        <family val="2"/>
      </rPr>
      <t>0</t>
    </r>
    <r>
      <rPr>
        <sz val="10"/>
        <color theme="1"/>
        <rFont val="Calibri"/>
        <family val="2"/>
      </rPr>
      <t xml:space="preserve"> - Requirement includes language test/assessment</t>
    </r>
  </si>
  <si>
    <r>
      <rPr>
        <b/>
        <sz val="10"/>
        <color theme="1"/>
        <rFont val="Calibri"/>
        <family val="2"/>
      </rPr>
      <t>100 -</t>
    </r>
    <r>
      <rPr>
        <sz val="10"/>
        <color theme="1"/>
        <rFont val="Calibri"/>
        <family val="2"/>
      </rPr>
      <t xml:space="preserve"> &gt; 5 years
</t>
    </r>
    <r>
      <rPr>
        <b/>
        <sz val="10"/>
        <color theme="1"/>
        <rFont val="Calibri"/>
        <family val="2"/>
      </rPr>
      <t>50</t>
    </r>
    <r>
      <rPr>
        <sz val="10"/>
        <color theme="1"/>
        <rFont val="Calibri"/>
        <family val="2"/>
      </rPr>
      <t xml:space="preserve"> - 5 years 
</t>
    </r>
    <r>
      <rPr>
        <b/>
        <sz val="10"/>
        <color theme="1"/>
        <rFont val="Calibri"/>
        <family val="2"/>
      </rPr>
      <t>0</t>
    </r>
    <r>
      <rPr>
        <sz val="10"/>
        <color theme="1"/>
        <rFont val="Calibri"/>
        <family val="2"/>
      </rPr>
      <t xml:space="preserve"> - &lt; 5 years</t>
    </r>
  </si>
  <si>
    <r>
      <rPr>
        <b/>
        <sz val="10"/>
        <color theme="1"/>
        <rFont val="Calibri"/>
        <family val="2"/>
      </rPr>
      <t xml:space="preserve">100 - </t>
    </r>
    <r>
      <rPr>
        <sz val="10"/>
        <color theme="1"/>
        <rFont val="Calibri"/>
        <family val="2"/>
      </rPr>
      <t xml:space="preserve">Automatically
</t>
    </r>
    <r>
      <rPr>
        <b/>
        <sz val="10"/>
        <color theme="1"/>
        <rFont val="Calibri"/>
        <family val="2"/>
      </rPr>
      <t>50</t>
    </r>
    <r>
      <rPr>
        <sz val="10"/>
        <color theme="1"/>
        <rFont val="Calibri"/>
        <family val="2"/>
      </rPr>
      <t xml:space="preserve"> - Upon application
</t>
    </r>
    <r>
      <rPr>
        <b/>
        <sz val="10"/>
        <color theme="1"/>
        <rFont val="Calibri"/>
        <family val="2"/>
      </rPr>
      <t>0</t>
    </r>
    <r>
      <rPr>
        <sz val="10"/>
        <color theme="1"/>
        <rFont val="Calibri"/>
        <family val="2"/>
      </rPr>
      <t xml:space="preserve"> - Provided original requirements are still met </t>
    </r>
  </si>
  <si>
    <r>
      <t xml:space="preserve">100 - </t>
    </r>
    <r>
      <rPr>
        <sz val="10"/>
        <color theme="1"/>
        <rFont val="Calibri"/>
        <family val="2"/>
      </rPr>
      <t xml:space="preserve">≥ 3 years
</t>
    </r>
    <r>
      <rPr>
        <b/>
        <sz val="10"/>
        <color theme="1"/>
        <rFont val="Calibri"/>
        <family val="2"/>
      </rPr>
      <t>50</t>
    </r>
    <r>
      <rPr>
        <sz val="10"/>
        <color theme="1"/>
        <rFont val="Calibri"/>
        <family val="2"/>
      </rPr>
      <t xml:space="preserve"> - 1 year&lt; , &lt; 3 years
</t>
    </r>
    <r>
      <rPr>
        <b/>
        <sz val="10"/>
        <color theme="1"/>
        <rFont val="Calibri"/>
        <family val="2"/>
      </rPr>
      <t xml:space="preserve">0 - </t>
    </r>
    <r>
      <rPr>
        <sz val="10"/>
        <color theme="1"/>
        <rFont val="Calibri"/>
        <family val="2"/>
      </rPr>
      <t>≤ 1  year</t>
    </r>
  </si>
  <si>
    <r>
      <rPr>
        <b/>
        <sz val="10"/>
        <color theme="1"/>
        <rFont val="Calibri"/>
        <family val="2"/>
      </rPr>
      <t>100</t>
    </r>
    <r>
      <rPr>
        <sz val="10"/>
        <color theme="1"/>
        <rFont val="Calibri"/>
        <family val="2"/>
      </rPr>
      <t xml:space="preserve"> - Equal access with nationals 
</t>
    </r>
    <r>
      <rPr>
        <b/>
        <sz val="10"/>
        <color theme="1"/>
        <rFont val="Calibri"/>
        <family val="2"/>
      </rPr>
      <t>50</t>
    </r>
    <r>
      <rPr>
        <sz val="10"/>
        <color theme="1"/>
        <rFont val="Calibri"/>
        <family val="2"/>
      </rPr>
      <t xml:space="preserve"> - Priority to nationals
</t>
    </r>
    <r>
      <rPr>
        <b/>
        <sz val="10"/>
        <color theme="1"/>
        <rFont val="Calibri"/>
        <family val="2"/>
      </rPr>
      <t>0</t>
    </r>
    <r>
      <rPr>
        <sz val="10"/>
        <color theme="1"/>
        <rFont val="Calibri"/>
        <family val="2"/>
      </rPr>
      <t xml:space="preserve"> - Other limiting conditions apply</t>
    </r>
  </si>
  <si>
    <t>the right as such is unlimited. The card has to be renewed every 5 years.</t>
  </si>
  <si>
    <t>Citizenship Strand</t>
  </si>
  <si>
    <t>f</t>
  </si>
  <si>
    <t>fa98</t>
  </si>
  <si>
    <t>fa102_new</t>
  </si>
  <si>
    <t xml:space="preserve">fb_new </t>
  </si>
  <si>
    <t>fd115ab</t>
  </si>
  <si>
    <t>fb104a</t>
  </si>
  <si>
    <t xml:space="preserve"> fb105a</t>
  </si>
  <si>
    <t>fb106</t>
  </si>
  <si>
    <t xml:space="preserve"> fb107 </t>
  </si>
  <si>
    <t>Citizenship</t>
  </si>
  <si>
    <t xml:space="preserve">Residence conditions for ordinary naturalisation </t>
  </si>
  <si>
    <t>Citizenship for immigrant children (birthright and socialisation)</t>
  </si>
  <si>
    <t>Naturalisation requirements</t>
  </si>
  <si>
    <t>Naturalisation language level</t>
  </si>
  <si>
    <t>Naturalisation integration requirement</t>
  </si>
  <si>
    <t>Criminal records</t>
  </si>
  <si>
    <t>Dual Citizenship</t>
  </si>
  <si>
    <t xml:space="preserve">Residence requirement for ordinary legal residents
Note: "Residence" is defined as the whole period of lawful and habitual stay since entry. For instance, if the requirement is 5 years as a permanent residence, which itself can only be obtained after 5 years' residence, please select "After ≥ 10 years"
(Please specify in the comment box the exact number of years required)
</t>
  </si>
  <si>
    <t>Can citizenship be acquired by children born on the territory to nonnational parents or by immigrant children (socialisation)?</t>
  </si>
  <si>
    <t>Average of  naturalization requirements</t>
  </si>
  <si>
    <t>Language requirement 
Note: Can be test, interview, completion of course, or other for country of assessments.</t>
  </si>
  <si>
    <t>Citizenship/integration requirement 
Note: Can be test, interview, or other for country of assessments.</t>
  </si>
  <si>
    <t xml:space="preserve">Economic resources requirement </t>
  </si>
  <si>
    <t xml:space="preserve">Criminal record requirement
Note: Ground for rejection or application of a qualifying period </t>
  </si>
  <si>
    <t>Is there a requirement to renounce foreign nationality before naturalization for first generation immigrants?</t>
  </si>
  <si>
    <r>
      <t>100</t>
    </r>
    <r>
      <rPr>
        <sz val="10"/>
        <color theme="1"/>
        <rFont val="Calibri"/>
        <family val="2"/>
      </rPr>
      <t xml:space="preserve"> - After ≤ 5 years of total residence(please specify)
</t>
    </r>
    <r>
      <rPr>
        <b/>
        <sz val="10"/>
        <color theme="1"/>
        <rFont val="Calibri"/>
        <family val="2"/>
      </rPr>
      <t>50</t>
    </r>
    <r>
      <rPr>
        <sz val="10"/>
        <color theme="1"/>
        <rFont val="Calibri"/>
        <family val="2"/>
      </rPr>
      <t xml:space="preserve"> - After &gt; 5 &lt; 10 years of total residence (please specify)
</t>
    </r>
    <r>
      <rPr>
        <b/>
        <sz val="10"/>
        <color theme="1"/>
        <rFont val="Calibri"/>
        <family val="2"/>
      </rPr>
      <t>0</t>
    </r>
    <r>
      <rPr>
        <sz val="10"/>
        <color theme="1"/>
        <rFont val="Calibri"/>
        <family val="2"/>
      </rPr>
      <t xml:space="preserve"> - After ≥ 10 years of total residence (please specify)</t>
    </r>
  </si>
  <si>
    <r>
      <rPr>
        <b/>
        <sz val="10"/>
        <color theme="1"/>
        <rFont val="Calibri"/>
        <family val="2"/>
      </rPr>
      <t>100</t>
    </r>
    <r>
      <rPr>
        <sz val="10"/>
        <color theme="1"/>
        <rFont val="Calibri"/>
        <family val="2"/>
      </rPr>
      <t xml:space="preserve"> - Automatic at birth – unconditional
</t>
    </r>
    <r>
      <rPr>
        <b/>
        <sz val="10"/>
        <color theme="1"/>
        <rFont val="Calibri"/>
        <family val="2"/>
      </rPr>
      <t>67 -</t>
    </r>
    <r>
      <rPr>
        <sz val="10"/>
        <color theme="1"/>
        <rFont val="Calibri"/>
        <family val="2"/>
      </rPr>
      <t xml:space="preserve"> Automatic, but attached to conditions related to the parents’ status or to other requirements (e.g., age of majority)
</t>
    </r>
    <r>
      <rPr>
        <b/>
        <sz val="10"/>
        <color theme="1"/>
        <rFont val="Calibri"/>
        <family val="2"/>
      </rPr>
      <t>33</t>
    </r>
    <r>
      <rPr>
        <sz val="10"/>
        <color theme="1"/>
        <rFont val="Calibri"/>
        <family val="2"/>
      </rPr>
      <t xml:space="preserve"> - Upon simple application or declaration after birth
</t>
    </r>
    <r>
      <rPr>
        <b/>
        <sz val="10"/>
        <color theme="1"/>
        <rFont val="Calibri"/>
        <family val="2"/>
      </rPr>
      <t xml:space="preserve">0 - </t>
    </r>
    <r>
      <rPr>
        <sz val="10"/>
        <color theme="1"/>
        <rFont val="Calibri"/>
        <family val="2"/>
      </rPr>
      <t xml:space="preserve">naturalization procedure (facilitated or not) </t>
    </r>
  </si>
  <si>
    <r>
      <rPr>
        <b/>
        <sz val="10"/>
        <color theme="1"/>
        <rFont val="Calibri"/>
        <family val="2"/>
      </rPr>
      <t>100</t>
    </r>
    <r>
      <rPr>
        <sz val="10"/>
        <color theme="1"/>
        <rFont val="Calibri"/>
        <family val="2"/>
      </rPr>
      <t xml:space="preserve"> - No Assessment OR A1 or less set as standard (please specify which)
</t>
    </r>
    <r>
      <rPr>
        <b/>
        <sz val="10"/>
        <color theme="1"/>
        <rFont val="Calibri"/>
        <family val="2"/>
      </rPr>
      <t>50</t>
    </r>
    <r>
      <rPr>
        <sz val="10"/>
        <color theme="1"/>
        <rFont val="Calibri"/>
        <family val="2"/>
      </rPr>
      <t xml:space="preserve"> - A2 set as standard
</t>
    </r>
    <r>
      <rPr>
        <b/>
        <sz val="10"/>
        <color theme="1"/>
        <rFont val="Calibri"/>
        <family val="2"/>
      </rPr>
      <t>0</t>
    </r>
    <r>
      <rPr>
        <sz val="10"/>
        <color theme="1"/>
        <rFont val="Calibri"/>
        <family val="2"/>
      </rPr>
      <t xml:space="preserve"> - B1 or higher set as standard. OR no standards, based on administrative discretion.(please specify which)</t>
    </r>
  </si>
  <si>
    <r>
      <rPr>
        <b/>
        <sz val="10"/>
        <color theme="1"/>
        <rFont val="Calibri"/>
        <family val="2"/>
      </rPr>
      <t>100</t>
    </r>
    <r>
      <rPr>
        <sz val="10"/>
        <color theme="1"/>
        <rFont val="Calibri"/>
        <family val="2"/>
      </rPr>
      <t xml:space="preserve"> - No Requirement OR Voluntary provision of information (please specify which)
</t>
    </r>
    <r>
      <rPr>
        <b/>
        <sz val="10"/>
        <color theme="1"/>
        <rFont val="Calibri"/>
        <family val="2"/>
      </rPr>
      <t>50</t>
    </r>
    <r>
      <rPr>
        <sz val="10"/>
        <color theme="1"/>
        <rFont val="Calibri"/>
        <family val="2"/>
      </rPr>
      <t xml:space="preserve"> - Requirement to complete a course
</t>
    </r>
    <r>
      <rPr>
        <b/>
        <sz val="10"/>
        <color theme="1"/>
        <rFont val="Calibri"/>
        <family val="2"/>
      </rPr>
      <t xml:space="preserve">0 </t>
    </r>
    <r>
      <rPr>
        <sz val="10"/>
        <color theme="1"/>
        <rFont val="Calibri"/>
        <family val="2"/>
      </rPr>
      <t>- Requirement to pass an integration test/assessment</t>
    </r>
  </si>
  <si>
    <r>
      <rPr>
        <b/>
        <sz val="10"/>
        <color theme="1"/>
        <rFont val="Calibri"/>
        <family val="2"/>
      </rPr>
      <t>100</t>
    </r>
    <r>
      <rPr>
        <sz val="10"/>
        <color theme="1"/>
        <rFont val="Calibri"/>
        <family val="2"/>
      </rPr>
      <t xml:space="preserve"> - None 
</t>
    </r>
    <r>
      <rPr>
        <b/>
        <sz val="10"/>
        <color theme="1"/>
        <rFont val="Calibri"/>
        <family val="2"/>
      </rPr>
      <t>50</t>
    </r>
    <r>
      <rPr>
        <sz val="10"/>
        <color theme="1"/>
        <rFont val="Calibri"/>
        <family val="2"/>
      </rPr>
      <t xml:space="preserve"> - Minimum income (e.g. acknowledged level of poverty threshold)/no income source is excluded
</t>
    </r>
    <r>
      <rPr>
        <b/>
        <sz val="10"/>
        <color theme="1"/>
        <rFont val="Calibri"/>
        <family val="2"/>
      </rPr>
      <t>0</t>
    </r>
    <r>
      <rPr>
        <sz val="10"/>
        <color theme="1"/>
        <rFont val="Calibri"/>
        <family val="2"/>
      </rPr>
      <t xml:space="preserve"> - Additional requirements (e.g. employment, stable and sufficient resources, higher levels of income)</t>
    </r>
  </si>
  <si>
    <r>
      <rPr>
        <b/>
        <sz val="10"/>
        <color theme="1"/>
        <rFont val="Calibri"/>
        <family val="2"/>
      </rPr>
      <t xml:space="preserve">100 </t>
    </r>
    <r>
      <rPr>
        <sz val="10"/>
        <color theme="1"/>
        <rFont val="Calibri"/>
        <family val="2"/>
      </rPr>
      <t xml:space="preserve">- Crimes with sentences of imprisonment for ≥ 5 years OR Use of qualifying period instead of refusal
</t>
    </r>
    <r>
      <rPr>
        <b/>
        <sz val="10"/>
        <color theme="1"/>
        <rFont val="Calibri"/>
        <family val="2"/>
      </rPr>
      <t>50</t>
    </r>
    <r>
      <rPr>
        <sz val="10"/>
        <color theme="1"/>
        <rFont val="Calibri"/>
        <family val="2"/>
      </rPr>
      <t xml:space="preserve"> - Crimes with sentences of imprisonment for &lt; 5 years
</t>
    </r>
    <r>
      <rPr>
        <b/>
        <sz val="10"/>
        <color theme="1"/>
        <rFont val="Calibri"/>
        <family val="2"/>
      </rPr>
      <t xml:space="preserve">0 </t>
    </r>
    <r>
      <rPr>
        <sz val="10"/>
        <color theme="1"/>
        <rFont val="Calibri"/>
        <family val="2"/>
      </rPr>
      <t>- For other offences (e.g. misdemeanours, minor offenses, pending criminal procedure)</t>
    </r>
  </si>
  <si>
    <r>
      <t xml:space="preserve">100 </t>
    </r>
    <r>
      <rPr>
        <sz val="10"/>
        <color theme="1"/>
        <rFont val="Calibri"/>
        <family val="2"/>
      </rPr>
      <t>- No requirement for anyone</t>
    </r>
    <r>
      <rPr>
        <b/>
        <sz val="10"/>
        <color theme="1"/>
        <rFont val="Calibri"/>
        <family val="2"/>
      </rPr>
      <t xml:space="preserve">
50 </t>
    </r>
    <r>
      <rPr>
        <sz val="10"/>
        <color theme="1"/>
        <rFont val="Calibri"/>
        <family val="2"/>
      </rPr>
      <t>- Yes, but with multiple substantive exemptions: a. On humanitarian grounds (e.g. for refugees, stateless); b. On accessibility grounds (e.g. cost, distance, impossibility))</t>
    </r>
    <r>
      <rPr>
        <b/>
        <sz val="10"/>
        <color theme="1"/>
        <rFont val="Calibri"/>
        <family val="2"/>
      </rPr>
      <t xml:space="preserve">
0 </t>
    </r>
    <r>
      <rPr>
        <sz val="10"/>
        <color theme="1"/>
        <rFont val="Calibri"/>
        <family val="2"/>
      </rPr>
      <t>- Yes, and no substantive exceptions (beyond humanitarian reasons, e.g., exemptions only for spouses, citizens of certain countries /person not being able to renounce origin country citizenship)</t>
    </r>
  </si>
  <si>
    <t>Antidiscrimination Strand</t>
  </si>
  <si>
    <t>g</t>
  </si>
  <si>
    <t>ga117</t>
  </si>
  <si>
    <t>gb</t>
  </si>
  <si>
    <t>gc</t>
  </si>
  <si>
    <t>gd136</t>
  </si>
  <si>
    <t>gd137gd140</t>
  </si>
  <si>
    <t>gd144</t>
  </si>
  <si>
    <t>gb123</t>
  </si>
  <si>
    <t>gb124</t>
  </si>
  <si>
    <t>gb125</t>
  </si>
  <si>
    <t>gb126</t>
  </si>
  <si>
    <t>ANTIDISCRIMINATION</t>
  </si>
  <si>
    <t xml:space="preserve">Law covers direct/indirect discrimination, harassment, instruction </t>
  </si>
  <si>
    <t>Fields of applications</t>
  </si>
  <si>
    <t xml:space="preserve">Employment &amp; vocational training </t>
  </si>
  <si>
    <t>Social protection</t>
  </si>
  <si>
    <t>Access to and supply of public goods and services, including housing</t>
  </si>
  <si>
    <t>Enforcement mechanisms</t>
  </si>
  <si>
    <t xml:space="preserve">Mandate of specialised equality body </t>
  </si>
  <si>
    <t>Equality bodies</t>
  </si>
  <si>
    <t xml:space="preserve">Law covers positive action measures </t>
  </si>
  <si>
    <t xml:space="preserve">Prohibition in the law includes direct and/or indirect discrimination, and/or harassment and/or instruction to discriminate on grounds of:
a) race and ethnicity                                
b) religion and belief                                    
c) nationality                                                                                                                                                                                                                                                                          
C means that nationality/citizenship is a protected ground in national law or established through case law .  If discrimination is prohibited only for  national origin only, please do not chose C. </t>
  </si>
  <si>
    <t>Average of gb123-gb126</t>
  </si>
  <si>
    <t>Law covers employment and vocational training:       
a) race and ethnicity                                
b) religion and belief                                  
c) nationality</t>
  </si>
  <si>
    <t>Law covers education (primary and secondary level):                          
a) race and ethnicity                                
b) religion and belief                                 
c) nationality</t>
  </si>
  <si>
    <t>Law covers social protection, including social security:                    
a) race and ethnicity                                
b) religion and belief                                   
c) nationality</t>
  </si>
  <si>
    <t>Law covers access to and/or supply of goods and services available to the public, including housing:                                                            
a) race and ethnicity                                
b) religion and belief                                      
c) nationality</t>
  </si>
  <si>
    <t>A) Access for victims to all the following procedures: juridical civil, criminal, administrative 
B) Shift in burden of proof in judicial civil OR administrative procedures
C) Legal entities with a legitimate interest in defending the principle of equality may engage in proceedings on behalf OR in support of victims   
D) At least c, e and h of the following sanctions (below)
Sanctions include:           
a) financial compensation to victims for material damages      
b) financial compensation to victims for moral damages/ damages for injuries to feelings                                   
c) restitution of rights lost due to discrimination/ damages in lieu             
d) imposing positive measures on discrimination                                           
e) imposing negative measures to stop offending                                           
f) imposing negative measures to prevent repeat offending                         
g) specific sanctions authorising publication of the verdict (in a non-judicial publication, i.e. not in documents produced by the court)        
h) specific sanctions for legal persons</t>
  </si>
  <si>
    <t>Specialised Equality body has been established with a mandate to combat discrimination on the grounds of:                                                                  a) race and ethnicity                                  
b) religion and belief                               
c) nationality                                                                     Note: If there is no dedicated specialised equality body, then answer with option 3 to Q137-140 and skip to Q 141</t>
  </si>
  <si>
    <t xml:space="preserve">Specialised Body has the mandate to:
a)  assist victims with independent legal advice to victims on their case
b) assist victims with independently investigation of the facts of the case
c) instigation of own proceedings OR investigations
</t>
  </si>
  <si>
    <t xml:space="preserve">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 </t>
  </si>
  <si>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(please specify which ones)
</t>
    </r>
    <r>
      <rPr>
        <b/>
        <sz val="10"/>
        <color theme="1"/>
        <rFont val="Calibri"/>
        <family val="2"/>
      </rPr>
      <t>0</t>
    </r>
    <r>
      <rPr>
        <sz val="10"/>
        <color theme="1"/>
        <rFont val="Calibri"/>
        <family val="2"/>
      </rPr>
      <t xml:space="preserve"> - Ground a, none, or only based on international standards or constitution, subject to judicial interpretation</t>
    </r>
  </si>
  <si>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t>
    </r>
    <r>
      <rPr>
        <b/>
        <sz val="10"/>
        <color theme="1"/>
        <rFont val="Calibri"/>
        <family val="2"/>
      </rPr>
      <t xml:space="preserve">0 </t>
    </r>
    <r>
      <rPr>
        <sz val="10"/>
        <color theme="1"/>
        <rFont val="Calibri"/>
        <family val="2"/>
      </rPr>
      <t>- Ground a, none, or only based on international standards or constitution, subject to judicial interpretation</t>
    </r>
  </si>
  <si>
    <r>
      <rPr>
        <b/>
        <sz val="10"/>
        <color theme="1"/>
        <rFont val="Calibri"/>
        <family val="2"/>
      </rPr>
      <t>0</t>
    </r>
    <r>
      <rPr>
        <sz val="10"/>
        <color theme="1"/>
        <rFont val="Calibri"/>
        <family val="2"/>
      </rPr>
      <t xml:space="preserve"> - None
</t>
    </r>
    <r>
      <rPr>
        <b/>
        <sz val="10"/>
        <color theme="1"/>
        <rFont val="Calibri"/>
        <family val="2"/>
      </rPr>
      <t>25</t>
    </r>
    <r>
      <rPr>
        <sz val="10"/>
        <color theme="1"/>
        <rFont val="Calibri"/>
        <family val="2"/>
      </rPr>
      <t xml:space="preserve"> - One of these 
</t>
    </r>
    <r>
      <rPr>
        <b/>
        <sz val="10"/>
        <color theme="1"/>
        <rFont val="Calibri"/>
        <family val="2"/>
      </rPr>
      <t>50</t>
    </r>
    <r>
      <rPr>
        <sz val="10"/>
        <color theme="1"/>
        <rFont val="Calibri"/>
        <family val="2"/>
      </rPr>
      <t xml:space="preserve"> - Two of these
</t>
    </r>
    <r>
      <rPr>
        <b/>
        <sz val="10"/>
        <color theme="1"/>
        <rFont val="Calibri"/>
        <family val="2"/>
      </rPr>
      <t xml:space="preserve">75 - </t>
    </r>
    <r>
      <rPr>
        <sz val="10"/>
        <color theme="1"/>
        <rFont val="Calibri"/>
        <family val="2"/>
      </rPr>
      <t xml:space="preserve">Three of these
</t>
    </r>
    <r>
      <rPr>
        <b/>
        <sz val="10"/>
        <color theme="1"/>
        <rFont val="Calibri"/>
        <family val="2"/>
      </rPr>
      <t>100</t>
    </r>
    <r>
      <rPr>
        <sz val="10"/>
        <color theme="1"/>
        <rFont val="Calibri"/>
        <family val="2"/>
      </rPr>
      <t xml:space="preserve"> - All four of these </t>
    </r>
  </si>
  <si>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t>
    </r>
    <r>
      <rPr>
        <b/>
        <sz val="10"/>
        <color theme="1"/>
        <rFont val="Calibri"/>
        <family val="2"/>
      </rPr>
      <t>0</t>
    </r>
    <r>
      <rPr>
        <sz val="10"/>
        <color theme="1"/>
        <rFont val="Calibri"/>
        <family val="2"/>
      </rPr>
      <t xml:space="preserve"> - Ground A </t>
    </r>
  </si>
  <si>
    <r>
      <rPr>
        <b/>
        <sz val="10"/>
        <color theme="1"/>
        <rFont val="Calibri"/>
        <family val="2"/>
      </rPr>
      <t xml:space="preserve">0 - </t>
    </r>
    <r>
      <rPr>
        <sz val="10"/>
        <color theme="1"/>
        <rFont val="Calibri"/>
        <family val="2"/>
      </rPr>
      <t xml:space="preserve">No specialized Body
</t>
    </r>
    <r>
      <rPr>
        <b/>
        <sz val="10"/>
        <color theme="1"/>
        <rFont val="Calibri"/>
        <family val="2"/>
      </rPr>
      <t>33</t>
    </r>
    <r>
      <rPr>
        <sz val="10"/>
        <color theme="1"/>
        <rFont val="Calibri"/>
        <family val="2"/>
      </rPr>
      <t xml:space="preserve"> - One of these
</t>
    </r>
    <r>
      <rPr>
        <b/>
        <sz val="10"/>
        <color theme="1"/>
        <rFont val="Calibri"/>
        <family val="2"/>
      </rPr>
      <t>67</t>
    </r>
    <r>
      <rPr>
        <sz val="10"/>
        <color theme="1"/>
        <rFont val="Calibri"/>
        <family val="2"/>
      </rPr>
      <t xml:space="preserve"> - Two of these
</t>
    </r>
    <r>
      <rPr>
        <b/>
        <sz val="10"/>
        <color theme="1"/>
        <rFont val="Calibri"/>
        <family val="2"/>
      </rPr>
      <t>100</t>
    </r>
    <r>
      <rPr>
        <sz val="10"/>
        <color theme="1"/>
        <rFont val="Calibri"/>
        <family val="2"/>
      </rPr>
      <t xml:space="preserve"> - Three of these </t>
    </r>
  </si>
  <si>
    <r>
      <rPr>
        <b/>
        <sz val="10"/>
        <color theme="1"/>
        <rFont val="Calibri"/>
        <family val="2"/>
      </rPr>
      <t xml:space="preserve">100 </t>
    </r>
    <r>
      <rPr>
        <sz val="10"/>
        <color theme="1"/>
        <rFont val="Calibri"/>
        <family val="2"/>
      </rPr>
      <t xml:space="preserve">- Both of these 
</t>
    </r>
    <r>
      <rPr>
        <b/>
        <sz val="10"/>
        <color theme="1"/>
        <rFont val="Calibri"/>
        <family val="2"/>
      </rPr>
      <t xml:space="preserve">50 </t>
    </r>
    <r>
      <rPr>
        <sz val="10"/>
        <color theme="1"/>
        <rFont val="Calibri"/>
        <family val="2"/>
      </rPr>
      <t xml:space="preserve">- Only A 
</t>
    </r>
    <r>
      <rPr>
        <b/>
        <sz val="10"/>
        <color theme="1"/>
        <rFont val="Calibri"/>
        <family val="2"/>
      </rPr>
      <t xml:space="preserve">0 </t>
    </r>
    <r>
      <rPr>
        <sz val="10"/>
        <color theme="1"/>
        <rFont val="Calibri"/>
        <family val="2"/>
      </rPr>
      <t>- None of these</t>
    </r>
  </si>
  <si>
    <t>grounds a and b</t>
  </si>
  <si>
    <t>a and c</t>
  </si>
  <si>
    <t>Health Strand</t>
  </si>
  <si>
    <t>h</t>
  </si>
  <si>
    <t>145a</t>
  </si>
  <si>
    <t xml:space="preserve"> 146a</t>
  </si>
  <si>
    <t>147a</t>
  </si>
  <si>
    <t>152c</t>
  </si>
  <si>
    <t>153c</t>
  </si>
  <si>
    <t>156a</t>
  </si>
  <si>
    <t>HEALTH</t>
  </si>
  <si>
    <t>a. Conditions for legal migrants</t>
  </si>
  <si>
    <t>Administrative discretion and documentation for legal migrants</t>
  </si>
  <si>
    <t>a. Conditions for asylum-seekers</t>
  </si>
  <si>
    <t>Administrative discretion and documentation for asylum-seekers</t>
  </si>
  <si>
    <t>a. Conditions for undocumented migrants</t>
  </si>
  <si>
    <t>Administrative discretion and documentation for undocumented migrants</t>
  </si>
  <si>
    <t>Information for migrants concerning entitlements and use of health services</t>
  </si>
  <si>
    <t>Information for migrants concerning health education and promotion</t>
  </si>
  <si>
    <t>Cost/availability of  interpreters</t>
  </si>
  <si>
    <t xml:space="preserve">Involvement of migrants in information provision, service design and delivery </t>
  </si>
  <si>
    <t xml:space="preserve">Support for research on migrant health </t>
  </si>
  <si>
    <t>Whole organisation approach</t>
  </si>
  <si>
    <t>Legal migrants: conditions for inclusion in a system of health care coverage
Please specify any conditions for obtaining health care coverage, such as length of stay or other conditions (e.g. residing in a State facility). (Ignore the conditions which have to be satisfied in order to be classed as a ‘migrant’ rather than a ‘visitor’.)</t>
  </si>
  <si>
    <t>A. Administrative demands for documents which may be difficult for migrants to produce
B. Coverage for migrants may depend on decisions with uncertain outcome.
examples of A: proof of low income on the basis of tax returns; identity documents available only from the police; proof of address from local authority records.
Example of B: Decision made for example by administrators (receptionists, managers or committees), health workers making clinical judgements about criteria for entitlement such as ‘urgency’, financial departments deciding how rigorously to pursue unpaid bills, etc.</t>
  </si>
  <si>
    <t>Asylum-seekers: conditions for inclusion in a system of health care coverage
Please specify any conditions for obtaining health care coverage, such as length of stay or other conditions (e.g. residing in a State facility). (Ignore the conditions which have to be satisfied in order to be classed as a ‘migrant’ rather than a ‘visitor’.)</t>
  </si>
  <si>
    <t>Undocumented migrants: conditions for inclusion in a system of health care coverage
Please specify any conditions for obtaining health care coverage, such as length of stay or other conditions (e.g. residing in a State facility). (Ignore the conditions which have to be satisfied in order to be classed as a ‘migrant’ rather than a ‘visitor’.)</t>
  </si>
  <si>
    <t>Groups reached by information for migrants on entitlements and use of health services 
A. Legal migrants
B. Asylum seekers
C. Undocumented migrants</t>
  </si>
  <si>
    <t>Groups reached by health education and health promotion:
A. Legal migrants
B. Asylum seekers
C. Undocumented migrants</t>
  </si>
  <si>
    <t>Availability of qualified interpretation services for patients with inadequate proficiency in the official language(s)</t>
  </si>
  <si>
    <t xml:space="preserve">A. Migrants are involved in service delivery
    (e.g. through the employment of 'cultural 
    mediators') 
B. Migrants are involved in the development 
    and dissemination of information
C. Migrants are involved in research (not only
    as respondents)
D. Migrant patients or ex-patients are
    involved in the evaluation, planning
    and running of services.
E. Migrants in the community are involved 
    in  the design of services.
Mention only forms of migrant involvement that are explicitly encouraged by policy measures (at any level) </t>
  </si>
  <si>
    <t>Funding bodies have in the past five years supported research on the following topics: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t>
  </si>
  <si>
    <t>Migrant or ethnic minority health is a priority throughout service provider organisations and health agencies ("integrated" versus "categorical" approach).</t>
  </si>
  <si>
    <r>
      <rPr>
        <b/>
        <sz val="10"/>
        <color theme="1"/>
        <rFont val="Calibri"/>
        <family val="2"/>
      </rPr>
      <t>100</t>
    </r>
    <r>
      <rPr>
        <sz val="10"/>
        <color theme="1"/>
        <rFont val="Calibri"/>
        <family val="2"/>
      </rPr>
      <t xml:space="preserve"> -  Inclusion is unconditional
</t>
    </r>
    <r>
      <rPr>
        <b/>
        <sz val="10"/>
        <color theme="1"/>
        <rFont val="Calibri"/>
        <family val="2"/>
      </rPr>
      <t>50</t>
    </r>
    <r>
      <rPr>
        <sz val="10"/>
        <color theme="1"/>
        <rFont val="Calibri"/>
        <family val="2"/>
      </rPr>
      <t xml:space="preserve"> - Some conditions for inclusion
</t>
    </r>
    <r>
      <rPr>
        <b/>
        <sz val="10"/>
        <color theme="1"/>
        <rFont val="Calibri"/>
        <family val="2"/>
      </rPr>
      <t>0</t>
    </r>
    <r>
      <rPr>
        <sz val="10"/>
        <color theme="1"/>
        <rFont val="Calibri"/>
        <family val="2"/>
      </rPr>
      <t xml:space="preserve"> - No inclusion (costs must be paid in full by the user or by a commercial insurance policy)</t>
    </r>
  </si>
  <si>
    <r>
      <rPr>
        <b/>
        <sz val="10"/>
        <color theme="1"/>
        <rFont val="Calibri"/>
        <family val="2"/>
      </rPr>
      <t>100</t>
    </r>
    <r>
      <rPr>
        <sz val="10"/>
        <color theme="1"/>
        <rFont val="Calibri"/>
        <family val="2"/>
      </rPr>
      <t xml:space="preserve"> - Neither
50 - A or B (please specify)
0 - A and B</t>
    </r>
  </si>
  <si>
    <r>
      <rPr>
        <b/>
        <sz val="10"/>
        <color theme="1"/>
        <rFont val="Calibri"/>
        <family val="2"/>
      </rPr>
      <t xml:space="preserve">100 </t>
    </r>
    <r>
      <rPr>
        <sz val="10"/>
        <color theme="1"/>
        <rFont val="Calibri"/>
        <family val="2"/>
      </rPr>
      <t xml:space="preserve">-  Inclusion is unconditional
</t>
    </r>
    <r>
      <rPr>
        <b/>
        <sz val="10"/>
        <color theme="1"/>
        <rFont val="Calibri"/>
        <family val="2"/>
      </rPr>
      <t>50</t>
    </r>
    <r>
      <rPr>
        <sz val="10"/>
        <color theme="1"/>
        <rFont val="Calibri"/>
        <family val="2"/>
      </rPr>
      <t xml:space="preserve"> - Some conditions for inclusion
</t>
    </r>
    <r>
      <rPr>
        <b/>
        <sz val="10"/>
        <color theme="1"/>
        <rFont val="Calibri"/>
        <family val="2"/>
      </rPr>
      <t>0</t>
    </r>
    <r>
      <rPr>
        <sz val="10"/>
        <color theme="1"/>
        <rFont val="Calibri"/>
        <family val="2"/>
      </rPr>
      <t xml:space="preserve"> - No inclusion (costs must be paid in full by the user or by a commercial insurance policy)</t>
    </r>
  </si>
  <si>
    <r>
      <rPr>
        <b/>
        <sz val="10"/>
        <color theme="1"/>
        <rFont val="Calibri"/>
        <family val="2"/>
      </rPr>
      <t xml:space="preserve">100 - </t>
    </r>
    <r>
      <rPr>
        <sz val="10"/>
        <color theme="1"/>
        <rFont val="Calibri"/>
        <family val="2"/>
      </rPr>
      <t>All three groups</t>
    </r>
    <r>
      <rPr>
        <b/>
        <sz val="10"/>
        <color theme="1"/>
        <rFont val="Calibri"/>
        <family val="2"/>
      </rPr>
      <t xml:space="preserve">
67 - </t>
    </r>
    <r>
      <rPr>
        <sz val="10"/>
        <color theme="1"/>
        <rFont val="Calibri"/>
        <family val="2"/>
      </rPr>
      <t xml:space="preserve">Two groups (please specify) </t>
    </r>
    <r>
      <rPr>
        <b/>
        <sz val="10"/>
        <color theme="1"/>
        <rFont val="Calibri"/>
        <family val="2"/>
      </rPr>
      <t xml:space="preserve">
33 - </t>
    </r>
    <r>
      <rPr>
        <sz val="10"/>
        <color theme="1"/>
        <rFont val="Calibri"/>
        <family val="2"/>
      </rPr>
      <t xml:space="preserve">One group   (please specify) </t>
    </r>
    <r>
      <rPr>
        <b/>
        <sz val="10"/>
        <color theme="1"/>
        <rFont val="Calibri"/>
        <family val="2"/>
      </rPr>
      <t xml:space="preserve">
0 - </t>
    </r>
    <r>
      <rPr>
        <sz val="10"/>
        <color theme="1"/>
        <rFont val="Calibri"/>
        <family val="2"/>
      </rPr>
      <t>None</t>
    </r>
    <r>
      <rPr>
        <b/>
        <sz val="10"/>
        <color theme="1"/>
        <rFont val="Calibri"/>
        <family val="2"/>
      </rPr>
      <t xml:space="preserve">
</t>
    </r>
  </si>
  <si>
    <r>
      <rPr>
        <b/>
        <sz val="10"/>
        <color theme="1"/>
        <rFont val="Calibri"/>
        <family val="2"/>
      </rPr>
      <t xml:space="preserve">100 </t>
    </r>
    <r>
      <rPr>
        <sz val="10"/>
        <color theme="1"/>
        <rFont val="Calibri"/>
        <family val="2"/>
      </rPr>
      <t xml:space="preserve">- Interpreters are available free of charge to patients
</t>
    </r>
    <r>
      <rPr>
        <b/>
        <sz val="10"/>
        <color theme="1"/>
        <rFont val="Calibri"/>
        <family val="2"/>
      </rPr>
      <t>50</t>
    </r>
    <r>
      <rPr>
        <sz val="10"/>
        <color theme="1"/>
        <rFont val="Calibri"/>
        <family val="2"/>
      </rPr>
      <t xml:space="preserve"> - Interpreters are available but patients must pay all (or a substantial part) of the costs
</t>
    </r>
    <r>
      <rPr>
        <b/>
        <sz val="10"/>
        <color theme="1"/>
        <rFont val="Calibri"/>
        <family val="2"/>
      </rPr>
      <t>0</t>
    </r>
    <r>
      <rPr>
        <sz val="10"/>
        <color theme="1"/>
        <rFont val="Calibri"/>
        <family val="2"/>
      </rPr>
      <t xml:space="preserve"> - No interpretation services available</t>
    </r>
  </si>
  <si>
    <r>
      <rPr>
        <b/>
        <sz val="10"/>
        <color theme="1"/>
        <rFont val="Calibri"/>
        <family val="2"/>
      </rPr>
      <t>100</t>
    </r>
    <r>
      <rPr>
        <sz val="10"/>
        <color theme="1"/>
        <rFont val="Calibri"/>
        <family val="2"/>
      </rPr>
      <t xml:space="preserve"> - 3-5 of these (please specify)
</t>
    </r>
    <r>
      <rPr>
        <b/>
        <sz val="10"/>
        <color theme="1"/>
        <rFont val="Calibri"/>
        <family val="2"/>
      </rPr>
      <t>50</t>
    </r>
    <r>
      <rPr>
        <sz val="10"/>
        <color theme="1"/>
        <rFont val="Calibri"/>
        <family val="2"/>
      </rPr>
      <t xml:space="preserve"> - 1-2 of these (please specify)
</t>
    </r>
    <r>
      <rPr>
        <b/>
        <sz val="10"/>
        <color theme="1"/>
        <rFont val="Calibri"/>
        <family val="2"/>
      </rPr>
      <t>0</t>
    </r>
    <r>
      <rPr>
        <sz val="10"/>
        <color theme="1"/>
        <rFont val="Calibri"/>
        <family val="2"/>
      </rPr>
      <t xml:space="preserve"> - None of these </t>
    </r>
  </si>
  <si>
    <r>
      <rPr>
        <b/>
        <sz val="10"/>
        <color theme="1"/>
        <rFont val="Calibri"/>
        <family val="2"/>
      </rPr>
      <t>100</t>
    </r>
    <r>
      <rPr>
        <sz val="10"/>
        <color theme="1"/>
        <rFont val="Calibri"/>
        <family val="2"/>
      </rPr>
      <t xml:space="preserve"> - 3-4 of these (please specify)
</t>
    </r>
    <r>
      <rPr>
        <b/>
        <sz val="10"/>
        <color theme="1"/>
        <rFont val="Calibri"/>
        <family val="2"/>
      </rPr>
      <t>50</t>
    </r>
    <r>
      <rPr>
        <sz val="10"/>
        <color theme="1"/>
        <rFont val="Calibri"/>
        <family val="2"/>
      </rPr>
      <t xml:space="preserve"> - 1-2 of these (please specify)
</t>
    </r>
    <r>
      <rPr>
        <b/>
        <sz val="10"/>
        <color theme="1"/>
        <rFont val="Calibri"/>
        <family val="2"/>
      </rPr>
      <t>0</t>
    </r>
    <r>
      <rPr>
        <sz val="10"/>
        <color theme="1"/>
        <rFont val="Calibri"/>
        <family val="2"/>
      </rPr>
      <t xml:space="preserve"> - None of these topics </t>
    </r>
  </si>
  <si>
    <t>100 - Commitment to providing equitable health care for migrants or ethnic minorities is present in all departments of service provider organisations and health agencies
50 - Concern for migrant or ethnic minority health is regarded as a priority only for specialised departments or organisations
0 - No systematic attention is paid to migrant or ethnic minority health in any part of the health system. Measures are left to individual initiative</t>
  </si>
  <si>
    <t>a and b</t>
  </si>
  <si>
    <t>interpreters are available in some hospitals (but not everywhere)- if available they are free of charge. Video translation services are more and more popular. But still not provided systemically everywhere.</t>
  </si>
  <si>
    <t>All categories. Residents on family reunification permits also have access to the labour market (except for family members of students) as they are exempted from the authorization to work in Belgium- see Royal Decree of 2 September 2018 regarding the implementation of Law of 9 May 2018, https://www.ejustice.just.fgov.be/eli/arrete/2018/09/02/2018203970/moniteur. See also: https://emploi.wallonie.be/home/travailleurs-etrangers/permis-de-travail/dispenses.html and https://economy-employment.brussels/single-permit-work-permit</t>
  </si>
  <si>
    <t xml:space="preserve">The Belgian nationality is required for public functions that involve direct or indirect participation to the exercise of public power and for functions whose purpose is to safeguard the general interests of the State. See the Royal Decree of 25 April 2005, https://fedweb.belgium.be/sites/default/files/2005-04-25%20KB%20%28indienstneming%20bij%20arbeidsovereenkomst%29_0.pdf. See also https://www.wallonie.be/fr/demarches/postuler-un-emploi-statutaire-au-sein-de-la-fonction-publique-de-wallonie/faqs and https://etaamb.openjustice.be/fr/arrete-du-gouvernement-de-la-region-de-bruxellescapit_n2014031405.html 
</t>
  </si>
  <si>
    <t xml:space="preserve">To order to exercise activities as self-employed in Belgium, third-country nationals must first submit an application for a professional card that grants them access to self-employment- https://dofi.ibz.be/fr/themes/ressortissants-dun-pays-tiers/travail/carte-professionnelle. These professional cards authorizing self-employed activities are granted by regional authorities- see, for instance- https://emploi.wallonie.be/home/travailleurs-etrangers/carte-professionnelle.html. Certain categories of third-country nationals are exempted- see https://emploi.wallonie.be/home/travailleurs-etrangers/carte-professionnelle/les-dispenses-de-cartes-professi.html  </t>
  </si>
  <si>
    <t>All foreigners residing in Belgium have access to public employment services- see also https://www.leforem.be/citoyens/accompagnement-ressortissants-etrangers.html.</t>
  </si>
  <si>
    <r>
      <t xml:space="preserve">All foreigners residing in Belgium have access to education and vocational training and </t>
    </r>
    <r>
      <rPr>
        <sz val="10"/>
        <color theme="1"/>
        <rFont val="Calibri (Corpo)"/>
      </rPr>
      <t>study grants</t>
    </r>
  </si>
  <si>
    <t xml:space="preserve">In general, no difference when compared to nationals in what refers to procedures and fees. Certain categories of third-country nationals (refugees and beneficiaries of subsidiary protection) also benefit from fee waivers- see, for instance, https://equisup.cfwb.be/equivalence/procedure/ </t>
  </si>
  <si>
    <t>No targeted programs implemented by the government.</t>
  </si>
  <si>
    <t xml:space="preserve">No structural policies specifically targeting the labour market situation of migrant youth or women. </t>
  </si>
  <si>
    <t>In general, access to social benefits is not conditioned by nationality, except for social assistance benefits. For instance, the scheme of non-contributory minimum income for the elderly without sufficient means is only accessible to certain categories of third-country nationals with effective and permanent residence in Belgium (such as those having the long-term residence status or those who have worked in Belgium for at least 312 days of full-time employment; refugees or individuals with the status of subsidiary protection or stateless persons)- see https://www.sfpd.fgov.be/fr/droit-a-la-pension/grapa#conditions. Similarly, third-country nationals with less than 5 years of residence are not entitled to claim the integration income/revenu d’intégration (to do so, they must be registered in the population register, which is possible only after 5 years of legal residence in Belgium- Loi concernant le droit à l’intégration sociale, 26 mai 2002 &amp; Loi sur l’accès au territoire, le séjour, l’établissement et l’éloignement des étrangers, 15 décembre 1980, see also https://www.droitsquotidiens.be/fr/question/je-suis-etranger-et-jhabite-en-belgique-depuis-plus-de-5-ans-ai-je-droit-au-ris)</t>
  </si>
  <si>
    <t xml:space="preserve">The sponsor, a third country national, must be admitted or authorized to stay in Belgium for a limited or unlimited period, or be authorized to settle in Belgium. When the sponsor is admitted or authorized to stay in Belgium for an unlimited period, or authorized to settle in Belgium, the waiting period for family reunification is of 12 months. The period during which the sponsor stayed for a limited period in Belgium is taken into account in the calculation of this waiting period. This waiting period of 12 months is waived in the following situations: (a) The marriage or partnership is prior to the arrival of the sponsor in Belgium, (b) The spouses have a common child, and (c) The sponsor is authorized to stay in Belgium as a beneficiary of international protection. The waiting period is not imposed on sponsors staying in Belgium for a limited period (card A or H).  See Law of 15 Decembre 1980 and https://dofi.ibz.be/fr/themes/ressortissants-dun-pays-tiers/regroupement-familial/conditions-et-documents-justificatifs/le </t>
  </si>
  <si>
    <t xml:space="preserve">In principle, TCN parents, grandparents and adult children are not eligible for family reunification when the sponsor is also a third-country national residing in Belgium. However, there is an exception when the sponsored is an adult children who is single and disabled- see https://dofi.ibz.be/fr/themes/les-ressortissants-dun-pays-tiers/regroupement-familial/conditions-et-documents-14. </t>
  </si>
  <si>
    <t>No pre-entry language and integration requirement.</t>
  </si>
  <si>
    <t xml:space="preserve">Post-arrival integration is within the competences of the communities. For the French-speaking part, the French Community Commission (COCOF) is in charge in the Brussels and Wallonia regions, while in Flanders it is the Flemish government (Vlaamse Regering). There is the requirement to take language and integration courses- see https://www.vlaanderen.be/fr/accompagnement-des-integrants-parcours-dintegration, https://web.archive.org/web/20230203191530/https://ccf.brussels/nos-services/diversite-et-citoyennete/accueil-et-accompagnement-des-primo-arrivants-et-des-personnes-etrangeres/ and https://www.wallonie.be/fr/demarches/beneficier-dun-parcours-dintegration-en-tant-que-primo-arrivant </t>
  </si>
  <si>
    <t xml:space="preserve">In Wallonia, the 2014 Decree “Décret remplaçant le livre II du Code wallon de l'Action sociale et de la Santé relatif à l'intégration des personnes étrangères ou d'origine étrangère” made compulsory the welcome course “ parcours d’accueil” which also includes language courses- see https://parcoursintegration.be/fr/accueil. For the Flemish-speaking areas, the 2012 “Decree concerning the Flemish integration and integration policy” raises level of required Dutch courses from A1 to A2. see also: https://www.vlaanderen.be/fr/accompagnement-des-integrants-parcours-dintegration </t>
  </si>
  <si>
    <t xml:space="preserve">In Wallonia, the 2014 Decree “Décret remplaçant le livre II du Code wallon de l'Action sociale et de la Santé relatif à l'intégration des personnes étrangères ou d'origine étrangère” made compulsory the welcome course “ parcours d’accueil”- see here https://parcoursintegration.be/fr/accueil. In Flanders, the integration course is also compulsory for adult foreigners residing in Flanders- see here: https://www.vlaanderen.be/fr/accompagnement-des-integrants-parcours-dintegration </t>
  </si>
  <si>
    <t>The TCN sponsor who wishes to reunite with their family member must have sufficient, stable and regular means of subsistence. The income must be sufficient to cover the needs of the sponsor as well as those of their family members to avoid them becoming a burden on the public authorities- see https://dofi.ibz.be/fr/themes/les-ressortissants-dun-pays-tiers/regroupement-familial/conditions-et-documents-11 The level of income is set at 120% of the social assistance level (or living wage). This calculation cannot take into account certain sources of income, such as family benefits, social assistance benefits, transition benefits - see https://dofi.ibz.be/fr/moyens-de-subsistance-stables-reguliers-et-suffisants</t>
  </si>
  <si>
    <t xml:space="preserve">The sponsor must prove sufficient and appropiate accommodation that meets basic safety, health and habitability requirements. See https://dofi.ibz.be/fr/themes/faq/logement-suffisant and Article 2, Chapter II, Section 2 of the Civil Code https://vlex.be/vid/livre-particuli-baux-principale-preneur-30023835 </t>
  </si>
  <si>
    <t xml:space="preserve">When the application for family reunification with a TCN residing in Belgium receives a positive decision from the Office for Foreigners, the family member receives a D visa that is valid for 1 year- see https://dofi.ibz.be/fr/themes/third-country-nationals/family-reunification/demande-de-visa-d-regroupement-familial In Belgium, they also receive a Carte A permit that is valid for 1 year and renewable- see https://dofi.ibz.be/fr/propos/cartes-electroniques-pour-etrangers/ressortissants-de-pays-tiers </t>
  </si>
  <si>
    <t>All four grounds are included- see https://www.ejustice.just.fgov.be/cgi_loi/change_lg.pl?language=fr&amp;la=F&amp;cn=1980121530&amp;table_name=loi#LNK0006 and https://www.myria.be/fr/droits-fondamentaux/droit-de-vivre-en-famille/regroupement-familial-des-beneficiaires-de-protection-internationale/chapitre-6</t>
  </si>
  <si>
    <t>All elements. See https://www.ejustice.just.fgov.be/cgi_loi/change_lg.pl?language=fr&amp;la=F&amp;cn=1980121530&amp;table_name=loi#LNK0006 and https://www.myria.be/fr/droits-fondamentaux/droit-de-vivre-en-famille/regroupement-familial-des-beneficiaires-de-protection-internationale/chapitre-6</t>
  </si>
  <si>
    <t xml:space="preserve">Since 2016, the conditions for family reunification must be met during 5 years, after which the residence permit of the family member can become unconditional of the family reunification requirements- see https://www.ejustice.just.fgov.be/cgi_loi/change_lg.pl?language=fr&amp;la=F&amp;cn=1980121530&amp;table_name=loi#LNK0006 and https://www.myria.be/fr/droits-fondamentaux/droit-de-vivre-en-famille/regroupement-familial-des-beneficiaires-de-protection-internationale/chapitre-6 </t>
  </si>
  <si>
    <t xml:space="preserve">Post-arrival integration is within the competences of the communities and there is the requirement to take language and integration courses- see https://www.vlaanderen.be/fr/accompagnement-des-integrants-parcours-dintegration and https://www.wallonie.be/fr/demarches/beneficier-dun-parcours-dintegration-en-tant-que-primo-arrivant. Since January 2024, the parcours d’accueil in Brussels has become bilingual and it is managed by Vivalis- see https://ccf.brussels/nos-services/diversite-et-citoyennete/accueil-et-accompagnement-des-primo-arrivants-et-des-personnes-etrangeres/ and https://www.vivalis.brussels/fr/piloter-la-sante-et-le-social-a-bruxelles/quelles-sont-les-politiques-sociales-sante-que-nous/aide-aux-personnes/lintegration-des-primo-arrivants </t>
  </si>
  <si>
    <t xml:space="preserve">In Wallonia, the 2014 Decree “Décret remplaçant le livre II du Code wallon de l'Action sociale et de la Santé relatif à l'intégration des personnes étrangères ou d'origine étrangère” made compulsory the welcome course “ parcours d’accueil”- see here https://parcoursintegration.be/fr/accueil. In Flanders, the integration course is also compulsory for adult foreigners residing in Flanders- see here: https://www.vlaanderen.be/fr/accompagnement-des-integrants-parcours-dintegration Fro Brussels, since 2024, the integration course is organised by Vivalis- see here https://www.vivalis.brussels/fr/piloter-la-sante-et-le-social-a-bruxelles/quelles-sont-les-politiques-sociales-sante-que-nous/aide-aux-personnes/lintegration-des-primo-arrivants </t>
  </si>
  <si>
    <t>Laws on compulsory education apply to all categories of foreigners and grant same access as nationals. Explicitly recognized entitlement of undocumented children to basic formal education (for the French-speaking community, see Decree of 30 of June 1998; for the Flemish-speaking community, see Circular of 24 February 2003). No explicit legal restrictions for foreigners to access non-compulsory education.</t>
  </si>
  <si>
    <t>No support/measures specifically targeting third-country nationals</t>
  </si>
  <si>
    <t>Information is present and available in multiple languages through specific services/organizations. A Student Guidance Centre (Centrum voor Leerlingenbegeleiding) exists in the Flemish Community, while schools are individually responsible to create an Integration Council (Conseil d'Intégration) in the Wallonia-Brussels Federation.</t>
  </si>
  <si>
    <t xml:space="preserve">Continuous and ongoing education support in the community language is offered in both pre-primary and compulsory education. </t>
  </si>
  <si>
    <t>Both. See, for instance, the intensive French course by DASPA (http://www.enseignement.be/index.php?page=23677) or the reception education for non-Dutch speaking newcomers by OKAN (https://www.vlaanderen.be/onderwijs-en-vorming/zorgondersteuning-en-begeleiding-in-het-onderwijs/onderwijs-voor-leerlingen-met-specifieke-noden/onthaalonderwijs-voor-anderstalige-kinderen-okan)</t>
  </si>
  <si>
    <t>The three conditions are met, although there is no common standard of organization and evaluation of language teaching activities between the Flemish Community and the Wallonia-Brussels Federation. The system is much more centralized in the Flemish Community where standards and support material are set by a designed Center for Language and Education (Centrum voor Taal &amp; Onderwijs). The Wallonia-Brussels Federation gives more direct responsibility to school directions in terms of development of programmes and quality self-evaluation.</t>
  </si>
  <si>
    <t>Systematic provision of guidance for migrant pupils in both the Flemish Community and the Wallonia-Brussels Federation.</t>
  </si>
  <si>
    <t>Intercultural education is included both as a stand-alone subject and as an integrated subject throughout the curricula and daily school activities.</t>
  </si>
  <si>
    <t>No specific measures.</t>
  </si>
  <si>
    <t xml:space="preserve">Intercultural education is a principle of the teacher training system. Notions of cultural diversity and discrimination are part of both pre-service and in-service (development) training.   </t>
  </si>
  <si>
    <t>Third-country nationals can vote in Belgian local elections- see Law of 19 of March 2004 (https://etaamb.openjustice.be/fr/loi-du-19-mars-2004_n2004000208.html). However, to do so, they must have resided in Belgium for at least 5 continous years, request their registration as voters, and submit a formal declaration by which they commit themselves to respecting Belgian laws, the Belgian Constitution and the European Convention of Human Rights. No candidacy rights for TCNs.</t>
  </si>
  <si>
    <t>Third-country nationals are guaranteed the same basic political liberties to join political associations and parties as nationals</t>
  </si>
  <si>
    <t xml:space="preserve">The Federal Consultative Council for the Occupation of Foreigners (Conseil consultatif fédéral pour l’occupation de ressortissants étrangers) gives its opinion on law proposals related to the incorporation of foreigners in the labour market. The King establishes the mission and composition of this Consultative Council (see Law of 9 of May 2018, https://etaamb.openjustice.be/fr/loi-du-09-mai-2018_n2018202642.html). Its members are nominated under the proposal of the Minister of Employment for a mandate of 6 years (see also the Arrêté royal of 18 August 2020, https://etaamb.openjustice.be/fr/arrete-royal-du-18-aout-2020_n2020203647.html). Additionally, there is also the Consultative Commission for Foreigners (Commission consultative des étrangers) whose members are nominated for a 3 years mandate (some of them represent immigrant associations- see Arrêté royal of 21 of November 2016, https://etaamb.openjustice.be/fr/arrete-royal-du-21-novembre-2016_n2016000741.html). </t>
  </si>
  <si>
    <t>Especially related to the right to vote: different campaigns in certain regions, online information on national and regional websites, etc.</t>
  </si>
  <si>
    <t>No restrictions</t>
  </si>
  <si>
    <t>Having resided legally and continously in Belgium during the last 5 years prior to the application- see https://www.droitsquotidiens.be/fr/question/comment-obtenir-le-statut-de-resident-longue-duree-en-belgique and Law of 15 December 1980, https://www.ejustice.just.fgov.be/eli/loi/1980/12/15/1980121550/justel#LNK0006)</t>
  </si>
  <si>
    <t>No requirement. See also: https://www.droitsquotidiens.be/fr/question/comment-obtenir-le-statut-de-resident-longue-duree-en-belgique</t>
  </si>
  <si>
    <t xml:space="preserve">Applicants are required to show stable, regular and sufficient income to support themselves (and their family members under their responsability of maintenance). Income is evaluated based on the social assistance level (revenu d’intégration sociale), regularly indexed depending on the consumption price. See also: https://www.droitsquotidiens.be/fr/question/comment-obtenir-le-statut-de-resident-longue-duree-en-belgique </t>
  </si>
  <si>
    <t>The permanent residence permit is valid for 5 years, but the status has an unlimited duration (see Law of 15 décembre 1980)</t>
  </si>
  <si>
    <t>The permanent residence permit is valid for 5 years (renewed by the administration), but the status has an unlimited duration (see Law of 15 December 1980, https://www.ejustice.just.fgov.be/eli/loi/1980/12/15/1980121550/justel#LNK0006)</t>
  </si>
  <si>
    <t>The permanent residence status is lost if the individual is absent from the territory of EU Member States during 12 consecutive months or if the individual left Belgium for at least six years. See Law of 15 Decembre 1980 (https://www.ejustice.just.fgov.be/eli/loi/1980/12/15/1980121550/justel#LNK0006)and http://www.adde.be/ressources/fiches-pratiques/sejour/statut-de-resident-longue-duree</t>
  </si>
  <si>
    <t xml:space="preserve">Foreigners with a permanent residence permit have equal access with Belgian nationals to the Belgian social security </t>
  </si>
  <si>
    <t>Since 2021, the new permanent residence permit (Carte L) replaced the Carte D and is valid for 10 years (see https://www.droitsquotidiens.be/fr/question/carte-l-ancienne-carte-d-pour-quel-sejour). The old model (Carte D) has a validity of 5 years (and remains valid after the change in 2011, until the end of the respective validity), but the status has an unlimited duration (see Law of 15 décembre 1980)</t>
  </si>
  <si>
    <t>Since 2021, the permanent residence permit in the form of the new Carte L is valid for 10 years (renewed by the administration, https://www.droitsquotidiens.be/fr/question/carte-l-ancienne-carte-d-pour-quel-sejour), the old Carte D is valid for 5 years (until end of its validity), but the status has an unlimited duration (see Law of 15 December 1980, https://www.ejustice.just.fgov.be/eli/loi/1980/12/15/1980121550/justel#LNK0006)</t>
  </si>
  <si>
    <t>Since 2021, the permanent residence permit in the form of the new Carte L is valid for 10 years (renewed by the administration, https://www.droitsquotidiens.be/fr/question/carte-l-ancienne-carte-d-pour-quel-sejour), the old Carte D is valid for 5 years (until end of its validity), but the status has an unlimited duration (see Law of 15 décembre 1980)</t>
  </si>
  <si>
    <t>5 years of legal residence- see Art 12bis of the Nationality Code of 28 June 1984, https://www.ejustice.just.fgov.be/cgi_loi/change_lg.pl?language=fr&amp;la=F&amp;table_name=loi&amp;cn=1984062835</t>
  </si>
  <si>
    <t>Children born in Belgium and who have had their main residence in Belgium since birth can acquire the Belgian nationality upon declaration before the age of 12 made by parents who themselves must have resided in Belgium during ten years prior to the declaration. Moreover, at least one of the parents must be authorised to reside in Belgium for an unlimited duration at the time of the declaration. See Art 11bis of the Nationality Code of 28 June 1984, https://www.ejustice.just.fgov.be/cgi_loi/change_lg.pl?language=fr&amp;la=F&amp;table_name=loi&amp;cn=1984062835</t>
  </si>
  <si>
    <t>A2 as standard- see Art 1 of the Nationality Code of 28 June 1984, https://www.ejustice.just.fgov.be/cgi_loi/change_lg.pl?language=fr&amp;la=F&amp;table_name=loi&amp;cn=1984062835</t>
  </si>
  <si>
    <t>The social integration can be proved either by either of the following: a) a diploma or certificate of a recognised institution at the level of upper secondary education; b) having followed a professional training of at least 400 hours recognised by a competent authority; c) having the proof of a competent authority that the person has successfully followed an intergration course; d) having worked continously for 5 years as an employee and/or as statutory agent assigned to a public office and/or self-employed (independent worker)- see Art 12bis of the Nationality Code of 28 June 1984, https://www.ejustice.just.fgov.be/cgi_loi/change_lg.pl?language=fr&amp;la=F&amp;table_name=loi&amp;cn=1984062835</t>
  </si>
  <si>
    <t>The economic integration can be proved by either of the following: a) having worked for at least 468 working days during the last 5 years as an employee and/or statutory agent in public office or b) having paid in Belgium, as self-employed, social security contributions during at least 6 trimesters during the past 5 years (see Art 12bis of the Nationality Code of 28 June 1984, https://www.ejustice.just.fgov.be/cgi_loi/change_lg.pl?language=fr&amp;la=F&amp;table_name=loi&amp;cn=1984062835)</t>
  </si>
  <si>
    <t>This is judged based on the so-called "faits personnels graves", which includes convictions, but also other actions, such as belonging to a movement that is considered dangerous for the state security or the impossibility to control the identity or the principal residence (see Art 1 of the Nationality Code of 28 June 1984, https://www.ejustice.just.fgov.be/cgi_loi/change_lg.pl?language=fr&amp;la=F&amp;table_name=loi&amp;cn=1984062835</t>
  </si>
  <si>
    <t>No requirement. See also: https://justice.belgium.be/fr/themes_et_dossiers/personnes_et_familles/nationalite/double_nationalite</t>
  </si>
  <si>
    <t>A2 as standard- see Art 1 of the Nationality Code of 28 June 1984, https://www.ejustice.just.fgov.be/cgi_loi/change_lg.pl?language=fr&amp;la=F&amp;table_name=loi&amp;cn=1984062835. Since 2024, a specific stipulation has been introduced for illiterate persons who must show only proof of oral knowledge corresponding to level A2</t>
  </si>
  <si>
    <t xml:space="preserve">All grounds are covered- see Laws of 10 May 2007- https://etaamb.openjustice.be/fr/loi-du-10-mai-2007_n2007002099.html and https://etaamb.openjustice.be/fr/loi-du-10-mai-2007_n2007002097.html. </t>
  </si>
  <si>
    <t xml:space="preserve">All three grounds- see Laws of 10 May 2007, https://etaamb.openjustice.be/fr/loi-du-10-mai-2007_n2007002097.html and https://etaamb.openjustice.be/fr/loi-du-10-mai-2007_n2007002099.html. 07-05-10 Vocational training is not mentioned in the Federal Law, but it is covered in the regulations of the Belgian regions that extend the Federal Law in this aspect: see the Decree of 6 of November 2008 for Wallonia (Décret relatif à la lutte contre certaines formes de discrimination); the 2008 Decree containing a framework for the Flemish equal opportunities and equal treatment policy (BS22 / 09/2008) for Flanders; the Ordinance of 4 September 2008 for Brussels (Ordonnance relative à la lutte contre la discrimination et à l'égalité de traitement en matière d'emploi). </t>
  </si>
  <si>
    <t>All three grounds- see for instance the Decree of 12 of December 2008 (Décret relatif à la lutte contre certaines formes de discrimination, https://www.gallilex.cfwb.be/document/pdf/33730_000.pdf) which covers all three grounds in the field of education. See also the UNIA information regarding the fight against discrimination in the field of education: https://www.unia.be/fr/domaines-daction/enseignement</t>
  </si>
  <si>
    <t>All three grounds- see Laws of 10 May 2007, https://etaamb.openjustice.be/fr/loi-du-10-mai-2007_n2007002097.html and https://etaamb.openjustice.be/fr/loi-du-10-mai-2007_n2007002099.html. 07-05-10</t>
  </si>
  <si>
    <t>All three grounds in access to public goods and services- see Laws of 10 May 2007, https://etaamb.openjustice.be/fr/loi-du-10-mai-2007_n2007002097.html and https://etaamb.openjustice.be/fr/loi-du-10-mai-2007_n2007002099.html. 07-05-10 Housing is implied, but not explicitly mentioned, in the text of the 2007 Laws. However, housing is specifically mentioned in the regulation of Wallonia which extends the federal law in this aspect- see Decree of 6 of November 2008 (Décret relatif à la lutte contre certaines formes de discrimination, https://wallex.wallonie.be/eli/loi-decret/2008/11/06/2008204573).</t>
  </si>
  <si>
    <t>All of these- see the chapters and articles on protection procedures in Laws of 10 May 2007, https://etaamb.openjustice.be/fr/loi-du-10-mai-2007_n2007002097.html and https://etaamb.openjustice.be/fr/loi-du-10-mai-2007_n2007002099.html. 07-05-10. See also https://www.jeminforme.be/loi-contre-racisme-et-xenophobie/ and UNIA actions here: https://www.unia.be/fr/jurisprudence-alternatives</t>
  </si>
  <si>
    <t>For all the grounds mentioned here, see UNIA (interfederal, independent public service specialising in policy on equal opportunity and non-discrimination): https://www.unia.be/fr</t>
  </si>
  <si>
    <t xml:space="preserve">Three of these- see more detailed explanations regarding all areas of intervention of UNIA here: https://www.unia.be/en/about-unia/what-happens-with-your-report </t>
  </si>
  <si>
    <t>Both of these. See Laws of 10 May 2007 (https://etaamb.openjustice.be/fr/loi-du-10-mai-2007_n2007002099.html and https://etaamb.openjustice.be/fr/loi-du-10-mai-2007_n2007002097.html), the 2019 Royal Decree on positive action (https://etaamb.openjustice.be/fr/arrete-royal-du-11-fevrier-2019_n2019200431.html) and UNIA's explanations regarding positive action (https://www.ediv.be/theme/unia2019/fullarticle.php?custompage=112)</t>
  </si>
  <si>
    <t>The Belgian healthcare system is based on compulsory insurance regulated by Law of 14 July 1994, https://www.ejustice.just.fgov.be/cgi_loi/change_lg.pl?language=fr&amp;la=F&amp;cn=1994071438&amp;table_name=loi. This health insurance reimburses all or part of the medical
costs for those with legal residence in Belgium, including third-country nationals. Residents with unsufficient financial means can ask the CPAS to intervene financially (see here the situations and conditions for CPAS's intervention for medical assistance: https://www.droitsquotidiens.be/fr/question/le-cpas-peut-il-maider-pour-payer-mes-frais-de-soins-de-sante). Asylum seekers can also access healthcare and medical assistance under the INAMI nomenclature: https://www.droitsquotidiens.be/fr/question/quels-soins-de-sante-sont-pris-en-charge-si-je-suis-demandeur-de-protection-internationale. Foreigners without legal residence in Belgium are also entitled to medical care and a specific system of urgent medical aid (aide médicale urgente, AMU) has been developed for them: https://www.droitsquotidiens.be/fr/question/je-suis-en-sejour-illegal-qui-peut-maider-payer-mes-soins-de-sante Apart from this special scheme, there are also other types of support for access to healthcare of foreigners in an irregular situation, as detailed here: https://www.droitsquotidiens.be/fr/question/je-suis-en-sejour-illegal-qui-peut-maider-payer-mes-soins-de-sante</t>
  </si>
  <si>
    <t>Neither. The conditions of access to healthcare in Belgium depend on the legal status of the individuals and their insurance situation. See https://www.droitsquotidiens.be/fr/question/je-suis-etranger-ai-je-droit-au-remboursement-des-soins-de-sante and and https://www.droitsquotidiens.be/fr/categories/etrangers/etrangers-et-soins-de-sante</t>
  </si>
  <si>
    <t>Asylum seekers are entitled to a material aid including the payment of certain healthcare costs and medical, social and psychological support. The procedures for accessing health services depend on whether the individual is assigned by Fedasil to live in a community or individual reception structure/facility or if they  live elsewhere: https://www.droitsquotidiens.be/fr/question/quels-soins-de-sante-sont-pris-en-charge-si-je-suis-demandeur-de-protection-internationale. For more information, see also the Law of 12 of January 2007 on reception of asylum seekers (https://www.ejustice.just.fgov.be/cgi_loi/change_lg.pl?language=fr&amp;la=F&amp;cn=2007011252&amp;table_name=loi#LNK0017) as well as this report by the Belgian Healthcare Knowledge Centre: https://www.kce.fgov.be/fr/publications/tous-les-rapports/demandeurs-dasile-options-pour-un-acces-plus-equitable-aux-soins-de-sante-une-consultation-des</t>
  </si>
  <si>
    <t>The Law of 12 of January 2007 on reception of asylum seekers establishes the conditions for their access to healthcare in Belgium: https://www.ejustice.just.fgov.be/cgi_loi/change_lg.pl?language=fr&amp;la=F&amp;cn=2007011252&amp;table_name=loi#LNK0017 However, the procedures for their access to medical services (and the administratives obstacles emerging from these differentiated procedures) depend on whether the person is assigned by Fedasil to live in a community or individual reception structure/facility or if they live elsewhere: https://www.droitsquotidiens.be/fr/question/quels-soins-de-sante-sont-pris-en-charge-si-je-suis-demandeur-de-protection-internationale. For more information on practical and administrative obstacles faced by asylum seekers in access to healthcare depending on where they live, see also this report by the Belgian Healthcare Knowledge Centre: https://www.kce.fgov.be/fr/publications/tous-les-rapports/demandeurs-dasile-options-pour-un-acces-plus-equitable-aux-soins-de-sante-une-consultation-des. Those who have not yet filed their application for international protection can still receive healthcare in Belgium under the urgent medical aid scheme (aide médicale urgente, AMU) for foreigners without legal residence (see here: https://www.droitsquotidiens.be/fr/question/je-suis-en-sejour-illegal-qui-peut-maider-payer-mes-soins-de-sante) or other types of support for access to healthcare for foreigners in an irregular situation (see here: https://www.droitsquotidiens.be/fr/question/je-suis-en-sejour-illegal-qui-peut-maider-payer-mes-soins-de-sante)</t>
  </si>
  <si>
    <t xml:space="preserve">Foreigners without legal residence in Belgium are entitled to medical care and a specific system of urgent medical aid (aide médicale urgente, AMU) has been developed for them: https://www.droitsquotidiens.be/fr/question/je-suis-en-sejour-illegal-qui-peut-maider-payer-mes-soins-de-sante and here https://medimmigrant.be/fr/publications/fiches-multilingues-a-destination-des-migrants#deplier1. However, under this AMU system, the person must meet certain conditions (the medical care must be considered necessary based on a medical certificate, absence of sufficient financial means, showing documents to explain to CPAS the irregular stay in Belgium). Moreover, certain types of medical care/treatments are not always covered by this system of emergency medical assistance. There is a case-by-case assessment, as there is no exhaustive list of treatments excluded/included under AMU. </t>
  </si>
  <si>
    <t xml:space="preserve">Both. Foreigners without legal residence in Belgium are entitled to medical care and a specific system of urgent medical aid (aide médicale urgente, AMU) has been developed for them: https://www.droitsquotidiens.be/fr/question/je-suis-en-sejour-illegal-qui-peut-maider-payer-mes-soins-de-sante nd here https://medimmigrant.be/fr/publications/fiches-multilingues-a-destination-des-migrants#deplier1. However, under this AMU system, the person must meet certain conditions: the medical care must be considered necessary (based on a medical certificate), absence of sufficient financial means, showing documents to CPAS of the municipality where they usually stay (and where the aplication must be submitted) explaining the situation of the irregular stay in Belgium (e.g. expired visas, stay permits that are no longer valid, orders to leave the territory). In the case of homeless persons, it is the CPAS of the municipality where individuals spend most of the time that has the responsability for handling the request, although that CPAS can also declares itself ‘non-competent’ and refuse to handle the person's request. Once a request for AMU is received, the CPAS proposes an appointment with a social worker who normally makes a home visit, however for medical aid, this is not compulsory. Once the social worker finalizes the social enquiry, their report is submitted to CPAS, which is in charge of taking a decision on entitlement to AMU. Moreover, a physician decides whether the care is subject to the urgent medical aid AMU. However, certain types of medical care/treatments are not always covered by this AMU system and there is a case-by-case assessment, as there is no exhaustive list of treatments excluded/included under AMU. </t>
  </si>
  <si>
    <t>All three groups. Information is provided by different NGOs (e.g. Droits Quotidiens ASBL, Medinmigrant, etc.) and public institutions (e.g. Fedasil)</t>
  </si>
  <si>
    <t xml:space="preserve">All three groups, via the mainstream health care system, health services and institutions, NGOs, etc.  </t>
  </si>
  <si>
    <t xml:space="preserve">The Law of 22 September 2002 on patients’ rights (https://www.ejustice.just.fgov.be/cgi_loi/change_lg.pl?language=fr&amp;la=F&amp;table_name=loi&amp;cn=2002082245) stipulates that patients have the right to receive quality services responding to their needs, including receiving all necessary information from professionals to understand their health condition and that the communication with the patient must be done in a clear language. However, public service and community interpreters collaborate with hospitals only on a discretionary basis, as there is no formal requirement to provide interpreters and it is hence left to the discretion of the healthcare professionals to request/rely on such interpreting services. When interpreters are present, their services are provided free of charge if there are intercultural mediators funded by the State or a public service (e.g. in Fedasil), but if the patient relies on interpreters provided by a non-profit association, they may have to pay (a part of) fees. In all Belgian regions, professionals in different sectors can ask for interpreting services. For instance, in Brussels and Wallonia regions, different types/forms of interpreting services are provided via SETIS, with the aim of facilitating communication between foreigners and professionals- see https://www.setisbxl.be/qui-sommes-nous/nos-objectifs/in the psycho-medical-social and administrative sectors and https://setisw.com/interpretariat-et-traduction/#1611750344826-236eb66a-b6a0. However, the requests for such interpreting services must be done by professionals (from public sectors or associations), as SETIS does not provide such services at the request of individual patients. </t>
  </si>
  <si>
    <t xml:space="preserve">Migrant associations are sometimes involved in the development/dissemination of information, whereas the intercultural mediators involved in service delivery are often from a migrant background, although this is not a condition for their hiring. </t>
  </si>
  <si>
    <t xml:space="preserve">Different public funding bodies have been supporting research projects on these topics based on different calls- such as the ones of the Fonds de la recherche scientifique – FNRS (for the French community), the Fonds Wetenschappelijk Onderzoek FWO (for the Flemish community), BELSPO, the Federal Expertise Center for Health Care, etc. </t>
  </si>
  <si>
    <t xml:space="preserve">Measures are generally left to individual initiatives, without a systematic attention/commitment to equitable healthcare for migrants or ethnic minorities across all/specific health departments/agencies. </t>
  </si>
  <si>
    <t xml:space="preserve">
A. (proof of poor socioeconomic conditionsds, proof of address. {Proof of address may be a rental contract but this has to be verified by a social assistant.) B: For undocumented migrants, sovereignty of each municipality in organising urgent medical aid for migrants with an illegal status leads to as many procedures as municipalities ( a pilot project is actually under development at the Ministry of Social Integration in order to harmonise and to digitize the procedure of urgent medical aid ). Moreover, there is an important gap between the law and the practice concerning urgent medical aid (see report of Doctors of the World and Dauvrin, 2012 for detailed explanations). 
An social inquiry has to be conducted by the social assistant of the PCSA to assess whether the irregular migrants (or other migrants applying for aid from the PCSA) really live in poor socioeconomic conditions. Social assistants are then the gatekeepers. Being president of the PCSA is a political function at municipal level. Consequently the local politics may influence the number of certificates of urgent medical aid delivered to migrant patients. Traditionally, socialist municipalities are more “generous” than liberals ones, reinforcing the social fragmentation between “indigents” (including migrants) and “riches”. 
There is a lack of coherence between the timeline of PCSA and the medical conditions of the patients (PCAS council is held once a month, health professionals get paid three months after the provision of health care).Respect of patients’ rights may not be guaranteed   when you are in vulnerable situations: migrants benefiting from aid delivered by the State cannot choose their health professionals, are poorly informed about their rights, procedures for informed consent may not be respected and are subject to limitations in the available therapeutic options. Moreover, on the health professionals’ side, the therapeutic freedom of health professionals is jeopardised by the PCSA as the PCSA decides whether or not a therapeutic option made by the health professional is justified. 
There are also complicated procedures demanding high levels of language proficiency and know-how. This is particularly the case for irregular migrants as they need to make an application for urgent medical aid at the municipality. Migrants need to understand the political organisation of Belgium at local level.
Most of the civil servants speak only national languages (sometimes only French or only Dutch). 
Although all health services are entitled to provide health care, ”private” hospitals may or sometimes refuse to provide care for migrants in poor socioeconomic conditions or irregular migrants and transfer them to public hospitals. However, no data are available to support this fact although it has been reported by health professionals and patients (see EUGATE raw data for Belgium). 
</t>
  </si>
  <si>
    <t>Labour Migration and Labour Mobility Act - amedment from June 2021. Holders of work temporary work permit can now change their employer, but only once.</t>
  </si>
  <si>
    <t>Labour Migration and Labour Mobility Act, art. 49 (4), amendment March 2021 - Family benefits and unemployment benefits are not available for work permits with time limit less than 6 months (previously it was 9 months).</t>
  </si>
  <si>
    <t>A 13.5 million targeted employment project Solidarity offered incentives for hiring of Ukrainian refugees and has been in force from 2022 to July 2023. The small national program for employment and training of refugees is still in force - its 2023 budget is less than EUR 0.1 million.</t>
  </si>
  <si>
    <t>0 - bb28a=0 &amp; bb28b=0 
17 - bb28a=50 &amp; bb28b=0
33 - bb28a=0 &amp; bb28b=50
50 - bb28a=50 &amp; bb28b=50
67 - bb28a=0 &amp; bb28b=100
83 - bb28a=50 &amp; bb28b=100
100 - bb28a=100</t>
  </si>
  <si>
    <t>0 - bb29a=0 &amp; bb29b=0 &amp; bb29c=0
10 - bb29a=0 &amp; bb29b=50 &amp; bb29c=0
20 - bb29a=0 &amp; bb29b=100 &amp; bb29c=0
30 - bb29a=0 &amp; bb29b=0 &amp; bb29c=50
40 - bb29a=0 &amp; bb29b=50 &amp; bb29c=50
50 - bb29a=0 &amp; bb29b=100 &amp; bb29c=50
60 - bb29a=0 &amp; bb29b=0 &amp; bb29c=100
70 - bb29a=0 &amp; bb29b=50 &amp; bb29c=100                                                                                                                                                                                      80 - bb29a=0 &amp; bb29b=100 &amp; bb29c=100
90 - bb29a=50
100 - bb29a=100
80 - bb29a=0 &amp; bb29b=100 &amp; bb29c=100
90 - bb29a=50
100 - bb29a=100</t>
  </si>
  <si>
    <t>to be filled by MPG</t>
  </si>
  <si>
    <t>The Regulations for Application of the Foreigners in the Republic of Bulgaria Act, art. 12 (amended 2017) require sponsor to provide evidence of stable, regular, predictable and sufficient means of support for family members, without resorting to the social security system, in an amount not less than the minimum monthly salary or the minimum pension for the country, for the period of residence on the territory of the Republic of Bulgaria.</t>
  </si>
  <si>
    <t>Item 20 in paragraph 1 of the Additional provisions of the Law on Foreigners in the Republic of Bulgaria that defines the documents needed - namely, document for ownership or other documents proving ownership or right of use, or declaration by the owner. A 2023 amendment allows the declaration to be signed electronically.</t>
  </si>
  <si>
    <t>0 - cd64=0
33 - cd64=50 &amp; cc59=0
67 - cd64=100 &amp; cc59=0
100 - cc59=50 or 100 &amp; cd64=50 or 100</t>
  </si>
  <si>
    <t>TO BE FILLED BY MPG</t>
  </si>
  <si>
    <t xml:space="preserve">Law on pre-school and school education: Education is compulsory from age 4 to 16 and is free for children and students in state and municipal kindergartens and schools. (art. 8-9). Above compulsory age education is also free for specific groups, including citizens of third countries: (a) holding a long-term or permanent residence permit and members of their families; (b) entitled to continuous residence in the country, and members of their families; ... (f) seeking or granted international protection in the country. Otherwise, education is paid for third countries nationals. HOWEVER, this does not include undocumented migrants as they do not have a personal number. UNIVERSITY education - the Ordinance on the State Requirements for Admission of Students in Higher Education Institutions of the Republic of Bulgaria allows foreigners to be admitted under the same conditions as Bulgarian citizens only if they are permanent residents, refugees or citizens of EU member states. Otherwise, foreigners can be admitted in universities, but need to pay much higher fees. Undocumented migrants cannot access university education.
</t>
  </si>
  <si>
    <t>In 2022 the government published information on the educational system in Ukrainian language. https://web.mon.bg/bg/100681</t>
  </si>
  <si>
    <t>5 years for long-term residence permit (art. 24g Law on Foreigners in the Republic of Bulgaria). 5 years for permanent residence permit (art. 25 (1), para 5)</t>
  </si>
  <si>
    <t>No langauage requirement</t>
  </si>
  <si>
    <t>Under Art.34 of the Regulations for Application of the Law on Foreigners in the Republic of Bulgaria, permanent residence permit applicants are required to submit evidence of stable, regular, predictable and sufficient means of subsistence, without recourse to the social assistance system, in an amount not less than the minimum monthly wage or the minimum pension for the country.</t>
  </si>
  <si>
    <t>Indefinite - for permanent residence permit (art. 23 Law on Foreigners in the Republic of Bulgaria).
5 years - for long-term residence permit</t>
  </si>
  <si>
    <t>Permanent residence permit does not need renewal; long-term residence permit is renewed upon application - art. 23  Law on Foreigners in the Republic of Bulgaria</t>
  </si>
  <si>
    <t>Law on Foreigners in the Republic of Bulgaria art. 24g (8) for long-term residence permit - The periods of absence from the territory of the Republic of Bulgaria do not interrupt the period specified in (1), and are taken into account in its calculation when they are less than 6 consecutive months and do not exceed a total of 10 months for the 5-year period. art 40 - the long-term or permanent residence permit is revoked when the foreigner has been absent from the territory of the EU for a period of 12 consecutive months, with some exceptions such as state of emergency.</t>
  </si>
  <si>
    <t>Labour Migration and Labour Mobility Act, Art. 49 TCNs have equal rights and obligations with regard to social security if they hold permanent or long-term residence permit. Similar provisions in the Law on Social Assistance and the Health Insurance Act</t>
  </si>
  <si>
    <t>Bulgarian Citizenship Act, Art.12 - Requires no less than 5 years of permanent or long-term residence. Permanent or long-term residence themselves require at least 5 years of stay. Therefore, more than 10 years. But, for refugees only 3 years are required.</t>
  </si>
  <si>
    <t>Art.13, it.3 of the Bulgarian Citizenship Act provides for acquisition of Bulgarian citizenship if an adult person was born in Bulgaria and has been granted permanent or long-term residence permit no less than 3 years ago. Children get Bulgarian citizenship if their parents get Bulgarian citizenship (art. 17). Children born in Bulgaria are Bulgarian citizens if otherwise they would be stateless.</t>
  </si>
  <si>
    <t>The person is required to have an income and occupation enabling him/her to support himself/herself in the Republic of Bulgaria (Art.12, it.4 of Bulgarian Citizenship Act)</t>
  </si>
  <si>
    <t>The foreign person should not have been sentenced by a Bulgarian court for a premeditated crime of a general nature and is not a subject of criminal proceedings for such a crime unless the person has been rehabilitated (Art.12, it.3 of the Bulgarian Citizenship Act).</t>
  </si>
  <si>
    <t>PREVIOUS EVALUATION NEEDS TO BE CHANGED TO 0.</t>
  </si>
  <si>
    <t xml:space="preserve">The Constitution of Bulgaria 
Art. 6. (1) All persons are born free and equal in dignity and rights.
(2) All citizens shall be equal before the law. There shall be no privileges or restriction of rights on the grounds of race, nationality, ethnic self-identity, sex, origin, religion, education, opinion, political affiliation, personal or social status or property status.
Protection Against Discrimination Act
Article 4 (1) Any direct or indirect discrimination on the grounds of sex, race, nationality, ethnic origin, citizenship, origin, religion or belief, education, opinions, political belonging, personal or public status, disability, age, sexual orientation, marital status, property status, or on any other grounds, established by the law, or by international treaties to which the Republic of Bulgaria is a party, is forbidden. </t>
  </si>
  <si>
    <t>Labour Code, art. 8 (3) 
In exercising labour rights and duties, no direct or indirect discrimination shall be allowed on grounds of nationality, origin, sex, sexual orientation, race, skin colour, age, political and religious convictions, affiliation to trade union and other public organisations and movements, family and material status, presence of mental or physical disabilities, as well as differences in the term of the contract and the duration of the working time.</t>
  </si>
  <si>
    <t>Protection Against Discrimination Act prohibits discrimination in access to and supply of goods and services - art. 37</t>
  </si>
  <si>
    <t>No legal changes. Health insurance is mandatory for all persons who seek or have been granted refugee status or humanitarian status or a right of asylum in Bulgaria. The government pays the health contributions for these persons during the procedure for granting of refugee status, humanitarian status or a right of asylum. Every asylum seeker is entitlеd to health insurance from the day the asylum procedure started.  (Law on health insurance, art. 33, art. 34, art. 40). The Law on Asylum and Refugees stipulates that asulum seekers have the same rights of health insurance as Bulgarian citizens (art. 29 (1) 5). Inclusion is unconditional by law. Comments in 2014 was the reason for giving a 50, so that didn't change.</t>
  </si>
  <si>
    <t>Persons granted temporary protection are now included in the health insurance system; the government pays their health insurance contributions. Law on health insurance, art. 33, art. 34, art. 40</t>
  </si>
  <si>
    <t>Holders of EU blue cards are now included in the health insurance system. Law on health insurance, art. 33, art. 34, art. 40</t>
  </si>
  <si>
    <t xml:space="preserve">EXPERT ANSWER : Asylum seekers have the same rights of health insurance as Bulgarian citizens. Every asylum seeker is entitled to health insurance from the day the asylum procedure started. Based on information provided by the State Agency for Refugees (SAR) monthly contributions are paid by the National Revenues Agency (NRA). When contributions are paid, the asylum seeker is automatically registered in the electronic system of the National Health Insurance Fund. Registration is the same for Bulgarian citizens, no difference for asylum seekers, no conditions. </t>
  </si>
  <si>
    <r>
      <t>Long term residents: Cap.105 Aliens and Immigration Law Article 18 ΙΖ (1) [2007, 2013, 2014, 2015, 2016, 2016 2017, 2019, 2020, 2021, 2022]  states that 3</t>
    </r>
    <r>
      <rPr>
        <vertAlign val="superscript"/>
        <sz val="11"/>
        <rFont val="Calibri"/>
        <family val="2"/>
        <scheme val="minor"/>
      </rPr>
      <t>rd</t>
    </r>
    <r>
      <rPr>
        <sz val="11"/>
        <rFont val="Calibri"/>
        <family val="2"/>
        <scheme val="minor"/>
      </rPr>
      <t xml:space="preserve"> country nationals with long term permit have the same access to the labor market and self-employment included the terms applied for remuneration and dismissal as natives, with the exception of public authority positions [http://www.cylaw.org/nomoi/enop/ind/0_105/section-scb1da8115-1453-5f8a-56fa-cc246683f009.html]. 
Temporary Permit: Cap.105 
Aliens and Immigration Law Article 18 ΣΕ, ΣΣΤ, ΣΖ, ΣΥ, ΣΘ (2012)  permits the entrance of 3rd country nationals for high specialization work in the country, but states that high specialization labor  from 3rd countries is forbiddenin except if it is authorized by the council of ministries under article 18ΣΣΤ (1). 
Family Reunion: Cap.105 Aliens and Immigration Law Article 18KA (5) [2007], ΤΘ [2012] concerning family reunion members  with a sponsor on a long term resident permit (including sponsors with refugee status or resident who have long term permit to other EU country and temporary working “blue card” work permits), the members of the family have all the rights to enter labor and self-employment as defined in article 18ΛΔ. The law (18ΛΔ -3) notes though that their access to the labour market is 'limited for a period of twelve months to explore the Republic's labour market, after which they are allowed access to employment or self-employment following the submission of a relevant application. </t>
    </r>
  </si>
  <si>
    <t>The Public Service Law (1/1990) states that only citizens of the Repulic can be appointed in a position in the public sector. Citizens of EU member states can be appointed for positions that do not involve exercising public authority and/or are affecting the interests of the state</t>
  </si>
  <si>
    <t>Foreign Residents who wish to work as self-employed persons, need to apply for an immigration permit at the Civil Registry and Migration Department. The Department will verify the following: 
- that the envisaged business does not have a negative effect on the economy;
- the type of activities or business intended;
- the general conditions on the labour market;
- the creation of new positions; and
 - the level of imported currency.
Applicants must fall into one of the categories below and show sufficient financial resources, in accordance with the category they belong: 
 - Category A:  they intend to be self-employed in the agricultural or livestock-farming sector. They must show an unencumbered capital of € 427 000.
- Category B: they intend to be self-employed in the mining business. They must show an unencumbered capital of € 342 000.
- Category C: they intend to conduct a business as a self-employed person. They must show an unencumbered capital of € 256 000 in the business sector.
- Category D: they intend to be self-employed by conducting a profession or science. They will need to have adequate funds. There must be a demand for additional members of the particular profession or science.</t>
  </si>
  <si>
    <t>TCNs that legally reside the Republic of Cyprus have the right to register in the Public Employment Service records to receive support from the Employment Service. This permission refers to  permanent residents (category A) and residents on Family Reunification (category C). Please note that the latter, can access employment but only for 12 months, after which they need to apply for a permission.People of category b need to have a contract to be issued a work permit.     50 is justified based on EU Directive on family reunification.</t>
  </si>
  <si>
    <t xml:space="preserve">Long term residents: Cap.105 Aliens and Immigration Law Article 18 ΙΖ(β) states that long term residents have equal rights in the education and professional training, includeing scholarships for studuying (provisional on language capacity and educational pre-requisites by the educational institutes). Humarn Resource Development Agency does not require a particular status for individuals to access its vocational training.
Family Reunion: Cap.105 Aliens and Immigration Law Article 18KA (5) [2007], ΤΘ [2012] states that members of family reunion with sponsor holding long term resident permit,  temporary working “blue card” work permit, refugee status and resident who has long term permit to other EU country have all the rights to education as citizens as defined in article 18ΛΔ.Humarn Resource Development Agency does not require for particular status on its vocational training. 
Temporary Work Permit: Cap.105 Aliens and Immigration Law Article 18 ΤΕ (γ)(2012) clearly states equal access for education and professional training, excluding  access in study grants, study fund and other loan provisions for secondary, tertiary and skill training. However, access is not prohibited. Humarn Resource Development Agency does not require for particular status on its vocational training.        
A and B are provided for explicitely in the law. C (TCNs on temporary visa) On the establishment and operation of the Institution of State  Scholarship  Law of 2007; Article 14 (1) state that both Cypriot and TCNs are eligible for study grants but for TCN state funding is restricted to domestic institutions of Higher Education. Long term residents: Cap.105 Aliens and Immigration Law Article 18 ΙΖ (1)(β)[2007,2013,2014] states that long term residents have equal access to study grants as citizens. Residents on family reunion permits:  Cap.105 Aliens and Immigration Law Article 18ΛΔ (1)[2007]states that they have the same rights as sponsor.Residents on temporary work permits:Cap.105 Aliens and Immigration Law Article 18ΤΕ (2)[2012]("blue card") are exluded from study grants 
</t>
  </si>
  <si>
    <t xml:space="preserve">On the recognition of Professional Qualifications law of 2008 (31(I)/2008, Article 3 states that 3rd country nationals have the same rights as EU citizents for the recognition of certificates, degrees or technical skills.       The Recognition of Qualifications concerning Higher Education and Provision of Relevant Information Law of 1996 assignes KYSATS (Cyprus Council for the Recognition of Study Qualifications) with the authority to recognise equivalent degrees from 3rd countries as well as European with memorandum of understandings or by using as baselines the Cypriot State Universities on individualised course to courses base. </t>
  </si>
  <si>
    <t xml:space="preserve">B - No targeted for government-run TCN training found. However they can access vocational training from the Human Resource Development Authority  that is available to everyone including migrants with legal permits and/or work permit / Aliens and Immigration as well as the Evening Community Courses under Ministry of Education also provide untargeted vocational skills.  Law Cap.105 and amendments Blue card law creates incentives to mainstream procedures for allowing high skilled 3rd Country Nationals to work in Cyprus. </t>
  </si>
  <si>
    <t xml:space="preserve">No targeted for TCN training found Howerver, Human Resource Development Authority  provides vocational traininng for everybody including migrants with legal permits and/or work permit / Aliens and Immigration plus Evening Community Courses under Ministry of Education also provide untargeted vocational skills.  Law Cap.105 and amendments Blue card law creates incentives to mainstream procedures for allowing high skilled 3rd Country Nationals to work in Cyprus. Additionally, CSOs and EU funded project offer such services and programmes in support of and to empower migrant youth and women  </t>
  </si>
  <si>
    <t xml:space="preserve">TCNs with temporary work permit don't have unemployment benefits, nor do, according to law 95 (I)/2006, are not entitled to public allowances. Only nationals, EU citizens, long term residents, asylum seekers and victims of trafficking have access to social security. . </t>
  </si>
  <si>
    <t>In addition to the above categories, With its Decision of October 15, 2021, the Council of Ministers approved the introduction of the Digital Nomad Visa Scheme in Cyprus, with a ceiling of 100 residence permits to be issued.                                              The "Cyprus Digital Nomad Visa" Scheme allows nationals from non-EU and non-EEA countries, who can perform their work location-independently using telecommunications technology, to reside temporarily in Cyprus and work for an employer registered abroad or perform work through telecommunications technology for companies or clients located abroad.</t>
  </si>
  <si>
    <t xml:space="preserve">According to the 
[Law 121 (I) / 2003] - The Second General System for the Recognition of Qualifications Law [http://www.mlsi.gov.cy/mlsi/dl/dl.nsf/All/9A8AA17467B2E65EC22581CB0041B589?OpenDocument], 
The General System for the Recognition of Professional Qualifications Law 179 (I) 2002 and the General System for the Recognition of Professional Qualifications Law-modifying [http://www.mlsi.gov.cy/mlsi/dl/dl.nsf/All/62FD7BFF2154AE26C22581CB0041B586?OpenDocument], 
The third system on the Recognition of Qualifications Law of 2004 [http://www.mlsi.gov.cy/mlsi/dl/dl.nsf/All/9B09F079742E289CC22581CB0041B596?OpenDocument],  the recognition of Professional Qualifications law of 2008 (31(I)/2008 [http://www.mlsi.gov.cy/mlsi/dl/dl.nsf/All/24006D89A07D6AE7C22581CB0041B59B?OpenDocument] define equal treatment and procedure among native and foreign citizens for the recognition of of certificates, degrees or technical skills.  Article 3 of the aforementioned law clearly states equal rights and similar among native, EU and foreign citizents.                                       The Recognition of Qualifications concerning Higher Education and Provision of Relevant Information Law of 1996 affords KYSATS (Cyprus Council for the Recognition of Study Qualifications) with the authority to recognise equivalent degrees from 3rd countries as well as European with memorandum of understandings or by using as baselines the Cypriot State Universities on individualised course to courses base. </t>
  </si>
  <si>
    <t>With its Decision of October 15, 2021, the Council of Ministers approved the introduction of the Digital Nomad Visa Scheme in Cyprus, with a ceiling of 100 residence permits to be issued. On March 3 2022, the Council of Ministers increased the ceiling to 500 residence permits.</t>
  </si>
  <si>
    <t xml:space="preserve">Cap.105 Aliens and Immigration Law, Art. 18ΛΒ, Third-country nationals who reside legally within the controlled areas by the Government of the Republic for a period of at least 2 years. </t>
  </si>
  <si>
    <t xml:space="preserve">The Cap. 105 Aliens and Igration Law, Art 18Λ notes that only the following family members are eligible to reside in cyprus under the family reunification clauses: 
- the spouse of the legal resident, provided that the marriage took place at least a year prior to their application 
- minors (under 18) of the legal resident and their spouse (including adopted minors). If they are of the ages 15-18, they should not be residing independently. The minors should not also be married </t>
  </si>
  <si>
    <t>A basic certification of English knowledge is requested, but there is no reference in the law to a specific knowledge level. Given that there is no set certification required, any  certificate and/or proof that english lessons were given to the applicant is considered as valid.</t>
  </si>
  <si>
    <t>The relevant law and/or any other administrative procedure do not request preparatory actions for social intergraton of the family</t>
  </si>
  <si>
    <t>A basic certification of English knowledge is requested, but there is no reference to a specific knowledge level. As long as there is not yet been described the level of english language level someone needs to acquire, any  certificate and/or proof that english lessons were given is considered as valid.</t>
  </si>
  <si>
    <t>the relevant Cap.105 Aliens and Immigration Law does not mention the necessity of attending greek or English language course exam, however it is strongly suggested informally</t>
  </si>
  <si>
    <t xml:space="preserve">the relevant Cap.105 Aliens and Immigration Law does not mention the necessity of attending any civic education course, however it is strongly suggested. </t>
  </si>
  <si>
    <t>The relevant Cap.105 Aliens and Immigration Law, article 19ΛΒ(δ) specifies that the leader of the family needs to have steady and sufficient resources for all the dependent members of the family, as to not become a financial burden for the State at nay period they will reside in Cyprus. Note: the law does not specify the level of these resources</t>
  </si>
  <si>
    <t>Cap.105 Aliens and Immigration Law, Article 18ΛΒ (β) requires that the applicant for family reunification has a residence that is in acceptable condition for any other family and serves the general hygenic and safety rules and  ensures decent living. http://www.cylaw.org/nomoi/enop/ind/0_105/section-sc8ed877fa-5a55-7920-7aa1-5f2c25df88be.html</t>
  </si>
  <si>
    <t xml:space="preserve"> 1 year and renewable, not overtaking the duration of the sponsor, besides exceptions (18ΛΓ(2)) </t>
  </si>
  <si>
    <t xml:space="preserve">All conditions apply (a-d). cap.105 Aliens and Immigratian Law,  Article 18ΛΣΤ, 18ΛΒ,18ΛΓ, 18ΛΖ states the grounds for the rejections withdrawing and refusing to renew status..  18ΛΒ the sponsor has been discovered that he doesn't met the criteria of 2 year residence in the republic, hasn't met the residence conditions  that need to meet health and safety and decent living. Has lost  health insurance. Can no longer support the family through stable and recurring funds and he/she is therefore depended on the welfare of the republic (the director must take into consideration the family contributions as well). 18ΛΓ the sponsor's residence permit has expired. 18ΛΣΤ the family of the sponsor does not live together, the sponsor has marriage or long term relationship with another person. if its detected that the relationship has been established in faux pretences or papers. 18ΛΖ the director of Civil Registry and Migration Department can reject, withdraw or refuse to renew status when there are public policy or national securiy reasons. </t>
  </si>
  <si>
    <t xml:space="preserve">Specific conditions are mentioned on Cap.105 Aliens and Immigration Law, Article 18ΛΣΤ, 18ΛΓ, 18ΛΖ; the director  takes under consideration the seriousness  of the offence from the member of the family. Refusal of permit cannnot be accepted on the sole reason of sickness and disability that occured after the issuance of the permit. The director has to take under consideration the character, stability of family bonds, residence period, the existence of family, cultural, social bonds with the country of origin.  </t>
  </si>
  <si>
    <t>Cap.105 Aliens and Immigration Law, Article 18ΛE, clearly denotes that the spouse and their children that have become adults, can live independently after they complete 5 years of residence in the republic. Specific criteria for spouse, adult children, divorce case and/or death of the sponsor are noted for exception as well as cases such as domestic violence and/or trafficking.</t>
  </si>
  <si>
    <t>Digital Nomads: Family members
Digital Nomad’s family members can reside in Cyprus for the same period as the Digital Nomad, without the right to be employed of perform any economic activity in Cyprus.
Family members include the spouse/ partner in a civil union and underaged children.
Family members also need to obtain a temporary residence permit following the procedure below.</t>
  </si>
  <si>
    <t>It is asked for people who will apply for Naturalisation to present an effort to learn Greek; they have to attend to classes organised by educational bodies to obtain certificates (A1-C2) of language knkowledge</t>
  </si>
  <si>
    <t>The Refugee Law of Cyprus, 2000 9with all amendments as for 2022), Section 9H- provides for the access of asylum-seeking children to the public elementary and secondary education system under the same conditions as nationals. The Refugee Law further provides that their school enrolment should not be delayed for more than three months from the date on which the application for asylum was lodged (Refugee Law, section 9H, transposes Article 14 of the recast Directive 2013/33/EU of 26 June 2013 on laying down standards for the reception of applicants for international protection).                                                           Cap.105 Aliens and Immigratian Law,  Article 18IZ, 18ΛΔ,18ΠΗ, 18ΤΕ, 18ΦΓ, 18ΨΗ states the different categories of migrants who can all have same access to education to natives, regardless of their residence status. Access to public universirties are allowed following national written exams in greek (similar criteria apply to natives). Keep 33, even though they are entitled to the access, there is no specific obligation. Obligation only for asylum seekers.</t>
  </si>
  <si>
    <t xml:space="preserve">there not any targeted courses or measures in support of migrant students to access higher education. </t>
  </si>
  <si>
    <t xml:space="preserve">Α. The Ministry of Education prepared  a general guide which has been translated into a number of different languages and explains the rights and obligations for the education of migrant children as well as it discusses about adult education opportunities. Still, the information provided about the education system is distributed in written format. The material is available through MOEC's website, the school website. B. TCN students have access to consultation and career advise services through their schools (same as the native students). C. such services are offered by a number of bodies and organisations, i.e.some  schools, municipalities, governmental services, though relevant EU funded projects by NGOs, etc. </t>
  </si>
  <si>
    <t xml:space="preserve">The Republic of Cyprus provides continuous and ongoing educational support in the language of instruction for migrant pupils. Placed in the mainstream classroom, migrant children do attend individual or in small groups classes for support in the language of the hosting country, ensuring that they receive the necessary language support to participate fully in classroom activities, interact with teachers and peers, and access educational resources effectively. The Ministry of Education, Youth and Sport offers education support lessons to migrant studetns adoptin different models: offering fast-track greek lessons to students, offering supportive lessons to schools that take part in the DRASE programme and afternoon lessons to students  </t>
  </si>
  <si>
    <t>The language support programmes offered to migrant pupils intend to support them harness the language skills to achieve both communicative literacy and be in a position to effectively follow the workings of their lessons i.e. study, reseaech, communicate in the school academic setting)</t>
  </si>
  <si>
    <t>Nothing on language instruction standards but only on language support. Primary Education: Uses a flexible intervention system within the regular school timetable. Students are fully integrated into mainstream lessons but receive extra Greek language support based on their proficiency level, usually for up to two years. However, limited support hours (around 2 hours per week) pose challenges. 
Secondary Education: Offers a more structured language support system, including 14 periods of intensive Greek lessons per week and 5 additional periods focused on mathematics and science terminology.
Pre-primary Education: There is limited information, but free pre-primary education is available for children aged 4 years and 8 months to 6 years. The Ministry of Education’s Multicultural Policy includes pre-primary education, and future improvements may involve a unified curriculum and teacher training for language acquisition support.</t>
  </si>
  <si>
    <t xml:space="preserve">The Ministry of Education, Sport and Youth has developed and runs a wide array of programmes and support mechanisms to aid migrant students. The most prominent one is DRASE which involves afternoon lessons and supportive teaching to students and parents as well as offering greek language lessons. </t>
  </si>
  <si>
    <t>B: Integrated throughout the curriculum</t>
  </si>
  <si>
    <t>Though they are covered by training on offer to pre-service and in-service teachers, these topics are not set as a mandatory requirements.</t>
  </si>
  <si>
    <t xml:space="preserve">A book series was published by the Ministry of Education in collaboration with the Pedagogical Institute and Universities in Cyprus and Greece (Frederick and DUTH) which was warmly welcomed by authorities and teachers and it has been applied in schools since then. </t>
  </si>
  <si>
    <t>the law does not specify any restrictions to the participation into the any political parties</t>
  </si>
  <si>
    <t>Government agencies disseminate information through targetted campaigns, brochures and websites at a general basis</t>
  </si>
  <si>
    <t>There is not any structured scheme to support such funding. However, funding may be given to specified activities and events of migrant associations by government agencies and institutions</t>
  </si>
  <si>
    <t>Only ad hoc consultations may take place for specific issues. An effort is made to setup multicultural bodies at local level in a form of advisory body for the munnicality members</t>
  </si>
  <si>
    <t>cap. 105,Aliens and Immigration law   Article 18Θ specifies 5 years</t>
  </si>
  <si>
    <t>the relevant Cap.105 Aliens and Immigration Law, article 18Θ (α1) mention the necessity of obtaining greek language level of A2.</t>
  </si>
  <si>
    <t>the relevant Cap.105 Aliens and Immigration Law, article 18Θ (α) mention the necessity to have a steady source of  income to sustain a quality of life and be able to acquire private insurance and/or fulfils any social security requirements as well as any tax obligations similar to native citizens.</t>
  </si>
  <si>
    <t>The relevant Cap.105 Aliens and Immigration Law, article 18ΙΒ notes that applicants are afforded a permit for five years that can be extended after a subsequent application that needs to be submitted 3 months prior to the validity of their permit. See also comparative table on permanent residence (Thomas)</t>
  </si>
  <si>
    <t>The relevant Cap.105 Aliens and Immigration Law, article 18ΙΒ notes that applicants are afforded a permit for five years that can be extended after a subsequent application that needs to be submitted 3 months prior to the validity of their permit</t>
  </si>
  <si>
    <t xml:space="preserve"> According to art. 18IΓ(1) periods of absence  where loss of status is either 12 consecutive months form the EU or 6 consecutive years from the Republic of Cyprus</t>
  </si>
  <si>
    <t>cap.105 Aliens and Immigration Law, article 18ΚΔ, IZ [2007,2013,2014] clearly states no differintation for eligibility on social benefits</t>
  </si>
  <si>
    <t>the relevant Cap.105 Aliens and Immigration Law, article 18Θ (α) mention the necessity to have a steady source of  income to sustain a quality of life and be able to acquire private insurance and/or fulfils any social security requirements as well as any tax obligations similar to native citizens. As long as they will be employed in  a local company, as they contibute to the National Health System, they also have access to free Health Care similar to indigent population</t>
  </si>
  <si>
    <t>Person was resident in Cyprus for a total period of 5 years within a period of 7 years, of which the year immediately prior to the submission of the application must be continuous. By way of exception, certain categories of persons (e.g. domestic workers, students) must have been resident in Cyprus for a total period of 7 years before the submission of the application, of which the last 12 months should be continuous. Source: http://eudo-citizenship.eu/databases/modes-of-acquisition?p=&amp;application=modesAcquisition&amp;search=1&amp;modeby=idmode&amp;idmode=A06</t>
  </si>
  <si>
    <t xml:space="preserve">If the person is not of Cypriot origin or not related to Cyprus before the Independence, he/she follows the normal procedure of naturalization.  Otherwise he/she follows the fast procedure called "registration"  </t>
  </si>
  <si>
    <t xml:space="preserve">Language is not a requirement but since the granting of citizenship is discretionary to the Council of Ministers, it is considered to be  necessary to speak Greek. At the refusal document of the naturalization petitions, it is often mentioned that the applicant has no good/sufficient knowledge of the Greek language. In practice, A2 language knowledge is enough, but the knowledge level is not described within the law. </t>
  </si>
  <si>
    <t>there is no requirement for an individual to undergo an integration course or test</t>
  </si>
  <si>
    <t xml:space="preserve">The Citizenship Law of the Republic of Cyprus 1967 (with all the relevant amendments until 2002) (http://www.cylaw.org/nomoi/enop/non-ind/1967_1_43/full.html) defines that for an applicant to apply for the Naturalisation process a ‘good character’ should be illustrated (article 6(γ). that is interpreted as the submission of a clean Criminal Record in the country of origin as well as in the country of residence. The applicant has also to state clearly any legal cases he/she may have experience and the length of any criminal imprisonment. It is at the discretion of the State to decide to reject the applicant  (and/or revoke the naturalization approval) in case a criminal  imprisonment occurred within the last 5 years with a sentence of not smaller in time period of 12 months (article 8(3)γ).
</t>
  </si>
  <si>
    <t xml:space="preserve"> Civil Registry Law article 111 does not require for the renounciation of foreign nationality. However, it states that while in  the naturalization process(when minister of of interior accepts the naturalization and it has to be ratified by the House of Representatives) , if the applicant renounces her/his nationality, the House of Representative is not allowed to cancel the naturalization. http://www.cylaw.org/nomoi/enop/ind/2002_1_141/section-sc1884ab23-838d-dc25-776c-ec2739536ae9.htmlhttp://www.cylaw.org/nomoi/enop/non-ind/2002_1_141/full.html</t>
  </si>
  <si>
    <t>The 149(I)2023 amendment of the law set B1 as the standard of Greek language knowledge as the a requirement for a person to obtain the Cypriot citizenship</t>
  </si>
  <si>
    <t>The Civil Registry law was ammended in December 2023 adding requirements, under 111B for a person to be granted citizenship. Chapter 111B  states that an applicant for naturalisation needs to have a suitable residence and stable sources of income to cover both their individual and their dependent members of family's needs</t>
  </si>
  <si>
    <t>in the latest amendment of the Civil Registry Law, Chapter 111B, notes that the person should be of good character noting that the applicant should not have been convicted or wanted for a crime that constitutes a sentence of imprisonment of more than 5 years or is facing a case in the republic which entails a prsion sentence of three years or more. Additionally, it notes that an applicant should not have entered the Republic through an illegal point of entry or resided in the Republic illegally</t>
  </si>
  <si>
    <t>The latest amendment of the Civil Registry Law does not make any reference to a requirement to renounce one's  foreign nationality</t>
  </si>
  <si>
    <t xml:space="preserve">The Civil Registry law, in Chapter 111B  states that an applicant for naturalisation needs to have a suitable residence and stable sources of income to cover both their individual and their dependent members of family's needs </t>
  </si>
  <si>
    <t>the Combating of Racism and Other Discrimination (Commissioner) Law, 2004 [https://www.legislationline.org/download/id/7113/file/Cyprus_Law_combating_racism_other_discrimination_2004_am2007_en.pdf] states that the commitioner has obsolute duties to combat and eliminate any actions of direct and indirect discrimination, prohibited by law and, in general, discrimination on grounds of race, community, language, colour, religion, political or other beliefs and national or ethnic origin.</t>
  </si>
  <si>
    <t>the Combating of Racism and Other Discrimination (Commissioner) Law, 2004, article 6.(1) [https://www.legislationline.org/download/id/7113/file/Cyprus_Law_combating_racism_other_discrimination_2004_am2007_en.pdf] states that Discrimination may be discrimination prohibited by law within the meaning of subsection (1), concerning any matter including matters appertaining to- (a) Conditions of access, employment, promotion and selection criteria in employment, self-employment and occupation; (b) access to vocational guidance, vocational training and retraining and obtaining practical work experience; (c) working conditions and terms of employment, dismissals and pay.</t>
  </si>
  <si>
    <t xml:space="preserve">The Combating of Racism and Other Discrimination (Commissioner) Law, 2004, article 2.(f) [https://www.legislationline.org/download/id/7113/file/Cyprus_Law_combating_racism_other_discrimination_2004_am2007_en.pdf] </t>
  </si>
  <si>
    <t xml:space="preserve">The Combating of Racism and Other Discrimination (Commissioner) Law, 2004, article 2.(e)social protection, including social security and healthcare -  [https://www.legislationline.org/download/id/7113/file/Cyprus_Law_combating_racism_other_discrimination_2004_am2007_en.pdf] </t>
  </si>
  <si>
    <t xml:space="preserve">The Combating of Racism and Other Discrimination (Commissioner) Law, 2004, article 2.(g) forbids any form of discrimination in the access to and supply of goods and services including housing -  [https://www.cylaw.org/nomoi/arith/2004_1_042.pdf (pg. 11)] </t>
  </si>
  <si>
    <t>129 - The burden of proof shifts in judicial proceedings but not in proceedings before the equality body, since the latter has the power to carry out its own fact finding investigations.
133 - Both (a and c) organizations which have a mandate via their constitution to represent some category of persons who may be discriminated have locus standi to apply to the supreme court. So an NGO or trade union may challenge a decision which has discriminatory effects
135 - Material damages are explicitly covered 'positive damages', but there is no reference to 'moral damages' or 'injuries to feelings.' As for restitution there is no express reference to restitution thus reference can be made to general civil  law provisions to claim such provisions e.g labor law or employment matters. There is nothing on imposing positive measures., nor is there reference to  'negative measures to repeat future offence (however, the courts tend to be in general more strict in cases of repeat offenders). There are fines for legal entities e.g. companies.</t>
  </si>
  <si>
    <t>Nationality discrimination is part of the equality body's mandate, since the rights enshrined under Protocol 12 are part of its mandate. However, the laws transposing Directive 43/2000 and 78/2000 do not cover nationality (only a and b)and therefore this ground cannot be pursued in Court. The Directives’ exception on difference of treatment based on nationality (article 3(2)) has been incorporated verbatim into the national legislation transposing the Directives. We therefore have a situation where as regards the Equality Body’s mandate nationality is a protected ground, but as regards the scope of the laws transposing the two Directives, the exception as regards nationality applies. In its decisions, the Equality Body has made use of its extended mandate and considered nationality discrimination as prohibited by international laws; on several occasions nationality and ethnic origin has been used interchangeably, in the sense that whilst the case at stake was clearly one of nationality discrimination, the decision would also invoke the provisions of the laws transposing the anti-discrimination directives.</t>
  </si>
  <si>
    <t>Per the Combating of Racism and Other Discrimination (Commissioner) Law, 2004 [https://www.legislationline.org/download/id/7113/file/Cyprus_Law_combating_racism_other_discrimination_2004_am2007_en.pdf]  the Commissioner has the authority to investigate written complaints (article 10.(1) ) submitted to their office by any person or group of persons and create reports (make findings) in relation hereto and take the measures provided for in this Law.
The Commissioner shall prepare a report for the investigation setting out his finding and the reasons for which he concluded to such finding and shall communicate same to the person or group of persons who submitted the complaint, to the public person or person of the private sector referred to in his finding and to the House of Representatives.
Per Section V of the Combating of Racism and Other Discrimination (Commissioner) Law, 2004, the Commissioner possesses the authority to instigate an investigation on a potential case of discrimination. 
Two out of three (b and c)</t>
  </si>
  <si>
    <t>The legal framework affords the Commissioner with the capacity to propose and advice on the adoption of positive action aimed at preventing or
compensating for any disadvantage linked to racial
or ethnic origin in an effort to enhance the provision
of aid to victims of discrimination. This form of
action responds to the particular needs of vulnerable
groups of the population who are the principal
recipients of the protection afforded. The Commissioner does not assess the effectiveness of such measures</t>
  </si>
  <si>
    <t>Access to the National health system is provided to legal migrants, refugees and beneficiaries of subsidiary protection that are residing in the areas controlled by the Republic of Cyprus. Source: https://www.gesy.org.cy/sites/Sites?d=Desktop&amp;locale=el_GR&amp;lookuphost=/el-gr/&amp;lookuppage=hiobeneficiaryeligiblility. No changes from 2019.</t>
  </si>
  <si>
    <t>Migrants need to be be registered in the Civil Registry, or the Registry of the Migration Department and, as the case may be, in the Social Insurance Services Registry. As part of their application process they need to provide a copy of their  Alien Registration Certificate (ARC) and their application, including a information on their place of residence. No change from 2019.</t>
  </si>
  <si>
    <t>According to the Law, asylum seekers without adequate resources are entitled to free medical care in public medical institutions, covering at a minimum emergency health care and essential treatment of illnesses and serious mental disorders. Article 9ΙΓ(1)(a) Refugee Law. The level of resources needed to receive free medical care in the case of asylum seekers who do not receive welfare assistance is not specified.
In practice all asylum seekers have free access to public medical institutions, regardless of whether they receive material reception conditions.
It is important to note though, that asylum seekers are not included in the provisions of GESY (introduced in 2019). Their access to health services continues under the provisions of the previous system, which basically entails treatment by public, in-patient and out-patient departments of the public hospitals. The same applies for asylum seekers who are working, despite the fact that since the implementation of GESY, they contribute to GESY as employed persons.</t>
  </si>
  <si>
    <t>As soon as they get their Confirmation Letter of an Application for International Protection, asylum seekrs are eligible to access the public healthcare services. No change from 2019.</t>
  </si>
  <si>
    <t xml:space="preserve">There is no reference to undocumented migrants in the procedures or laws of the Republic relevant to health services. Emergency care may be accessed by undocumented migrants but there is a €10 cost at point of access for all users (some exemptions) </t>
  </si>
  <si>
    <t>Up to discretion of Minister who can waive bill for publicly provided health care. It’s applicable to all categories but it’s applicable on an individual basis, in the context of promoting public health.</t>
  </si>
  <si>
    <t>Government agencies as well as international organisations, CSOs and migrant support groups are sharing information and offer support to legal migrants and asylum seekers on their access and entitlements and use of heallth sercices. An example of a relevant information page by a project funded by the national AMIF programme: https://www.mihub.eu/en/info/info-by-topic/health</t>
  </si>
  <si>
    <t xml:space="preserve">Health education leaflets are available in the Greek language to those who may access public health services.  Children of legal migrants and asylum seekers who attend public schools may also be reached by health education and health promotion initiatives targeting students.Health education and promotion shemes offered by CSOs, international organisations and projects do not require documentation and are thus accessible by all groups. </t>
  </si>
  <si>
    <t>There are no interpretation services available in State hospitals</t>
  </si>
  <si>
    <t>There are some migrant led groups developing those services but not delivered by state authorities</t>
  </si>
  <si>
    <t>See: Health Services and Social Policy Research Centre Cyprus. Inequalities in Healthcare Provision to Third Country Nationals in Cyprus and the Prospect of a Promising Health Reform. https://www.healthresearch.cy/en/2020/01/22/inequalities-in-healthcare-provision-to-third-country-nationals-in-cyprus-and-the-prospect-of-a-promising-health-reform/</t>
  </si>
  <si>
    <t> From May 2022 onwards, asylum seekers during the first year after the application for asylum is submitted are able to access public health institutions just with their Confirmation Letter. A year after the date of the application of asylum, asylum seekers need to apply for a medical card at the Ministry of Health, by submitting a simplified application. Hospital cards are either issued on the spot at the Ministry of Health or can be sent to beneficiaries by post. They are typically valid for one year.</t>
  </si>
  <si>
    <t xml:space="preserve">Possession of Croatian citizenship is the general requirement for employment in the state administration.
In addition to the requirements prescribed by by-laws, the prior approval of the central state administrative body responsible for state administration is required.Employment of foreign residents in public sector is enabled in public works employment. </t>
  </si>
  <si>
    <t>All categories (ID, residence permit and the school leaving certificate are the requirements for the access to public employment services https://narodne-novine.nn.hr/clanci/sluzbeni/2019_03_28_588.html)</t>
  </si>
  <si>
    <t>a,c International Student Guide to Croatia including third-country nationals https://www.ampeu.hr/publikacije/international-student-guide-to-croatia#1.4.scholarshipsandtuitionfees</t>
  </si>
  <si>
    <t xml:space="preserve">
Croatian ENIC/NARIC Office is an information centre for recognition of foreign higher education qualifications.https://www.azvo.hr/en/enic-naric-office</t>
  </si>
  <si>
    <t>No targeted training and/or programmes for TCN</t>
  </si>
  <si>
    <t>Still no targeted measures</t>
  </si>
  <si>
    <t>All categories</t>
  </si>
  <si>
    <t>Third-country nationals may work in the Republic of Croatia only on those jobs for which they have been granted a residence and work permit or a work registration certificate and only with those employers with which they have entered into employment.
 According to the new Foreigners Act (comming into effect 1/1/2023) residence and work permits or work registration certificates may be issued based on a favourable opinion of the Croatian Employment Service or without one, when the competent police administration or station may issue residence and work permits to specifically prescribed categories of persons, for specifically prescribed jobs.</t>
  </si>
  <si>
    <t>Citizens of Ukraine who have been granted temporary protection in the Republic of Croatia have the same rights and obligations as Croatian citizens and are enabled to use the services of the Croatian Employment Service (CES) under the same conditions.</t>
  </si>
  <si>
    <t>The Act does not specify the exact number of months. An exception: A close family member of a third-country national staying in the Republic of Croatia based on a valid stay and work permit granted for a period of one year in line with Article 97 of the Aliens Act may be granted temporary stay for the purpose of family reunification only if a third-country national with whom family reunification in the Republic of Croatia is requested has already been granted temporary stay for at least 1 years.</t>
  </si>
  <si>
    <t>An adult child who due to illness or health condition is unable to take care of himself or herself and any other relative, including parents, may also be regarded as a family member of a Croatian citizen, of a third-country national who has been granted temporary stay, long-term residence, permanent stay, asylum or subsidiary protection if there are special personal or serious humanitarian reasons for family reunification (Article 64, Aliens Act No 133/2020). Expert says: Both a and b, they can’t reunite if they are not dependent. An adult child who, due to illness or health condition, is unable to take care of himself or herself; Your parents with whom you have lived in a common household, if they are found to be dependent on your care.</t>
  </si>
  <si>
    <t>Voluntary course</t>
  </si>
  <si>
    <t>Voluntary information/course created for refugees/asylum seekers and provided by NGOs and HCK (Croatian Red Cross) as a part of post-entry integration</t>
  </si>
  <si>
    <t>Voluntary course/information</t>
  </si>
  <si>
    <t>No accommodation requirement</t>
  </si>
  <si>
    <t>(5) A temporary stay permit for the purpose of family reunification shall be issued
with a period of validity of up to one year, or until the expiration of the period of validity
of a temporary stay permit issued to a third-country national with whom family
reunification is requested.
(6) A temporary stay permit for the purpose of family reunification with a Croatian
citizen or life partnership with a Croatian citizen shall be issued to a third-country
national with a period of validity of up to two years. (Foreigners Act https://mup.gov.hr/UserDocsImages/zakoni/ALIENS%20ACT%20(Official%20Gazette%20No%20133_2020).pdf</t>
  </si>
  <si>
    <t xml:space="preserve">Article 87 of the Foreigners Act. 2020 November, new foreigner law states changed grounds for rejection. </t>
  </si>
  <si>
    <t>According to the Act on International and Temporary protection (Official Gazette NN 70/15, 127/17) "In the case of family reunification of asylees and foreigners under subsidiary protection, 
conducted pursuant to the provisions of this Act or the Foreigners Act, for a person who is unable 
to obtain official documents to prove a specific family relationship, circumstances shall be taken 
into consideration on the basis of which it may be assessed whether or not such a relationship 
exists. A decision to refuse an application for family reunification cannot be based exclusively 
on the fact that no official document exists to prove a specific family relationship</t>
  </si>
  <si>
    <t>According to the Foreigners Act (Official Gazette 133/2020)
Article 69: "Autonomous stay may be granted to a third-country national who has been 
granted temporary stay for the purpose of family reunification for an uninterrupted 
period of three years, as a spouse, common law partner, life partner or informal life 
partner, as well as a child who has reached the age of majority if he meets the 
conditions referred to in Article 59, paragraph 1, items 2 to 4, as well as items 6 and 7 
of this Act."</t>
  </si>
  <si>
    <t>New Foreigner Law (133/2020) came into force January 1st, 2021</t>
  </si>
  <si>
    <t>Primary education (in Croatia is compulsory) begins by enrolment in the first grade of primary school, is compulsory for all children, generally from six to fifteen years of age. This applies to all children who reside in the Republic of Croatia, regardless of their nationality. In higher education (University, Polytechnics, College, Art Academy) foreign citizens are enrolled under the same conditions as Croatian citizens, but in accordance with the decision of the competent state authority or institution of higher education they may be required to reimburse a part or the full costs of study (each institution may issue a special decision by which an asylum beneficiary or a foreigner under subsidiary protection is exempted from tuition fees). Students who are citizens of the EU have the same rights under the Higher Education and Scientific Research Act and they enrol the study under the same conditions as Croatian citizens. Their enrolment may be restricted or denied if the study refers to military or police education or other studies of interest to national security.</t>
  </si>
  <si>
    <t>there are no targeted measures aimed at support to access to university education while targeted measures to increase acceptance and successful participation of migrant pupils in elementary and secondary schools exist.Schools are required to provide special assistance to migrant children. School organizes individual and group forms of direct educational work which enables these students to effectively acquire the Croatian language and to compensate a lack of knowledge in certain subjects.
For refugee children and children with insufficient Croatian language proficiency, Croatian schools are obliged to organize preparatory classes of the Croatian language of no fewer than 70 lessons, supplementary lessons of various school subjects, and make it possible for them to attend in parallel some of the regular school classes. Croatian language courses for children are also organized by civil-society organizations</t>
  </si>
  <si>
    <t>Guide through integration (Basic Information for the Integration of Foreigners into Croatian Societa) published) by the Office for Human Rights and Rights of National Minorities of the Croatian Government (2019 and 2022 update version) is multilingual (available on Arabic, Croatian, English, Farsi, French and Urdu) and consists written information on educational system in Croatia as well as information on resource centres and services for orientation of migrant pupils and for general educational advice and guidance at all levels.</t>
  </si>
  <si>
    <t>For the effective integration of students, school organizes individual
and group forms of direct educational work which enables
these students to effectively acquire the Croatian language and to
compensate a lack of knowledge in certain subjects.
For refugee children and children with insufficient Croatian language
proficiency, Croatian schools are obliged to organize preparatory
classes of the Croatian language of no fewer than 70 lessons,
supplementary lessons of various school subjects, and make it
possible for them to attend in parallel some of the regular school
classes. Croatian language courses for children are also organized by
civil-society organizations.</t>
  </si>
  <si>
    <t>only a</t>
  </si>
  <si>
    <t>Provision includes all three requirements (Regulation on the Implementation of Preparatory and Supplementary Classes for Students with Insufficient Knowledge of the Croatian Language and Classes in the Mother Tongue and the Culture of the Country of Origin of Students (Official Gazette, No. 15/13)</t>
  </si>
  <si>
    <t>only b</t>
  </si>
  <si>
    <t>b. Integrated throughout the curriculum</t>
  </si>
  <si>
    <t>Topic required is not obligatory for in-service professional development training for all teachers. It depends on the needs of the school. In accordance with these needs, each school adopts a professional training and development plan for their teachers.</t>
  </si>
  <si>
    <t>Amended  "Guide through integration" on Croatian and also available on Ukrainian language</t>
  </si>
  <si>
    <t>Only nationals of the Republic of Croatia, and citizens of the European Union who have permanent or temporary residence or find themselves in the Republic of Croatia at the time, have the right to vote</t>
  </si>
  <si>
    <t>only Croatian nationals</t>
  </si>
  <si>
    <t>website updates, brochures, information campaigns as a result of a project's activities funded by the state</t>
  </si>
  <si>
    <t>In June 2021 Croatia's Office for Human Rights and the Rights of National Minorities established an Advisory Group for citizens of third countries and persons of migrant origin with the aim of strenghtening their role in the political debate and their contribution to the improvement of integration policies by giving recommendations to decision makers, and  including them in the creation, implementation and evaluation of integration policies and strategies.</t>
  </si>
  <si>
    <t>Only one immigrant organisation in Croatia (PADUH - Pan-African Society in Croatia) established in 2021 but without public funding or support.</t>
  </si>
  <si>
    <t xml:space="preserve">
The new Foreigners Act entered into force on 1 January 2021. One of the novelties of the new Aliens Act is the introduction of a distinction between long-term residence and permanent stay.       Long-term residence may be granted to a third-country national who, prior to 
the day of submission of his application, has had granted temporary stay, asylum or 
subsidiary protection in the Republic of Croatia for an uninterrupted period of five years. (Officia Gazette NN 133/2020 Article 150 Paragraph 1) See more https://mup.gov.hr/aliens-281621/stay-and-work/long-term-residence-and-permanent-stay/281682 </t>
  </si>
  <si>
    <t xml:space="preserve">Testing (the exam) of the knowledge of the Croatian language and Latin script is conducted in accordance with the Ordinance on passing the exam on the knowledge of the Croatian language and the Latin script in the procedure for the approval of long-term residence.The language test is at the B1 level and includes understanding, reading, writing, speaking and grammar.  The Croatian language and the Latin script test shall not be compulsory for:
1. preschool children
2. students, or persons who have completed primary, secondary or higher 
education in the Republic of Croatia
3. persons over the age of 65 unless they are employed.(Official Gazette, No: 100/2021,).  There is no language requirements for the approval of permanent stay.                                                                     </t>
  </si>
  <si>
    <t>Unlimited duration</t>
  </si>
  <si>
    <t>A third-country national whose long-term residence has ceased may regulate his temporary stay pursuant 
to Article 57 of the Foreigners Act.</t>
  </si>
  <si>
    <t>Long-term residence of a third-country national shall be withdrawn if he/she has resided outside the EEA for a period of 12 consecutive months</t>
  </si>
  <si>
    <t>Foreign nationals with permanent residence in Croatia, asylum grantees and persons under subsidiary protection have the same rights as Croatian nationals.</t>
  </si>
  <si>
    <t>The new Ordinance on the regulation of Croatian language and Latin script examination for long-term residence enters into force (Official Gazette, No 100/21)</t>
  </si>
  <si>
    <t>According to Ordinance on stay of third country nationals in the Republic of Croatia: Official Gazette No 20/2022; 155/2022) proof of financial means for granting permanent residence is:
•	6 calculations of paid salaries before the application
•	Tax decision
•	Pension statement
•	Decision on entry in the Register of family farms and proof of earning funds on this basis
•	Statement on the support of a third-country national written by a family or joint household member
•	Confirmation from the bank on the means of subsistence in the prescribed amount for 6 years before the application
Means of subsistence do not include:
•	Social assistance
•	Unemployment benefits
•	Child allowances
•	Other support from the Croatian state budget</t>
  </si>
  <si>
    <t>residence requirement for ordinar legal residents is at least 8 years without interruption until the submission of the request and has been granted foreigner status with permanent residence (Citizenship Act, Article 8, Paragraph 3,  Official Gazette 102/19)</t>
  </si>
  <si>
    <t>Naturalization procedure. An application for the acquisition of Croatian citizenship for a minor child is submitted by one of the parents with the written consent of the other parent or guardian of the child. (Citizenship Act, Article 13, Paragraph 4, Oficial Gazette 102/19)</t>
  </si>
  <si>
    <t>B1. But, the requirement to take the language and culture tests is no longer required for those applying based on lineage starting January 1, 2020.</t>
  </si>
  <si>
    <t>The requirement is to take the language and culture test.</t>
  </si>
  <si>
    <t>None</t>
  </si>
  <si>
    <t>The appearance of dual citizenship in cases of acquisition of citizenship through privileged naturalization is permissible. Thus, in cases of acquisition of Croatian citizenship based on Art. 10. (marriage with a Croatian citizen), Art. 11. (emigrant, his descendants and their spouses), Art. 12. (a person whose admission to Croatian citizenship would be in the interest of the Republic of Croatia and his spouse), Art. 13. (a minor child who follows the legal status of a parent who acquires Croatian citizenship by birth), Art. 15. (a person seeking readmission to Croatian citizenship) and Art. 16. (a member of the Croatian nation living abroad), it is allowed to retain foreign citizenship in addition to acquiring Croatian citizenship.</t>
  </si>
  <si>
    <t>The new Ordinance on the verification of knowing Croatian language, Latin script, Croatian culture and social structure, Official Gazette, NN 6/2021</t>
  </si>
  <si>
    <t>a,b
The Anti-discrimination Act regulates protection against discrimination on the grounds of race or ethnic affiliation or colour, gender, language, religion, political or other belief, national or social origin, property, trade union membership, education, social status, marital or family status, age, health condition, disability, genetic heritage, native identity, expression or sexual orientation.(Official Gazette, No 112/12)</t>
  </si>
  <si>
    <t>Article 8 (the Anti-Discrimination Act)</t>
  </si>
  <si>
    <t>No change in Law/Anti-discrimination Act since 2012.Articles 65 and 66 of the Constitution of the Republic of Croatia establish the basic principles for education. According to the Constitution, primary education is free and compulsory, while secondary and higher education are available to everyone under equal conditions.Primary education in the Republic of Croatia lasts for eight years and is free and compulsory for all children aged 6 to 15.</t>
  </si>
  <si>
    <t>Article 8 of the Anti-Discrimination Act</t>
  </si>
  <si>
    <t xml:space="preserve">Article 17 od the Anti-Discrimination Act prescribes procedures available for victims </t>
  </si>
  <si>
    <t>Croatian anti-discrimination law does not explicitly prohibit nationality discrimination.</t>
  </si>
  <si>
    <t>The Ombudsman may also on his/her own initiative initiate a proceeding for the purpose of
investigating individual or recurrent violations of constitutional and statutory rights and
freedoms. (Article 20, paragraph 3 , The Omgudsman Act, Official Gazette 76/2012)</t>
  </si>
  <si>
    <t>National Plan for Combating Discrimination (2017-2022) but the Action plans for 2020, 2021 and 2022 are missed</t>
  </si>
  <si>
    <t>The new Scocial Welfare Act comes  into force in 17/2/2022 Fees and services in the social welfare system, under the conditions prescribed by this Act, may be recognized or approved: a foreigner with permanent residence and long-term residence and  to a stateless person with temporary and permanent residence and long-term residence. A foreigner under subsidiary protection and an asylum seeker and members of their family legally residing in the Republic of Croatia, as well as a foreigner with the established status of a victim of human trafficking, may receive benefits and services in the social welfare system under the conditions prescribed by this Act. (Article 19, Social Welfare Act, (Official Gazette, No 18/2022)</t>
  </si>
  <si>
    <t>National Plan for the Protection and Promotion of Human Rights and the Suppression of Discrimination
for the period up to 2027; the Action Plan for the Protection and Promotion of
Human Rights for 2023 and the Action Plan for the Suppression of Discrimination for 2023</t>
  </si>
  <si>
    <t>the same conditions for inclusion in a system of health care coverage for legal migrants and nationals</t>
  </si>
  <si>
    <t>Criteria for entitlement health care coverage are the same for legal migrants and nationals</t>
  </si>
  <si>
    <t>Applicants are entitled to health care. However, the LITP prescribes that health care includes only emergency care and necessary treatment of illnesses.</t>
  </si>
  <si>
    <t>Both a and b</t>
  </si>
  <si>
    <t>Undocumented migrants are entitled to health care. However, the Law on International and Temporary Protection prescribes that health care includes only  emergency care and necessary treatment of illnesses and serious mental disorders.</t>
  </si>
  <si>
    <t>B - Decision made for example by administrators (receptionists, managers or committees)</t>
  </si>
  <si>
    <t>a,b - "Croatian health system navigation guide for international protection applicants, asylees and persons under the subsidiary protection"Published by: Croatian Institute of Public Health. For regular migrants information about Croatian health system is available at https://migracije.hr/health-insurance/?lang=en</t>
  </si>
  <si>
    <t xml:space="preserve">b,c                                           The Croatian Red Cross organizes and coordinates health education and promotion to asylum seekers and international protection beneficiaries.                                                                                  
</t>
  </si>
  <si>
    <t>Interpreters are available free of charge provided by NOGs (Centar za kulturu dijaloga/Centre for Cultural Dialogue, JRS, HPC/Croatian Law Centre, Centre for Peace Studies etc)</t>
  </si>
  <si>
    <t>No involvement of migrants</t>
  </si>
  <si>
    <t>a,b,c, The Croatian Institute of Public Health participated in The project "717317/CARE - Common Approach for REfugees and other migrants’ health" which has received funding from the European Union's Health Programme (2014-2020). The research "Roma inclusion into Croatian society. Health care and social welfare" supported by Croatia's Office for Human Rights and the Rights of National Minorities and funded by ESF</t>
  </si>
  <si>
    <t xml:space="preserve">Since March 2020 and throughout 2021 and 2022, MDM-BELGIQUE’s team was in charge of health protection and prevention of SARS CoV-2 among the population of applicants for international protection  accommodated in the Reception Centre for Applicants in Zagreb in close cooperation with Andrija Štampar Teaching Institute of Public Health, Ministry of Interior, Croatian Red Cross and other relevant stakeholders.MDM-BELGIQUE’s team further also informed applicants for international protection  about the possibility of vaccination and organised transportation with interpreters to the main public vaccination centre in Zagreb. Lastly, multilingual info-prevention posters and flyers for applicants were displayed at the facility.
</t>
  </si>
  <si>
    <t xml:space="preserve"> National Plan for Roma Inclusion 2021-2027 </t>
  </si>
  <si>
    <t xml:space="preserve">Migrant or ethnic minority health is not a priority. The issue of health care of ethnic minority concerns only to Roma population. (There is National Plan for Roma Inclusion 2021-2027) </t>
  </si>
  <si>
    <t>NewL Law on International and Temporary Protection prescribes that health care includes emergency care and necessary treatment of illnesses and serious mental disorders according to medical indication. (Law on International and Temporary Protection, Official Gazette, No 33/2023/</t>
  </si>
  <si>
    <t>Several occupations are restricted for nationals – policemen, security corps, members of parliament, judges, or public prosecutors. Those occupations are reserved only for Czech citizens.</t>
  </si>
  <si>
    <t>Migrants have the same obligations and rights as Czech citizens for obtaining a trade licence. However, in order to apply for a trade visa, they have to meet a number of special requirements that are not imposed on Czechs, e.g. : business plan, proof of financial resources.</t>
  </si>
  <si>
    <t>Despite some minor changes in legislation since, the situation is similar and only TCN with permanent residence have the same access to employment policy services in their entirety.</t>
  </si>
  <si>
    <t>Access to education, training and study grants is open to most residents, but not to those with temporary work permits. These residents are excluded because the purpose of their stay is work, so they cannot study without changing their visa (and therefore their purpose of stay).</t>
  </si>
  <si>
    <t>As in previous years, a key condition is that migrants must spend at least 365 days in the Czech Republic to be eligible for most social benefits (this does not apply to Ukrainians under temporary protection).</t>
  </si>
  <si>
    <t xml:space="preserve">0 - bb29a=0 &amp; bb29b=0 &amp; bb29c=0
10 - bb29a=0 &amp; bb29b=50 &amp; bb29c=0
20 - bb29a=0 &amp; bb29b=100 &amp; bb29c=0
30 - bb29a=0 &amp; bb29b=0 &amp; bb29c=50
40 - bb29a=0 &amp; bb29b=50 &amp; bb29c=50
50 - bb29a=0 &amp; bb29b=100 &amp; bb29c=50
60 - bb29a=0 &amp; bb29b=0 &amp; bb29c=100
70 - bb29a=0 &amp; bb29b=50 &amp; bb29c=100                                                                                                                                                                                      80 - bb29a=0 &amp; bb29b=100 &amp; bb29c=100
90 - bb29a=50
100 - bb29a=100
</t>
  </si>
  <si>
    <t>See Decree No. 520/2020 SB., Decree on the implementation of adaptation and integration courses, with effect from 1 January 2021. This discree introduces a new obligation for foreign nationals as of 1 January 2021: adaptation and integration course
Every foreign national who, as of 1 January 2021, is issued a long-term residence permit for the territory of the Czech Republic, and also every foreign national who is issued a permanent residence permit after this date without the precondition of previous authorised stay in the territory is obliged to take the paid adaptation and integration course (8 hours) within one year of the date of collecting their residence permit</t>
  </si>
  <si>
    <t>See Section 42b(1) of the Aliens Act.
In addition to the application for a long-term residence permit for the purpose of family cohabitation, the foreigner is obliged to submit a document proving that the total monthly income of the family after reunification will not be lower than the sum of
1. the amount of the minimum subsistence allowance of the family members, and
2. the highest amount of the standard cost of living determined by special legislation for the purposes of the housing allowance, or the amount which the foreigner proves to be the amount of the actual justified costs incurred for the family's accommodation;
If the foreigner has submitted proof of the income of a family member with the application, he or she must also submit a declaration of waiver of confidentiality upon request.
Income is deemed to be income that can be counted in accordance with the Act on the Minimum Standards of Living and Subsistence, with the exception of lump-sum income, child benefit, unemployment benefit, retraining benefit and benefits under the material hardship scheme;</t>
  </si>
  <si>
    <t>Accommodation is regulated in Section 31(d) and Section 99(1) and Section 100 of Act No. 326/1999 Coll:
§ 31 Requirements for a visa for a stay of over 90 days: d) proof of accommodation for the duration of the stay in the territory of the Czech Republic... (6) The proof of accommodation referred to in subsection (1)(d) shall mean the proof of ownership of the flat or house, the proof of the authorised use of the flat or house or a written confirmation of the person who is the owner or authorised user of the flat or house, with his/her notarised signature, which is the foreigner's consent to the accommodation. Accommodation may only be provided in a house which is marked with a descriptive or registration number or, where applicable, an orientation number according to a special legal regulation and is intended for housing, accommodation or recreation according to the Building Act.
§ (1) For the purposes of this Act, a landlord is any person who provides accommodation for remuneration or accommodates more than 5 foreigners, except where the foreigners and the landlord may be considered to be close persons.
Section 100 A landlord shall ... (d) provide accommodation for aliens which is not manifestly inadequate to the level of accommodation provided in premises of other owners of similar designation in the municipality or district or county. The comparison of the level of accommodation shall be carried out in particular by examining the adequacy of the number of persons with regard to the sanitary conditions provided, the floor area of the room intended for  accommodation, which must be at least 1) 8 m 2 if one person is accommodated in it, 2) 12.6 m 2 if two persons are accommodated in it, 5 m 2 being added to each additional person accommodated in the floor area.</t>
  </si>
  <si>
    <t>The law stipulates that duration of the validity of the residence permit for the reason of family reunification is a) the same as sponsor´s, but at least in duration of one year, b) 2 years if the sponsor is granted permanent residence permit. In case that the sponsor´s residence permit expires, the residence permit of the family member is withdrawn (condition of proportionality is stipulated).
The duration of the validity of permit is regulated in § 44 paragraph 4 point. d) and e) and in § 44a paragraph c) of Act No. 326/1999 Coll.</t>
  </si>
  <si>
    <t xml:space="preserve">For details, see § 9, § 37 and § 56 of Act No. 326/1999 Coll. on the Residence of Foreigners. The grounds are extensive and include in particular § 56(a), (b), (c) and (d). </t>
  </si>
  <si>
    <t xml:space="preserve">I explicitly states that expulsion is excluded in the event of excessive interference with the migrant's private or family life, but no further explanation is given. There are some positive changes in practice based on court decisions. Act 365/1999 Coll. on the stay of foreigners states: § 46a
(2) The Ministry shall also revoke the validity of a long-term residence permit for the purpose of family reunification if
(j) the holder of the family reunification permit has applied for the revocation of the long-term residence permit, or the validity of the permit has been revoked, has not been extended or has expired, or the holder of the family reunification permit has applied for the revocation of the permanent residence permit, or the validity of the permit has been revoked, or...
provided that the consequences of this decision are proportionate to the reason for the revocation. In assessing proportionality, the Ministry shall take into account in particular the effects of the decision on the foreigner's private and family life.
(3) The Ministry shall not revoke the validity of a long-term residence permit for the purpose of family cohabitation on the grounds referred to in paragraph 2(h), (j) and (k) if this is justified by particularly difficult circumstances, in particular if the foreigner has been the victim of domestic violence.
Domestic violence was made explicit in 2018. </t>
  </si>
  <si>
    <t>The right to a separate residence permit for partners and children is regulated in Section 45(2), (3) and (4) of Act No. 326/1999 Coll. on the Residence of Foreigners. (2) An alien with residence permits for the purpose of family reunification shall be entitled after 3 years of residence in the territory of, or after the age of 18 to request the Ministry to issue a residence permit for another purpose. (3) An alien with long-term residence for the purpose of family reunification, which is a survivor of a wearer permission to family reunification, is entitled to apply to the Ministry on the issue of long term residence permit for another purpose, if a) the date of death of the holder permission to sponsor resided continuously in the territory for at least 2 years of continuous residence requirement does not apply if the alien due to marriage with the bearer permission to sponsor lost citizenship of the Czech Republic, or b) the death of the holder permission to family reunification resulted from an accident at work or occupational disease. (4) An alien with long-term residence for the purpose of family reunification shall be entitled to apply for a long term residence permit for other purposes in the event of a divorce with the holder of the authorization for family reunification, where he stayed at the date of divorce in the territory continuously for at least 2 years the marriage lasted at least 5 years; condition of continuous residence and duration of the marriage shall not apply if the foreigner as a result of marriage carries with permission to family reunification lost citizenship of the Czech Republic.</t>
  </si>
  <si>
    <t xml:space="preserve">Generally, the sponsor must have lived in the Czech Republic for 15 months. 
However, there are cases where the rule is less strict. See Section 42a(7) of Act no.
326/1999 Coll. on the stay of foreigners. </t>
  </si>
  <si>
    <t>The law reads as follows:  An application for long-term residence for the purpose of family reunification may be submitted primarily by an foreigner who is
a. the spouse of an alien who holds a long-term or permanent residence permit
b. a minor child or a dependent adult child of an alien who holds a long-term or permanent residence permit, or
c. a minor child or an adult dependent child of the spouse of an alien who holds a long-term or permanent residence permit
d. a minor child adopted by an alien with a long-term or permanent residence permit or the alien's spouse on the basis of a decision by a competent authority, or a minor child placed in the care of an alien with a long-term or permanent residence permit or the alien's spouse, or the guardian of the minor or the guardian's spouse is an alien with a long-term or permanent residence permit in the Czech Republic and the minor is placed in the care of the Czech Republic,
e. either the parents of minor children who have been granted asylum under a special legal regulation2); if these minor children have no parents, any other relative in the direct line of descent is entitled to submit an application, and if there is no such relative, the guardian of these minor children;
f. aliens living alone who are over 65 years of age or, irrespective of age, aliens who are objectively unable to provide for their own needs due to their state of health, if the family reunification is with a parent or child who has a long-term or permanent residence permit in the Czech Republic. 
An application for a long-term residence permit for the purpose of family reunification in the territory of the Czech Republic may be submitted by a foreigner who, prior to entering the territory of the Czech Republic, resided in another EU Member State as a family member of an EU Blue Card holder. The foreigner must submit the application within 1 month of entering the territory of the Czech Republic. For further information, see Section 42a of Act No. 326/1999 Coll.</t>
  </si>
  <si>
    <t>The law does not impose any pre-entry or immediate post-entry requirements.</t>
  </si>
  <si>
    <t>All TCN s have the right to free primary education in Czech language, which also includes access to school meals, leisure education in school facilities for interest education in daily attendance, and Czech lessons. The conditions for access by TCNs to pre-primary education, upper secondary education, tertiary professional education, and school services are modified, according to the legal residency. 
See Act No. 561/2004 Coll., on Pre-school, Basic, Secondary, Tertiary Professional and other Education (hereinafter the Education Act), as amended. In 2020, Act No. 284/2020 Coll. was adopted, amending the Education Act. It is now introduced that if a foreigner does not attend classes continuously for at least 60 school days, does not provide reasons for his/her absence in accordance with the conditions set out in the school regulations and does not, even after a subsequent written invitation from the school principal sent to the last known address of the foreigner's legal representative within 15 days of the date of sending the invitation, communicate that he/she will continue to attend the school, he/she ceases to be a pupil of the school on the day following the expiry of this period." (see section 50(5) of the Education Act).</t>
  </si>
  <si>
    <t>See Section 20 (4) of the Education Act (as amended by the Act No. 101/2017 Coll.). Persons, who obtained their previous education in a school outside the territory of the Czech Republic are, upon their request, exempt from the Czech language entrance exam for education in secondary schools and higher professional schools provided that such an exam is part of the entrance exam. Knowledge of the Czech language, which is necessary for studies of a given field of education, is checked by the school in an interview with those persons. Persons, who studied for at least 4 years during the previous 8 years prior to the relevant exam in a school outside the CR, have the right to some adjustments regarding the final exam from “Czech language and literature” subject so that equality of access to education is maintained.  Otherwise, there are no targeted measures; not even for recognized refugees. On 22 May 2017, the Government of the Czech Republic approved the project "Student Mode" (Režim Student): a concept for facilitating the visa procedure for a specific group of students from third countries. The project "Student Mode" (SM) is the concept of visa facilitation for students-foreigners from selected third countries who are admitted to study at higher education institutions in the Czech Republic and at the the same time they are enrolled in the Student Mode. The function of SM is to ACCELERATE ACCESS to the relevant embassy for an applicant seeking a long-term residence permit/visa for the purpose of studies. The SM is administered through Higher Education Institutions which nominate their students for the Student Mode.The student cannot apply themselves/ ask for interviews themselves. 
Citizens from EU countries, Iceland, Liechtenstein, Norway and Switzerland do not need a residence permit/visa to study in the Czech Republic. Upon arrival in the Czech Republic, students are required to report, but this can be arranged by the accommodation provider. TCN need long-term visas/residence permits to study in the Czech Republic. The processing of the visa obligation takes place in parallel with the admission procedure and is the responsibility of the student. In order to be able to obtain a residence permit/visa for the purpose of study in the Czech Republic, it is necessary to be successfully admitted to study.  There is also another project in the field of student migration, the accelerated procedure for granting residence permits for foreign students from third countries. It is focused on student migration of foreign scholarship holders and is managed by the Ministry of Education and Science (co-organised by the Ministry of the Interior and the Ministry of Foreign Affairs). Students are included in the project on the basis of a nomination by the sponsor of the stay, which is the host institution. The target group consists of students from third countries who have been admitted to study in the Czech Republic on the basis of bilateral or multilateral international treaties and government resolutions (developing countries and compatriots), as well as participants Erasmus+ International Credit Mobility Programme and Fulbright Programme.  the field of higher education, in order to mitigate the impact of the COVID-19 epidemic on foreign applicants for studies, the Ministry of Education, Youth and Sports has made it possible to extend the deadline for providing proof of completed education as a prerequisite for admission to university.</t>
  </si>
  <si>
    <t xml:space="preserve">In 2019, the vision of the National Pedagogical Institute of the Czech Republic to have offices in all regions of the country was implemented. However, the plans for counselling, interpreting and support for migrant pupils have not been fully implemented. This is the reason for the decrease in the score.  Still, every year the Ministry of Education, Youth and Sports announces a subsidy call for support for the integration of foreigners in regional education, which is intended primarily for non-governmental non-profit organizations. The main supported activities are the development of teaching materials and programmes, support for family-school cooperation, integration after-school leisure activities including summer schools and support for the services of intercultural workers, community interpreters and teaching assistants from among foreigners.
There are regional integration centres: a network of local centres providing integration services - the last one opened in 2018. These centres offer a range of services for migrants, including a new phenomenon in the Czech Republic - intercultural work. (2) National Institute for Further Education - a network of regional branches called Regional Centres for Supporting the Education of Children and Pupils of Foreigners.
The position of the so-called adaptation coordinator is established. Interpreting services are not available at all levels of education.
</t>
  </si>
  <si>
    <t>Education of Foreigners in Schools, but the amendment to the Education Act abolished the development programmes announced by the Ministry of Education - see Act No.284/2020 Coll., amending the Education Act, with effect from 1 October 2020.</t>
  </si>
  <si>
    <t xml:space="preserve">A: See Decree No. 48/2005 Coll., on basic education and several matters relating to the obligation to attend school, as amended. According to this Decree, the content of the training provided in Czech is specified by the anticipated outputs of the Foreign Language Education Department stipulated by the Framework Curriculum for Basic Education. The specific contents and methods of education take into account the requirements of individual pupils. 
B: According to the Act No. 563/2004 Collection of Law, on Pedagogical Staff and on the Amendment to Some Other Acts, as amended, a head teacher shall organise further education of pedagogical staff in accordance with a plan of further education. When laying down the plan of further education it shall be necessary to take into account the study interests of a pedagogical worker, the school needs and budget.
C: Curriculum standard a monitored by a state body.
The Framework Educational Programmes (FEPs, Rámcové vzdělávací programy) constitute a generally binding framework for the development of school educational programmes for all branches of education in pre-school, primary, primary art, language and secondary education.  They were introduced into education in the Czech Republic by the Education Act.
</t>
  </si>
  <si>
    <t>The Education Act and the resulting decrees specify the conditions for providing support measures when necessary. They also contain rules on communication and on cooperation between schools, pupils, counselling centres and child protection authorities. It is based on the premise that everyone has the right to education, the content, forms and methods of which correspond to educational needs and possibilities. The necessary conditions should be created to enable such education to take place.</t>
  </si>
  <si>
    <t>It is a cross-cutting theme of all framework education programmes in the Czech Republic, not a separate subject. Further information in English can be found at: http://www.nuv.cz/our-work/framework. The National Curriculum (the Framework Curriculum) defines a general binding framework for the development of school curricula (SCE) for all areas of pre-school, primary, arts, language and secondary education. The Framework Curricula were incorporated into the educational system of the Czech Republic by the Education Act.</t>
  </si>
  <si>
    <t>It is a requirement for all university degrees in order to obtain teacher certification.</t>
  </si>
  <si>
    <t>From September 2021, a modified system of support for foreigners in compulsory pre-school and primary education has been introduced, which will ensure the financing of such education after the abolition of the development programme of the Ministry of Education, Youth and Sports. The obligation to provide language support to pupils with insufficient knowledge of the language of instruction is now, among other things, part of the Framework Curriculum for Pre-School Education.The Ministry of Education, Youth and Sports will cover language support for foreigners for schools from the state budget over and above the regular funding. See Decree No. 271/2021 Coll. amending Decree No. 14/2005 Coll. on pre-school education, as amended, and Decree No. 48/2005 Coll. on primary education and certain requirements for compulsory school attendance, as amended. Children and pupils who are not included in the language education according to § 20 of the Education Act (children of kindergartens
outside the compulsory pre-school year, pupils of secondary schools, pupils of primary schools with Czech citizenship
and foreign pupils who will be educated in a Czech school for more than 24 months in the school years 2021/22
and 2022/23 and from 2024/25 for more than 12 months), as well as pupils who have already completed their language education but still
need further support in Czech, language support is provided in accordance with Decree No. 27/2016 Coll,
on the education of pupils with special educational needs and gifted pupils, as amended.
as amended.</t>
  </si>
  <si>
    <t>see above + Specific conditions apply to pupils and students who came to the Czech Republic as a result of the war in Ukraine. A separate law, Lex Ukraine (No. 67/2022 Coll.), has been adopted for these cases. The provisions of this Act apply to this group of foreigners (foreigners under temporary protection or with a visa for the purpose of tolerating their stay) in preference to the provisions of other legislation.</t>
  </si>
  <si>
    <t>see above + Specific conditions apply to students who came to the Czech Republic as a result of the war in Ukraine. A separate law, Lex Ukraine (No. 67/2022 Coll.), has been adopted for these cases.
(Lex Ukrajina je nepřesné souhrnné označení pro zákony na pomoc uprchlíkům z Ukrajiny v ČR. Jsou to zákony č. 65 až 67/2022 Sb. a nařízení vlády č. 206/2022 Sb., vyhlášené 21. 3. 2022. Všechny tyto normy jsou průběžně novelizovány).</t>
  </si>
  <si>
    <t xml:space="preserve">Some programs are implemented. </t>
  </si>
  <si>
    <t xml:space="preserve">No program exists. </t>
  </si>
  <si>
    <t xml:space="preserve"> In 2024, the situation has become even better. New Framework Requirements for programmes of study leading to professional qualifications to practise regulated professions as teachers have been issued, which include a requirement for inclusive didactics at all levels. </t>
  </si>
  <si>
    <t xml:space="preserve"> Basic condition for political participation is having Czech citizenship.  Only citizen of another EU Member State can vote ( o the European Parliament and in the municipal assembly elections). There is currently no agreement with any third country for its citizens to vote.</t>
  </si>
  <si>
    <t>Membership in political parties is regulated by the Act on Association in Political Parties and Movements 424/1991 Coll., as amended.. Membership in political parties is not allowed, even not for EU citizens who are entitled to stand for local elections. The laws in force in the Czech Republic grant the right to become a member of a political party only to domestic citizens. See Case C 808/21 – European Comission against Czech Republic.</t>
  </si>
  <si>
    <t>There are no official consultation mechanisms of foreign residents on national levels. The Committee for Rights of Foreigners cannot be considered as such since the consultations of foreigners are not required and might be only unofficially and ad hoc happening by NGOs. The Advisory Committee composed of representatives of NGOs and state officials not of foreign nationals.  However, cities such as Prague are introducing advisory bodies to increase migrant influence in decision-making, but these are not national activities</t>
  </si>
  <si>
    <t>It is difficult to speak of an active information policy at national level (or at regional level in the countries) on political participation/political or related rights if there is no possibility for non-EU foreigners to participate in political life. The information provided by the state/regions is directed only at citizens from other EU Member States. Further, the Concept for the Integration of Foreigners (2016), as well as the annual Regulations that follow it, address this issue (e.g. by stating that foreigners should be involved in decision making through various grants aimed at participation in public life), but the set structure basically does not allow foreigners to participate in public decision-making.</t>
  </si>
  <si>
    <t>Some funding exists.</t>
  </si>
  <si>
    <t>Five years of continuous residence (as required by the Directive 2003/109/EC) – see Section 68 of the Act on Residence of Foreigners. However, the law stipulates what counts towards the required period of residence and what does not (see again Section 68).</t>
  </si>
  <si>
    <t>Third-country nationals (outside the EU and EEA) who apply for a permanent residence permit must take the Examination in the Czech Language under the following conditions:
•	either they are applying for permanent residence after 5 years of residence in the CR,
•	or they have an EU Blue Card.
A document proving the required knowledge of the Czech language does not have to be submitted by someone who: 
•	has not reached the age of 15 or someone who is more than 60 years old,
•	proves that in the course of the 20 years preceding the application for a permanent residence permit he/she has been a pupil of: 
o	a primary school (min. 1 school year),
o	or a secondary school (min. 1 school year),
o	or a student of a higher education institute with teaching in the Czech language or a study programme focused on the Czech language at a university (min. 1 academic year),
•	submits a confirmation that he/she has passed one of the examinations stipulated by Government Decree No. 31/2016 Coll., as amended by Government Decree No. 282/2023 Coll. (on proving knowledge of the Czech language for the purposes of obtaining a permanent residence permit): 
o	a school-leaving examination in the Czech language
o	a certificate of the state language examination in the Czech language, which s/he passed at a language school with the right to a state language examination,
o	a state final examination, a state viva voce examination or a state doctoral examination taken at a university within a study program, which took place in the Czech language,
o	a Certified Examination in Czech for Foreigners (CCE) for level A2 or for a higher level,
o	a Czech language exam conducted for the purposes of granting citizenship of the Czech Republic,
o	a specialization examination carried out in accordance with the legal regulation governing the conditions for obtaining and recognizing professional competence and specialized competence to practice the medical profession of doctor, dentist, and pharmacist.
.
•	proves that he/she has a physical or mental handicap that would influence his/her ability to communicate.</t>
  </si>
  <si>
    <t>See Section 71 of the Act on Residence of Foreigners. A document proving that the foreigner's income is regular and the total monthly income of the foreigner and the persons assessed together with him/her residing in the territory is considered to be proof of the means of permanent residence in the territory [Section 42c(3)(a)]. (c)] will not be lower than the sum of the amounts of the subsistence allowances of the foreigner and the persons assessed jointly with him/her and the highest amount of the normative living costs determined for the purposes of the housing allowance by a special legal regulation or the amount which the foreigner proves as the amount of the actual justified costs incurred for the housing of himself/herself and the persons assessed jointly. In the case of aliens pursuant to Section 66, this document may be replaced by proof of a promise to provide the means to secure permanent residence in the territory from the public budget. The income referred to in the first sentence shall be deemed to be income countable under the Minimum Subsistence Act, with the exception of lump-sum income, child benefit, unemployment benefit, retraining benefit and benefits under the material hardship scheme; for the purposes of calculating income, Section 8(2) to (4) of the Minimum Subsistence Act shall not apply. The foreigner's income may be proven in particular by a certificate from the employer on the amount of average net monthly earnings, if the income is from dependent employment, or by a decision on the determination of personal income tax, if the income is from self-employment for the last tax period).</t>
  </si>
  <si>
    <t>The permanent residence permit's validity is not limited in time, only the permit document's validity is. However, under certain circumstances, the validity of the permanent residence permit may lapse (see Section 76 of the Act on Residence of Foreigners).</t>
  </si>
  <si>
    <t>A permanent residence permit document is issued for 10 years, in the case of foreign nationals under 15 years of age for 5 years. The validity of the document can be extended repeatedly. It is necessary to submit application, at the latest the last day of current document’s validity, at the earliest 90 days before its expiration.</t>
  </si>
  <si>
    <t>The withdrawal is possible if a foreigner lives outside of the Czech Republic for more than 6 years (Section 77 (1)(d) or if a foreigner lives outside of EU for more than 12 consecutive months, unless there are important reasons as pregnancy and childbirth, serious illness, study or vocational training or posting (Section 77(1)(c), or the foreigner, former Blue Card holder, or his/her family member has resided outside the territory of the Member States of the European Union continuously for more than 24 months (Section 77(1)(g) of the Act on the Residence of Foreigners.</t>
  </si>
  <si>
    <t>A permanent residence permit holders have free access to the labour market, access to the public medical insurance and a right to social welfare benefits. Subject to conditions stipulated by law, they can be also entitled to a retirement pension.</t>
  </si>
  <si>
    <t xml:space="preserve">Five years of permanent residence are required or ten years of residence as well as the applicant needs to be a holder of permanent residence at the time of application for naturalisation. However, there are exceptions. See Section 14 of Act No. 186/2013, the Citizenship Act: § 14
(1) Citizenship of the Czech Republic may be granted if the applicant has been granted permanent residence in the territory of the Czech Republic1) on the date of submission of the application continuously
a) for at least 5 years,
b) for at least 3 years, if the applicant is a citizen of a State of the European Union, or
c) for a period which, together with the immediately preceding period of lawful residence in the territory of the Czech Republic, amounts to at least 10 years.
The period of residence required in (a) and (b) shall include any period of lawful residence in the territory of the Czech Republic before the age of 18.
(2) Citizenship of the Czech Republic may be granted if the applicant proves that he or she has actually resided in the territory of the Czech Republic for at least one half of the period of residence as provided for in paragraph 1(a) to (c). This period shall include periods of absence from the territory of the Czech Republic if the individual periods of absence have not exceeded two consecutive months or, for a serious reason, six consecutive months; a serious reason is, in particular, pregnancy and the birth of a child, serious illness, study, professional training or a business trip
</t>
  </si>
  <si>
    <t xml:space="preserve">The right to citizenship by declaration is available to young permanent residents (18-21 years old) who have lived in the Czech Republic for at least 10 years, have been legally resident in the country for more than 2/3 of the period up to the date of declaration, and have not been convicted of a criminal offence. The maximum age limit of 21 years does not apply until the end of 2014. The requirements are laid down in Section 35 of the Citizenship Act. </t>
  </si>
  <si>
    <t>Act No. 186/2013 concerning the nationality of the Czech Republic and amending certain acts (Czech Nationality Act), as well as Decree No. 433/2013 Coll., Decree on Proving Knowledge of the Czech Language and Czech Realities for the Purposes of Granting Czech Citizenship, are still in force. Knowledge of at least B1 level of the Common European Framework of Reference for Languages is required.</t>
  </si>
  <si>
    <t>Applicants are required to pass a civic knowledge test, which includes basic knowledge of the Czech Republic’s constitutional system, state symbols, institutions, history, geography, culture, etc.
See Act No. 186/2013 Coll. Czech Nationality Act § Section 14, paragraph 5
5) Citizenship of the Czech Republic may be granted to an applicant who demonstrates basic knowledge of the constitutional system of the Czech Republic and basic orientation in the cultural, social, geographical and historical realities of the Czech Republic. This requirement need not be fulfilled by an applicant who can prove that he or she has completed at least three years of education at a primary, secondary or higher education institution where the language of instruction was Czech, by an applicant who is younger than 15 or older than 65 years of age on the day of submitting the application, or by an applicant with a physical or mental disability that prevents him or her from acquiring knowledge of the constitutional system of the Czech Republic and basic orientation in the cultural, social, geographical and historical realities of the Czech Republic.</t>
  </si>
  <si>
    <t>Act No. 186/2013: see § 14, paragraphs 7 and 8
(7) Citizenship of the Czech Republic may be granted to an applicant who proves the amount and sources of his or her income, or the fulfilment of the obligation to report cross-border transfers or transfers of funds in kind from abroad, and that he or she pays tax on his or her income in the declared amount, unless another person fulfils this obligation under another legal regulation. The applicant must provide evidence of the facts referred to in the previous sentence for the 3 years preceding the date of submission of the application. This condition need not be fulfilled by an applicant who is under 18 years of age on the date of application.
(8) Citizenship of the Czech Republic may be granted to an applicant who proves that his or her stay in the territory of the Czech Republic during the last 3 years preceding the date of submission of the application has not significantly and without serious reason burdened the system of state social assistance or the system of assistance in material need. Significant burden on the system of state social assistance or the system of assistance in material hardship means that the applicant is predominantly dependent on benefits provided by the system of state social assistance or the system of assistance in material hardship, unless the applicant is a person who, due to his/her state of health, is excluded from engaging in gainful activity, is preparing for a future occupation, is on maternity or parental leave, or is continuously caring for another person who is dependent on such care.</t>
  </si>
  <si>
    <t xml:space="preserve">Act No. 186/2013: more stringent conditions for impunity as well as a number of other new conditions. On the other hand a three-year long period prior to the lodging of the application was introduced as regards an absence of a substantial breach of selected laws and norms (see good character requirement). The applicant needs to prove that s/he was not unconditionally prosecuted for a crime committed with negligence or for one committed intentionally (before it was only an intentionally committed crime). It should be noted, however, that practice in the Czech Republic is very strict in this regard and the "evaluation of candidates" for Czech citizenship is often very harsh. </t>
  </si>
  <si>
    <t>The law permits dual/multiple nationality. To gain Czech nationality, a renouncement of foreign nationality is no longer required, and the Czech nationality is not automatically lost upon obtaining foreign nationality. See Act No. 186/2013 concerning the nationality of the Czech Republic and amending certain acts (Czech Nationality Act), in the current version.</t>
  </si>
  <si>
    <t>Act No. 186/2013: more stringent conditions for impunity as well as a number of other new conditions. On the other hand a three-year long period prior to the lodging of the application was introduced as regards an absence of a substantial breach of selected laws and norms (see good character requirement). The applicant needs to prove that s/he was not unconditionally prosecuted for a crime committed with negligence or for one committed intentionally (before it was only an intentionally committed crime).</t>
  </si>
  <si>
    <t>From 1/1/2018 - the antidiscrimination law (198/2009) also explicitelly includes citizenship (but only for EU citizens).</t>
  </si>
  <si>
    <t> Anti-discrimination legislation and decision-making practice has improved over time and legislation, practice and court decisions are now more consistent</t>
  </si>
  <si>
    <t>According to Section 1(1)(i) of Act No. 198/2009 Coll., the Anti-Discrimination Act, this Act applies to access to and provision of education. The prohibition of direct and indirect discrimination as well as harassment, victimisation and incitement to discrimination  applies to primary, secondary and higher education. From 1/1/2018 - the antidiscrimination law (198/2009) also explicitelly includes citizenship (but only for EU citizens).
There are still some discrepancies between legislation and practice, but there has been an improvement.</t>
  </si>
  <si>
    <r>
      <t>Situation remains the same</t>
    </r>
    <r>
      <rPr>
        <b/>
        <sz val="10"/>
        <color rgb="FF000000"/>
        <rFont val="Calibri"/>
        <family val="2"/>
        <charset val="238"/>
        <scheme val="minor"/>
      </rPr>
      <t>.</t>
    </r>
  </si>
  <si>
    <t xml:space="preserve">According to the Sec. 1 para 5 of the Law no. 349/1999 Coll., on Public Defender of Rights, the Public Defender of Rights has the competence with respect to right to the equal treatment and the protection against discrimination. According to the Sec. 21b of the same law this competence includes all mentioned grounds.  The Anti-discrimination Law establishes the Public Defender of Rights as the National Body providing assistance to the victims of discrimination.  The ground of nationality seem to refer only to EU nationals, as for the law: Act No. 198/2009 Coll., on Equal Treatment and Legal Means of Protection against Discrimination. </t>
  </si>
  <si>
    <t>The investigative power applies only to public administration bodies (where this power is based on the previous competence of the public defender of rights as a public administration ombudsman). According to § 21b of Act No. 349/1999 Coll. on the Public Defender of Rights, the competence of the Equal Treatment Authority includes independent legal advice to victims.
§ 21b
The public defender of rights shall contribute to the promotion of the right to equal treatment of all persons regardless of their racial or ethnic origin, nationality, sex, sexual orientation, age, disability, religion, belief or ideology, and for this purpose shall
(a) providing methodological assistance to victims of discrimination in bringing proceedings on grounds of discrimination,</t>
  </si>
  <si>
    <t xml:space="preserve">Section 7(2) and (3) of the Anti-Discrimination Act provides for affirmative action as an exception to the obligation not to discriminate. Various researches occur. </t>
  </si>
  <si>
    <t xml:space="preserve">The Czech Republic has an Ombudsman, which is a specialised equality body. The Czech Ombudsman acts generally towards institutions (s/he cannot intervene in individual disputes), but s/he is also responsible for anti-discrimination law (see these areas https://www.ochrance.cz/en/potrebuji-pomoc/diskriminace/) and the enforcement of this law by institutions. </t>
  </si>
  <si>
    <t>The majority of legal migrants participate in public health insurance. 
Conditions for inclusion:  permanent residence (which is possible to get after 5 years uninterrupted stay)
OR
to be employed by an employer registered in the Czech Republic.
Furthermore, together with the amendment to the Criminal Procedure Code, an amendment to the Act on the Stay of Aliens was adopted in 2020, which regulates the issue of the provision of health services during the detention of an alien. Healthcare services will be provided in the specified scope not only to the foreigner himself in detention, custody or during the execution of a prison sentence, but also to the child of a foreign mother in detention.</t>
  </si>
  <si>
    <t>A: Some hospitals require from migrants with a private health insurance to provide a guarantee letter issued by their private health insurance company prior to provision of health care. If this is not possible (for example, in case of need of acute and emergency care), a patient is required to pay some sum in advance (that is either refundable or not refundable) and sometimes to pay the estimated costs of his or her treatment in advance.
B: There is a certain degree of uncertainty for migrants with private health insurance concerning whether particular procedures are covered or not. Coverage of health care in particular situations depends on decisions made by private health insurance companies regardung pre-existing conditions: this is usually applied in the case of expensive health care.</t>
  </si>
  <si>
    <t>Asylum seekers are included in public health insurance at the time they enter into the asylum procedure . In terms of coverage, there is no difference between asylum seekers and nationals (if asylum seekers do not have any income the state pays the insurance premium for them).	The benchmark on this question is not equal treatment. But that the migrants are in more vulnerable conditions. It is unconditional or conditional was the basis of the assessment. Having an income test is a barrier. It is 50 based on the step of having to apply for the state coverage</t>
  </si>
  <si>
    <t xml:space="preserve">Undocumented migrants cannot participate in public health insurance. 
Nevertheless, they can be insured by a commercial health insurer since migrants are not asked   whether their stay in the Czech Republic is legal or not when they take out such insurance.  
Emergency care has to be provided to all migrants regardless to their residence status. Physicians are responsible for determining the scope of care which is needed. Emergency care is not free - it has to be charged at the same price as in public health insurance. However, undocumented migrants have to pay it  out of pocket. </t>
  </si>
  <si>
    <t>B. Undocumented migrants are not entitled to participate in public health insurance.  Nevertheless, by law all undocumented migrants have to be provided with emergency health care depending on the physician´s judgement.</t>
  </si>
  <si>
    <t>The availability of information about migrants and access to health care in the Czech Republic is improving, but it still consists of rather brief explanations on the stands of the Ministry, insurance companies and in more detailed versions on the websites of migration NGOs. Most of this information is general, i.e. A and B, especially NGOs mention the situation of migrants without residence permits, but there is no more detailed information</t>
  </si>
  <si>
    <t>There are no specific health education and health promotion programs targeted to migrants</t>
  </si>
  <si>
    <t>Health providers are obliged to provide interpreting service in order to provide adequate and understandable information which is necessary for an “informed consent”  . 
But it is not clearly stated who should pay for it. Both the Ministry of Health and the Czech Medical Chamber have the view that the health provider should provide an interpreter and the patient should pay, especially when professional interpreter is needed. 
 All accredited hospitals have to have an internal guideline for the provision of interpreting services . However, accreditation is voluntary, though the large hospitals where a higher proportion of migrants can be expected are usually accredited. 
In practice, there are several possibilities for managing interpretation.</t>
  </si>
  <si>
    <t>A.) Mostly migrants are employed as intercultural workers and community interpreters.This is not yet being done nationally, but it's becoming more common to see this happening locally.
B.) migrants are usually involved in development of information. This is not a political measure, but it is happening on a fairly large scale. 
C.) Migrants often participate (ad hoc) in research dealing with migration related issues, there are also few researchers with migration background; but that is not explicitly stated as policy measure
E) Ukrainian psychologists and psychiatrists in particular are involved in the development of services for Ukrainian forced migrants</t>
  </si>
  <si>
    <t>The topic of migrants health is researched rather well, see e.g. list of studies here: https://migracnikonsorcium.cz/cs/reserse-literatury-o-dostupnosti-zdravotni-pece-o-cizince-v-cr/</t>
  </si>
  <si>
    <t>In some large hospitals (with higher proportion of migrants among patients) special “Foreigners Departments” were established. However, such departments were established to facilitate health care provision to those migrants not participating at Czech public health insurance. 
They are focused on administrative issues, mainly on financial aspects of treatment and not on the special health  needs of migrants as such. 
Staff working in these Departments can speak several languages. They also coordinate treatment procedure in order to ensure medical staff being able to communicate with migrants.</t>
  </si>
  <si>
    <t>Asylum seekers are included in public health insurance at the time they enter into the asylum procedure . In terms of coverage, there is no difference between asylum seekers and nationals (if asylum seekers do not have any income the state pays the insurance premium for them).	The benchmark on this question is not equal treatment. But that the migrants are in more vulnerable conditions. It is undonditional or conditional was the basis of the assessment. Having an income test is a barrier. It is 50 based on the step of having to apply for the state coverage</t>
  </si>
  <si>
    <t>In light of the arrival of Ukrainian migrants, the topic of health has appeared in more research: the Voice of Ukrainians, Mental Health: https://www.paqresearch.cz/post/dusevni-zdravi-hlas-ukrajincu/ , https://www.populationmedicine.eu/The-role-of-socioeconomic-situation-and-social-support-on-health-perception-among,163658,0,2.html (area A) https://link.springer.com/article/10.1186/s12905-024-03053-8 (area B) https://europepmc.org/article/med/37474290 (area C)</t>
  </si>
  <si>
    <t>There has been an increase in attention to migrants, particularly in relation to Ukrainian refugees, but this has not been systematic.
In some large hospitals (with higher proportion of migrants among patients) special “Foreigners Departments” were established. However, such departments were established to facilitate health care provision to those migrants not participating at Czech public health insurance. 
They are focused on administrative issues, mainly on financial aspects of treatment and not on the special health  needs of migrants as such. 
Staff working in these Departments can speak several languages. They also coordinate treatment procedure in order to ensure medical staff being able to communicate with migrants.</t>
  </si>
  <si>
    <t xml:space="preserve">A and C </t>
  </si>
  <si>
    <t>Yes</t>
  </si>
  <si>
    <t>A and C</t>
  </si>
  <si>
    <t>Only refugees and their families have access to targeted training for access to the labour market (through the "Self-sufficiency and repatriation program") while family reunited foreigners have access to an introduction program (of same content). Legal basis: Integration Act, no. 1146 of 22.02.2020. The basic integration education (IGU - Integrationsgrunduddannelse) opens up for the possibility to make an arrangement between an employer, a refugee and the municipality supporting the refugee so that they get a job placement and language classes. The employer may get a bonus if they later employ the refugee full time. The program is though only open for refugees between 18-50 years, who have been living in Denmark up to 20 years. Legal basis: Act no. nr. 623 af 08.06.2016 om integrationsgrunduddannelse (igu). See also answer ac14. Other TCNs cannot be offered the same possibilities for work placement and/or training.</t>
  </si>
  <si>
    <t>SIRI, the Danish Agency for International Recruitment and Integration has immigrant women as a special focus area.  From their webpage (translated from Danish): 'Refugee and immigrant women can face particular challenges when it comes to finding a foothold in the labor market. This can be due to attitudes towards health and illness, negative social control and maternity leave. A wide range of methods and tools have been developed specifically for this group.' Source: https://siri.dk/integration/#accordion-sarlige-fokusomrader. Special focus on negative social control: publication of report: https://www.integrationsviden.dk/beskaeftigelse/flygtninge-indvandrerkvinder-i-beskaeftigelse/social-kontrol-som-barriere-for-etniske-minoritetskvinders-beskaeftigelse-i-kobenhavns-kommune</t>
  </si>
  <si>
    <t>Publication by SIRI of piece on recruitment of 'non-Western family-supported women'. Source: https://www.integrationsviden.dk/beskaeftigelse/flygtninge-indvandrerkvinder-i-beskaeftigelse/guide-til-rekruttering-af-ikke-vestlige-aegtefaelleforsorgede-kvinder</t>
  </si>
  <si>
    <t>Publication by SIRI of piece on tools for helping women to find employment (source: https://www.integrationsviden.dk/beskaeftigelse/flygtninge-indvandrerkvinder-i-beskaeftigelse/handleplan-for-kvinder-pa-vej-i-beskaeftigelse) and on maternity interventions - such as employment-oriented maternity interviews and maternity cafés with an employment focus (source: https://www.integrationsviden.dk/beskaeftigelse/flygtninge-indvandrerkvinder-i-beskaeftigelse/barselsindsatser-kan-fastholde-jobfokus)</t>
  </si>
  <si>
    <t>In September 2023, the Basic Integration Education/IGU (introduced 2016) was prolonged. Legal basis: Act on Basic Integration Education no. 623 of 08.06.2016. An IGU program lasts two years and consists of both internship at a company and education. The training in IGU can consist of: labor market training, preparatory adult education, general adult education, single subjects and Danish language courses. Amendments adopted in 2023: Expansion of the target group to include all groups of reunified family members between the ages of 18-50 who have had residence in Denmark of up to 20 years. 2) Existing bonus to companies included in the igu-scheme is continued. The bonus scheme for private employers who employ students through the vocational training track (egu-fgu bonus scheme) is extended until 31 December 2027. The purpose of this is to ensure continued parallelism with the bonus scheme in the igu-scheme.</t>
  </si>
  <si>
    <t xml:space="preserve">Reference and news from the Ministry on the extension of the IGU program: https://uim.dk/nyhedsarkiv/2023/september/ny-aftale-skal-faa-flere-udlaendinge-i-arbejde/
 </t>
  </si>
  <si>
    <t>A and C have equal access to employment, cf. Section 14 (subsection 3 and 4) of the Aliens Act Section 9a in the Aliens Act is the legal basis for the job schemes through which non-EU nationals can apply for a residence permit based on an employment offer in Denmark. Current legal basis: Aliens Act no. 1079 of 10.08.2023.</t>
  </si>
  <si>
    <t>A and C have access to higher education and vocational training, and study grants under section 2b of the SU-loven (Lovbekendtgørelse no. 395 of 13.04.2023 om statens uddannelsesstøtte). Please not that according to the same legal basis, also some EU nationals can access study grants while being temporary residents, namely EU citizens that can be considered workers under the EU-rules on free movement.</t>
  </si>
  <si>
    <t>Integration Act, section 23: Recognized refugees and family-reunited third-country nationals have access to mentoring, upgrading of skills, trainee placement at a company, or employment with wage subsidies.  From 2024, the Basic Integration Education is extended to all recognized refugees and their family members between 18-50 years of age and with up to 20 years of residence in Denmark.</t>
  </si>
  <si>
    <t>All of the initiatives by SIRI mentioned above are still employed.</t>
  </si>
  <si>
    <t>The range of security benefits mentioned includes benefits that may intersect with some of the categories mentioned. Not sure if the score here is correct. E.g. Invalidity/old-age benefits require 10 years of residence in Denmark for non-EU nationals (Act on social pension, Bekendtgørelse af lov om social pension, LBK nr 527 of 25.04.2022). Section 2 in the act on social pension establishes that social pension is conditional upon having Danish citizenship or, for migrant workers, 10 years of residence in Denmark  between the age of 15 and the state retirement age, of which at least 5 years must be immediately prior to the date from which the pension is granted. If the application is submitted after the state retirement age, the residence requirements must be met at the state retirement age.These requirements do not apply to refugees. Entitlement to social benefits such as child and youth benefit requires that the applicant has had at least 6 years of residence or employment in Denmark, Greenland or Faroe Islands in a 10-year reference period prior to the application (EU nationals can add periods of residence and work within Europe in order to get children benefits). These requirements do not apply to refugees. C: For renewal of spousal family reunion permit, neither sponsor nor spouse must have received any public benefit (not included are student grants, unemployment benefits, sick leave, parental leave or housing benefits).</t>
  </si>
  <si>
    <t>0 - bb28a=0 &amp; bb28b=0 
17 - bb28a=50 &amp; bb28b=0
33 - bb28a=0 &amp; bb28b=50
50 - bb28a=50 &amp; bb28b=50
67 - bb28a=0 &amp; bb28b=100</t>
  </si>
  <si>
    <t>0 - bb29a=0 &amp; bb29b=0 &amp; bb29c=0
10 - bb29a=0 &amp; bb29b=50 &amp; bb29c=0
20 - bb29a=0 &amp; bb29b=100 &amp; bb29c=0
30 - bb29a=0 &amp; bb29b=0 &amp; bb29c=50
40 - bb29a=0 &amp; bb29b=50 &amp; bb29c=50</t>
  </si>
  <si>
    <t xml:space="preserve">According to section 9 (1) no. 1, litra e of the Aliens Act (LBK no. 1079 of 10.08.2023), foreigners who are not EU or Nordic nationals can first apply for family reunfication after 3 years of having obtained permanent residence status (recognized refugees are exempt from residence requirements). The residence requirement can add up to 11 years of residence in Denmark, as the general requirement to apply for permanent residence is 8 years of continuos residence. Turkish nationals can apply after 1 year of having obtained a permanent residence permit. </t>
  </si>
  <si>
    <t>Not allowed or by discretion/exception for both a) and b) since 2002.</t>
  </si>
  <si>
    <t>According to section 9 (34) of the Aliens act, the spouse moving to Denmark has to pass a Danish language test called "Danskprøve på A1 niveau" within 6 months of arriving to Denmark and being registered as living in the country in order to maintain their residence permit. According to section 9 (35) of the Aliens act, the family reunited spouse has to pass a Danish language test called "Danskprøve på A2 niveau" within 9 months of arriving to Denmark in order to maintain their residence permit.</t>
  </si>
  <si>
    <t>Introduction program as foreseen in the Integration Act (Chapter 4 of Act 1146 of 22.06.2020), including employment-oriented offers and Danish language courses within the municipality of residence within the first month of residence.</t>
  </si>
  <si>
    <t>According to section 9 (8) of the Aliens Act, the sponsor living in Denmark must provide evidence of having passed a test of proficiency in Danish language (Dansk Prøve 3). See answer to bb28a for requirements for the family reunited spouse movind to Denmark. Evidence of passing the test must be documented.</t>
  </si>
  <si>
    <t>For the sponsor, language requirement of proficiency in Danish is at B2 level of the CEFR. For the family reunited individual, the level required to maintain the residence permit is A1 after 6 months, and A2 after 9 months of residence in Denmark.</t>
  </si>
  <si>
    <t>To apply for family reunification, the spouse must be actively employed for at least 5 years (integration requirement in section 9 (8) of the Aliens Act). This is not a formal integraation course, but a diffent type of integration requirement (along with other specified by law).</t>
  </si>
  <si>
    <t>To apply for family reunification, the sponsor must be able to support their spouse (section 9 (3) of the Aliens Act); must post a collateral in the form of a financial guarantee (section 9 (4) of the Aliens Act); and must be self-supporting and not have received certain forms of social benefits (section 9 (5) of the Aliens Act).</t>
  </si>
  <si>
    <t xml:space="preserve">The sponsor must be living in an independent residence, and the residence must not be placed in an area mentioned on the housing requirement list (previously known as "ghetto areas") (sections 9 (6) and (7) of the Aliens Act). </t>
  </si>
  <si>
    <t>Initial duration of permit is normally 2 years, after which it can be renewed upon presenting evidence of having passed language tests, still being married and meeting the general requirements of self-sufficiency and accomodation.</t>
  </si>
  <si>
    <t>Consideration in each individual cases that can include elements of A, B, and C.</t>
  </si>
  <si>
    <t>No. After the first 2 years, the spouse's residence permit can normally be extended by 4 years. When they have had a residence permit in Denmark for at least 6 years, their residence permit can then be extended by 6 years at a time.</t>
  </si>
  <si>
    <t>a) According to an executive order (Bekendtgørelse om folkeskolens undervisning i dansk som andetsprog no. 1053 of 29/06/2016), bilingual pupils, as to say children who have a mother tongue other than Danish, in need of language support must be taught Danish as a second language upon admission to primary school in connection with the start of school or later in the school career (section 1). For bilingual pupils who are able to participate in the regular classroom instruction, Danish as a second language is taught as an integral part of the regular classroom instruction 1) as a dimension of mainstream education, or 2) in special classes or as individual instruction (section 3).</t>
  </si>
  <si>
    <t>Same answer as cb51a</t>
  </si>
  <si>
    <t>Compulsory education: The obligation to receive education includes, according to section 32 of the Public Education Act (LBK no. 90 of 29.01.2024) any child living in Denmark for at least six months - with the exception of asylum seekers, who receive education under the rules of the Aliens Act. Compulsory education begins on August 1 of the calendar year in which the child turns six years old and ends on July 31 at the end of 9th grade education - that is, 10 years of education in primary school. Compulsory education ends on July 31 of the calendar year in which the child turns 17. Non compulsory education can only be accessed with a valid residence permit in Denmark.</t>
  </si>
  <si>
    <t>General support and guidance for foreign students as for native students. Refugees between 18-25 can get support for entering higher education according to section 16a in the Integration act. The provision entails that as step 1, the local council must instruct the migrant to propose, within a specified deadline, one or more relevant programs to which they can apply for admission; that as step 2, the local council must instruct the migrant to apply for admission to one or more of the proposed programs within a specified deadline; and that as step 3, the foreign national has a duty to commence and complete the program.</t>
  </si>
  <si>
    <t xml:space="preserve">To the best of my knowledge, advice and guidance is provided locally by schools, municipalities and general websites (such as https://www.ug.dk/ - Education guide published by the Ministry of Children and Education). </t>
  </si>
  <si>
    <t xml:space="preserve"> b) The Act on Day Care,  sections 44a-44g establishes testing and language learning for daybcare pupils: 1) mandatory test of language proficiency for small children (3 or 2 year old) and 2) mandatory learning offer for 1-year-old children living in vulnerable housing areas. Mandatory learning offer for 1-year-old children in vulnerable areas: children in the target group must attend 25 hours per week and participate in the child community on equal grounds with the other children. Legal basis: Dagtilbudsloven, LBK n0. 55 of 17.01.2024 om dag-, fritids- og klubtilbud m.v. til børn og unge.</t>
  </si>
  <si>
    <t xml:space="preserve">a) The Danish education system is based on self-governing institutions and an independent, decentralised responsibility for education. b) Teachers who work withmultilingual pupils have to get a specialization in 'Danish as a second language', which can be obtained by taking a diploma of 60 ECTS forcusing on pedagogy, language evaluation, evaluation, and so forth, all connected to teaching Danish as a second language.  c) The quality of higher education degrees and institution in Denmark is monitored by the Accreditation institution (https://akkr.dk/en/). </t>
  </si>
  <si>
    <t>Teaching and homework support is offered by voluntary associations. Only young recognized refugees (between 18 and 25 years of age) are offered financial support via the Integration Act (section 16a), when they are included in the self-sufficiency and repatriation program in a municipality.</t>
  </si>
  <si>
    <t>Intercultural education not included in curriculum, or intercultural education does not include appreciation of cultural diversity: local initiatives may be included in school curricula following the principle of self-governance in the Danish educational system.</t>
  </si>
  <si>
    <t xml:space="preserve"> A or B only ad hoc / project basis</t>
  </si>
  <si>
    <t>Section 1 of Consolidation act nr. 1381 of 05/12/2024 on municipal and regional elections (Lovbekendtgørelse 2024-12-05 nr. 1381 om kommunale og regionale valg) changed by Act 174/2019 from 2020 - so that foreign nationals who are neither Nordic citizens nor citizens of one of the other Member States of the European Union (third-country nationals) must in future have been permanently resident in the realm without interruption for the last 4 years prior to election day as a condition for the right to vote in municipal and regional elections. The change does not affect the current requirement that a third-country national must have been permanently and continuously resident in the realm for a period prior to the election day.  There has been a change in 2019 from 3 to 4 years.</t>
  </si>
  <si>
    <t>The establishment of the local integration councils ("integrationsråd") in municipalities is regulated by the Integration act (Lovbekendtgørelse nr. 1 of 01.01.2020 om integration af udlændinge i Danmark). The Council for Ethnic Minorities was previously a consultative body to the Minister of Immigration and Integration, now replaced by the National Integration Council ("Det Nationale Integrationsråd"). The primary task of the National Integration Council is to advise the Minister for Immigration and Integration on issues concerning integration efforts in Denmark. The Council is  composed of 14 members, 5 of whom are appointed by the Minister for Immigration and Integration, including the Chairman.</t>
  </si>
  <si>
    <t>The Council for Ethnic Minorities is replaced by the National Integration Council (Act no. 2623 of 28.12.2021; section 43 of the Integration Act, LBK 1146 of 22.06.2020).</t>
  </si>
  <si>
    <t>Policy of information on elections in several foreign languages published in 2021 by the Council of Ethnic Minorities (now National Integration Council): ‘Your vote does make a difference’ https://dnir.dk/publikationer/det-er-dit-valg-2021</t>
  </si>
  <si>
    <t>The National Integration Council (https://dnir.dk/) tries to find long-term solutions to existing problems in the Danish integration efforts. The Council does this through recommendations and policy papers, letters to the editor, feature articles and press releases. In addition, the Council advises the Minister of Immigration and Integration on issues concerning refugees, immigrants and integration.</t>
  </si>
  <si>
    <t>Section 1 in the act on municipal and regional elections, § 1 (Bekendtgørelse af lov om kommunale og regionale valg, LBK no. 6 of 08.01.2024) elections establishes that a migrant who has had their residence in Denmark with no interruption for four years prior to the election (over the age of 18) has the right to vote and stand for elections in municipal and regional elections. There has been a change in 2019 from 3 to 4 years.</t>
  </si>
  <si>
    <t>Equal access with nationals (no restrictions imposed by government).</t>
  </si>
  <si>
    <t>8 years of residence as a general requirement. In some cases, 4 years of residence as a requirement if the foreigner fulfils a number of other requirements (4 supplementary requirements on top of the basic requirements: 1) pass the test of Danish language 3 (B2 level in the CEFR), 2) hold active, regular full-time employment for 4 years, 3) pass the active citizen exam or display active citizenship; 4) annual average income above a certain amount. Legal basis for requirements for permanent residence permit in Denmark: section 11 in the Aliens Act.</t>
  </si>
  <si>
    <t xml:space="preserve">Obligatory passing of the Danish language test 2 (Prøve i Dansk 2 - B1 level in the CEFR), or a Danish exam of an equivalent or higher level. </t>
  </si>
  <si>
    <t>The foreigner must hold regular, full-time employment or been self-employed in Denmark for at least 3 years and 6 months during the 4 years prior to the date the Immigration Service reaches a decision about their application for permanent residence. Moreover, the foreigner may not have any overdue public debts and may not have received certain social benefits within four years of applying for a permanent residence permit.</t>
  </si>
  <si>
    <t>When a foreigner achieves permanent residence permit, there will not be a set duration of validity of the permit. The permit can only be rescinded in cases of criminal activity, fraud, or longer period of stay abroad.</t>
  </si>
  <si>
    <t>No need for renewal - see answer under eb88.</t>
  </si>
  <si>
    <t>The permanent residence permit shall not be renewed, but a foreigner can lose their residence permit in Denmark if they live outside of the country for a period of less than 2 years. If the foreigner has intention on coming back to Denmark after a period longer than two years, they have to apply to maintain their residence status before leaving the country. The permission to maintain the permanent residence status is at the discretion of the authorities.</t>
  </si>
  <si>
    <t>Obtaing a permanent residence permit entails a widening of access to certain social benefits (e.g. study grants, invalidity benefits), while other may still be dependent on employment situation (unemployment benefits, maternity benefits), citizenship status (old age pension, see answer under question ad18) or personal wealth (social assistance).</t>
  </si>
  <si>
    <t>New Circular Letter no. 9461 of June 17, 2021 on Naturalization (still in force) tightened the requirements for residence - description below.</t>
  </si>
  <si>
    <t>The economic requirements were tightened with the adoption of a new circular on naturalisation (still in force).</t>
  </si>
  <si>
    <r>
      <t>New Circular Letter no. 9461 of June 17, 2021 on Naturalization.</t>
    </r>
    <r>
      <rPr>
        <sz val="9"/>
        <rFont val="Calibri"/>
        <family val="2"/>
        <scheme val="minor"/>
      </rPr>
      <t> </t>
    </r>
    <r>
      <rPr>
        <sz val="9"/>
        <rFont val="Arial"/>
        <family val="2"/>
      </rPr>
      <t>The agreement of April 20, 2021 entails, among other things, a tightening of the requirement of good character, so that an applicant who has been sentenced to conditional or unconditional imprisonment, or measures under Chapter 9 (other measures than imprisonment, such as rehab treatment, detention in psychiatric ward, and other treatment sentences) of the Danish Criminal Code must in future be excluded from becoming a Danish citizen.</t>
    </r>
  </si>
  <si>
    <t>Legal basis: Constitutional Act, Section 44 (“Acquisition of Danish nationality by means of naturalisation requires an Act of the Parliament”) and Circular Letter no. 9461 of June 17, 2021 on Naturalization (list of criteria &amp; requirements to be met to be naturalized). Residence requirements (residence must be uninterrupted, except for short stays abroad due to study, work or short holiday periods): 9 years, or 8 years for recognized refugees, 2 years for Nordic citizens (nationals of Finland, Iceland, Norway and Sweden), 6 years for spouses of Danish nationals where the spouse has been Danish for at least 3 years. A 2-year marriage requires 7 years of residence in Denmark, and a 1-year marriage requires 8 years of residence. Applicants who have received a significant part of their general or vocational education in Denmark can be admitted to a citizenship bill after 5 years of uninterrupted residence in Denmark. It is a condition that the education is of a Danish nature and has lasted for at least 3 years, unless it has previously been completed with an exam or similar test. Applicants of Danish descent can be admitted on a bill for granting citizenship after 2 years of uninterrupted residence in Denmark when the following conditions are all met: 1) One or both of the applicant's parents were Danish citizens at birth, 2) The applicant has entered the country before the age of 20, 3) The applicant has reached the age of 18 when the application is submitted.</t>
  </si>
  <si>
    <t>Section 10 of the Circular Letter on Naturalisation establishes that applicants who entered Denmark before the age of 15 can apply for citizenship when they have turned 18. It is a condition that any education the applicant has received during their stay in Denmark is of a Danish nature. Section 17 of the Circular Letter on Naturalisation states that in accordance with the 1989 UN Convention on the Rights of the Child, applicants who were born stateless in Denmark can be included on a bill for granting citizenship without meeting the general conditions for naturalization, though under the condition that the application for citizenship is submitted before the age of 18 and that the applicant is resident in Denmark.</t>
  </si>
  <si>
    <t>Danish Language Education Test 3 (Prøve i Dansk 3, equivalent to the B2 level in the Common European Framework of Reference for Languages). Other test that may be equivalent are listed in Appendix 3.a to the Circular letter on Naturalisation. For applicants who meet the self-support requirement and have not received the public assistancefor  the past nine years. 1, for a total period of more than 3 months, Danish language proficiency can be documbented by providing proof of having passed the Danish Language Education Test 2 - B1 level in the CEFR - or one of the tests listed in Appendix 3.b.</t>
  </si>
  <si>
    <t>According to section 24, subsection 3, applicants for Danish citizenship must pass a citizenship test. Some applicants with long-term physical, mental, sensory or intellectual disability may be exempted under certain conditions.</t>
  </si>
  <si>
    <t>Three economic requirements are listed: The applicants  they must not have any debts owed to the state (section 22 of the Circular on Naturalisantion); they must be self-supporting for at least 2½ of the 5 years prior to the application and not have received any social benefits during this time (section 23); and they must have been actively employed in Denmark for at least 3½ years out of the previous 4 years (section 23A).</t>
  </si>
  <si>
    <t>In order to qualify for naturalization, applicants must not have been convicted of any serious crime, i.e., they must not have been sentenced to conditional or unconditional imprisonment, or measures under Chapter 9 (other measures than imprisonment, such as rehab treatment, detention in psychiatric ward, and other treatment sentences) of the Danish Criminal Code. Moreover, according to section 19 of the Circular on Naturalisation, applicants are required to declare that they have not committed any serious criminal offence in Denmark or abroad, and undergo a waiting period if convicted of less serious criminal offences (such as traffic violations, violations of the Aliens act, or convictions for social fraud; the length of the waiting period depends on the type of criminal offence committed).</t>
  </si>
  <si>
    <t>No - requirement to renounce former citizenship was repealed in 2015.</t>
  </si>
  <si>
    <t xml:space="preserve"> Act on ethnic equal treatment (Lovbekendtgørelse om etnisk ligebehandling, LBK nr. 438 of 16.05.2012): prohibition of discrimination on account of race and ethnic origin. Labour Market Discrimination Act (Lovbekendtgørelse no. 399 of 05.04.2024 om forbud mod forskelsbehandling på arbejdsmarkedet mv): prohibition of discrimination on the labour market on account of race, skin colour, religion or belief, political opinion, sexual orientation, age, disability, national, social or ethnic origin. </t>
  </si>
  <si>
    <t>A) and B). Nationality is not a prohibited ground of discrimination.</t>
  </si>
  <si>
    <t>Nationality is not a prohibited ground of discrimination. The Act on Equal Treatment prohibits discrimination in primary and secondary education on account of race and ethnic origin. The unwritten public principle of equality and objectivity prohibits discrimination on account of religion and belief within public education. In private primary and secondary schools there is no prohibition of discrimination on account of religion and belief. 
The university act does not discriminate between migrants and citizens in regards to admission at higher education institutions. Admission requirements are set by ministerial orders and differ from institution to institution, but only focus on qualifications and language requirements. Legal basis: University act (Lovbekendtgørelse om universiteter no. 391 of 10.04.2024).</t>
  </si>
  <si>
    <t xml:space="preserve">Nationality is not a prohibited ground of discrimination. The act on ethnic equal treatment prohibits discrimination in social protection on account of race and ethnic origin. The unwritten public principle of equality and objectivity prohibits discrimination on account of religion and belief with regard to public social protection. In case of private sector social protection there is no prohibition of discrimination on account of religion and belief.  </t>
  </si>
  <si>
    <t>Nationality is not a prohibited ground of discrimination. Discrimination in access to goods and services is prohibited by the act on ethnic legal treatment - but only with regard to race, skin colour, national or ethnic origin, belief or sexual orientation. The act on social housing (Lovbekendtgørelse nr. 1343 of 24.11.2023 om almene boliger m.v.) regulates access for vulnerable groups of people residents in Denmark. The act on ethnic legal treatment protects against discrimination on account of race and ethnic origin and is enforced also as regards social housing. Only migrants with a valid residence permit in Denmark can apply for being included on a waiting list for social housing – temporary and irregular migrants are therefore excluded. Section 7 in the Danish health act (LBK nr. 247 of 12.03.2024, Sundhedsloven) grants equal and universal access to health care for all resident with are registered in the Danish civil registration system on the basis of a valid residence permit. Section 80 in the Danish health act provides that all non-residents staying in Denmark are entitled to emergency hospital care free of charge (cases of acute illness, or accident etc.) All other healthcare services must be paid for by the migrant or their insurance. In order to become a resident with access to universal health care, a migrant has to hold a residence permit that lasts more than three months, and have a fixed place of abode in Denmark on the basis of a legal permission to stay.</t>
  </si>
  <si>
    <t>A) The Danish Procedure Code, Chapter 10 (Bekendtgørelse af lov om rettens pleje, LBK no. 250 of 04.03.2024). Chapter 10 in the Danish Procedure Code establishes that the public prosecution together with the police has a duty to investigate any crime that occurs on Danish territory, irrespective of whether the offer was a migrant. Other acts that protect the principle of equality of treatment: Act on equal treatment on the basis of gender on the labour market (Lovbekendtgørelse no. 645 of 08.06.2011 om ligebehandling af mænd og kvinder med hensyn til beskæftigelse mv); Act on Prohibition of Discrimination on account of Race; Act on the Board for Equal treatment (Lovbekendtgørelse no. 1230 of 02.10.2016 om Ligebehandlingsnævnet); Labour Market Discrimination Act. B) In the preparatory works to the Act on Ethnic Equal Treatment it is stated that the Danish Institure for Human Rights which originally handled the administrative procedures, should follow the inquisitorial principle and ensure that sufficient information was gathered. The shifting of the burden of proof is therefore not possible in administrative procedures. The Board of Equal Treatment (Ligebehandlingsnævnet) treat complaints for discrimination on the basis of shared burden of proof, which means that evidence of the circumstances of the alleged discrimination must be produced in order to have a finding in favour of the complainant C) The Danish Institute for Human Rights as appointed Specialized Equality Body, may assist with legal advice to victims of discrimination, but do not engage on behalf or in support of the victim. D) b applies.</t>
  </si>
  <si>
    <t xml:space="preserve">A and B apply. The Board of Equal Treatment has existed since January 2009 (Act on Board of Ethnic Treatment). It has replaced the "old" Board for Ethnic Equal Treatment and the Sex Equality Board. The Board of Equal Treatment deals with complaints related to discrimination based on gender, race, colour, religion or belief, political views, sexual orientation, age, disability or national, social or ethnic origin within the labour market (outside the labour market: complaints on discrimination based on gender, race, and ethnic origin). Decisions made by the Board are final and binding for both parties. The Board bases its decisions on written information received from the complainant, the defendant (the person/event complained about) and the secretariat. The Board publishes its decisions in an anonymized form (http://ligebehandlingsnaevnet.dk). Also in 2012 the Danish Institute for Human Rights was re-established as a separate and independent institution. The aim was to strengthen and clarify the position of the Institute as a National Human Rights Institute (NHRI) in accordance with the UN Paris Principles. The Act on “The Institute for Human Rights – The National Human Rights Institute of Denmark” was adopted on May 29, 2012 and entered into force on January 1, 2013. </t>
  </si>
  <si>
    <t xml:space="preserve">The Danish Institute for Human Rights is appointed as Specialized Equality Body according to article 13 in EU directive 2000/43/EC. The Institute carries out the work of the specialised equality agency while the Board of Equal Treatment is an administrative complaints mechanism. The Danish Institute gives independent legal advice to victims of discrimination in accordance with section 10 of the Danish Act on Ethnic Equal Treatment. </t>
  </si>
  <si>
    <t>None.</t>
  </si>
  <si>
    <r>
      <t xml:space="preserve">Please refer to answer under 147a. Undocumented migrants can be treated for acute illness, but not as regular patients at a public clinic. The Red Cross offers patient care to undocumented migrants on a voluntary basis, see </t>
    </r>
    <r>
      <rPr>
        <sz val="10"/>
        <rFont val="Symbol"/>
        <family val="1"/>
        <charset val="2"/>
      </rPr>
      <t>&lt;</t>
    </r>
    <r>
      <rPr>
        <sz val="10"/>
        <rFont val="Calibri"/>
        <family val="2"/>
      </rPr>
      <t>https://en.rodekors.dk/get-help/health-clinic</t>
    </r>
    <r>
      <rPr>
        <sz val="10"/>
        <rFont val="Symbol"/>
        <family val="1"/>
        <charset val="2"/>
      </rPr>
      <t>&gt;.</t>
    </r>
    <r>
      <rPr>
        <sz val="10"/>
        <rFont val="Aptos Narrow"/>
        <family val="2"/>
      </rPr>
      <t xml:space="preserve"> The clinic does not provide services to students or tourists (these would normally either have a permission to stay and access to health services, or an insurance to cover the costs of any health service). </t>
    </r>
  </si>
  <si>
    <t xml:space="preserve">Now there is also information for legal residents on their website so 67 is justified. Could be after covid.  </t>
  </si>
  <si>
    <t>Healthcare interpretation services was free until 2018/2019, when an amendment to the law introduced a fee for immigrants who have lived in Denmark for three years or more when receiving interpreter services during healthcare visits (section 2 of the Executive Order Bekendtgørelse on interpreting services under the Health Act, BEK no. 855 of 23.06.2018). When a doctor deems it necessary, according to section 1, an interpreted will be appointed, and will be free of charge for newly arrived foreigners (under 3 years of residence in Denmark).</t>
  </si>
  <si>
    <t>A person who resides in Denmark has the right to free hospital treatment. The basic principle of the Danish welfare system is that all citizens have equal rights to social security. The majority of healthcare services are financed by general taxes and mainly provided free of charge. Some services (e.g. dentist, physiotherapy, psycotherapy) foresee a service fee.</t>
  </si>
  <si>
    <t>A legal migrant will be provided with a national identity number and card (CPR-number) which also functions as a health card (sundhedskort). A. Administrative demands for documents which may be difficult for migrants to produce. Examples of A: proof of low income on the basis of tax returns; identity documents available only from the police; proof of address from local authority records – all of these are difficult to produce without a valid residence permit.</t>
  </si>
  <si>
    <t>The Danish Immigration Service covers basic, necessary health care expenses for asylum seekers. Asylum seekers living in an asylum centers have access to a health clinic where a nurse and a doctor can be contacted by appointment. Access to healthcare is limited to urgent and pain-relieving treatment. Asylum seekers are not entitled to preventive and planned treatment, and they must apply for a collateral/guarantee from the Immigration Service to cover treatments such as surgery or psychiatrist visits. Necessary medication is provided free of charge. Children have full access to healthcare, but still only through the clinics in the asylum centers. Dental visits are also limited to pain relief and necessary maintenance.</t>
  </si>
  <si>
    <t>In order to access health services, asylum seekers must be registered and living in an asylum center, where they normally reside while their case is pending. A decision of urgency is required for providing health care to asylum seekers.</t>
  </si>
  <si>
    <t>Condition of residence permit for receiving patient care, preventive care, and treatment in the private sector if the public sector does not have adequate resources. As regards acutue illness, everyone in Denmark, including undocumented migrants, has the right to free treatment in the public sector. According to section 80 of the Health Act (Lovbekendtgørelse no. 247 of 12.03.2024, Sundhedsloven) and section 5 in the Executive Order on the Right to Hospital Treatment (Bekendtgørelse no. 657 of 28.06.2019 om ret til sygehusbehandling m.v.), all persons who are not resident in Denmark are entitled to emergency hospital treatment etc. in the region of residence in the event of an accident, sudden illness and childbirth or exacerbation of chronic illness etc. In practice, this means that it is free of charge to be treated for acute illness through emergency room visits, emergency consultations at public hospitals or emergency hospitalization, including emergency hospitalization for sudden exacerbation of a chronic condition. Since 2011 the Danish Red Cross has opened three health clinics for undocumented migrants run by volunteers, that assisted thousands of patients (https://en.rodekors.dk/get-help/health-clinic, https://www.rodekors.dk/sites/rodekors.dk/files/2022-05/%C3%85rsrapport%202021%20Sundhedsklinikken.pdf). Public available information on how to access health services as a foreigner in Denmark:  
https://lifeindenmark.borger.dk/healthcare/medical-treatment/do-you-need-medical-treatment-during-a-temporary-stay-in-denmark
https://en.stps.dk/citizens/how-do-i-get-help-in-case-of-illness-in-denmark-the-ehic (European Health Insurance Card)</t>
  </si>
  <si>
    <r>
      <t xml:space="preserve">Information on public health issues (e.g. the coronavirus) is offered by the two Immigrant Clinics in Denmark and hospitals for all groups. Not all information on health education and promotion is translated. The information offered does not discriminate between the migrant groups, but in general there is not much available that is directled at migrants. The website </t>
    </r>
    <r>
      <rPr>
        <sz val="10"/>
        <rFont val="Symbol"/>
        <family val="1"/>
        <charset val="2"/>
      </rPr>
      <t>&lt;</t>
    </r>
    <r>
      <rPr>
        <sz val="10"/>
        <rFont val="Calibri"/>
        <family val="2"/>
      </rPr>
      <t>https://www.helbredsprofilen.dk/&gt; offers information in Danish, English, Arabic, German, and Turkish.</t>
    </r>
  </si>
  <si>
    <t>The Immigrant Clinics in Odense and Copenhagen offer help to people with an immigrant background who have many long-standing health problems that remain unresolved despite many investigations. They provide a tailored approach, culturally sensitive, and translation services free of charge where necessary.</t>
  </si>
  <si>
    <t xml:space="preserve">The Danish Research Centre for Migration, Ethnicity and Health (mesu.ku.dk) is a research center at the University of Copenhagen which conducts research about the health of migrants and ethnic minorities, and which was established with the funding of a private foundation. The Danish Society for Immigrant Health (Dansk Selskab for Indvandrersundhed, https://indvandrersundhed.dk/) aims to promoting health in the broadest sense among refugees, immigrants and asylum seekers. It works to increase knowledge about the health and illness of immigrants (both adults and children) among the public and relevant organizations, institutions and authorities in Denmark, and promotes research and education in the field and contribute to improving the healthcare system's efforts to prevent, diagnose, and treat disease in the new population groups in Denmark and among their descendants.  </t>
  </si>
  <si>
    <t>Few immigrant clinics present in Denmark (in Odense and Copenhagen), please refer to answer under 159. Else, case by case approach.</t>
  </si>
  <si>
    <t>Do all TCNs have access to: 
a. Targeted training for TCNs other than generic language training (e.g. bridging courses, job specific language training, etc.)
b. Programmes to encourage hiring of TCNs (e.g. employer incentives, work placements, public sector commitments, etc.)</t>
  </si>
  <si>
    <t>Targeted measures to further the integration of TCNs into the labour market
a. National programmes to address labour market situation of migrant youth
b. National programmes to address labour market situation of migrant women</t>
  </si>
  <si>
    <r>
      <rPr>
        <b/>
        <sz val="10"/>
        <color theme="1"/>
        <rFont val="Calibri"/>
        <family val="2"/>
      </rPr>
      <t>100</t>
    </r>
    <r>
      <rPr>
        <sz val="10"/>
        <color theme="1"/>
        <rFont val="Calibri"/>
        <family val="2"/>
      </rPr>
      <t xml:space="preserve"> - All of them has access to both 1) and 2)
</t>
    </r>
    <r>
      <rPr>
        <b/>
        <sz val="10"/>
        <color theme="1"/>
        <rFont val="Calibri"/>
        <family val="2"/>
      </rPr>
      <t>67</t>
    </r>
    <r>
      <rPr>
        <sz val="10"/>
        <color theme="1"/>
        <rFont val="Calibri"/>
        <family val="2"/>
      </rPr>
      <t xml:space="preserve"> - All of them has access to 1) 
</t>
    </r>
    <r>
      <rPr>
        <b/>
        <sz val="10"/>
        <color theme="1"/>
        <rFont val="Calibri"/>
        <family val="2"/>
      </rPr>
      <t>33</t>
    </r>
    <r>
      <rPr>
        <sz val="10"/>
        <color theme="1"/>
        <rFont val="Calibri"/>
        <family val="2"/>
      </rPr>
      <t xml:space="preserve"> - A and (C or certain categories of B) has equal access to 1)
</t>
    </r>
    <r>
      <rPr>
        <b/>
        <sz val="10"/>
        <color theme="1"/>
        <rFont val="Calibri"/>
        <family val="2"/>
      </rPr>
      <t>0</t>
    </r>
    <r>
      <rPr>
        <sz val="10"/>
        <color theme="1"/>
        <rFont val="Calibri"/>
        <family val="2"/>
      </rPr>
      <t xml:space="preserve"> - Only A or none has equal access to 1) </t>
    </r>
  </si>
  <si>
    <r>
      <rPr>
        <b/>
        <sz val="10"/>
        <rFont val="Calibri"/>
        <family val="2"/>
      </rPr>
      <t>100</t>
    </r>
    <r>
      <rPr>
        <sz val="10"/>
        <rFont val="Calibri"/>
        <family val="2"/>
      </rPr>
      <t xml:space="preserve"> - Both (please specify content)
</t>
    </r>
    <r>
      <rPr>
        <b/>
        <sz val="10"/>
        <rFont val="Calibri"/>
        <family val="2"/>
      </rPr>
      <t>50</t>
    </r>
    <r>
      <rPr>
        <sz val="10"/>
        <rFont val="Calibri"/>
        <family val="2"/>
      </rPr>
      <t xml:space="preserve"> - One of these (please specify content)
</t>
    </r>
    <r>
      <rPr>
        <b/>
        <sz val="10"/>
        <rFont val="Calibri"/>
        <family val="2"/>
      </rPr>
      <t>0</t>
    </r>
    <r>
      <rPr>
        <sz val="10"/>
        <rFont val="Calibri"/>
        <family val="2"/>
      </rPr>
      <t xml:space="preserve"> - Only ad hoc (mainly through projects implemented by NGOs)</t>
    </r>
  </si>
  <si>
    <t>For (a limited number of TCN women), a spouse programme by Work in Estonia: https://workinestonia.com/spouse-programme/</t>
  </si>
  <si>
    <t>Residents with all temporary residence permits have access to the labour market (§ 259 of Aliens Act), however work permits are tied to the specific employer, there is a quota system for and there are additional conditions and requirements for short-term workers.</t>
  </si>
  <si>
    <t>Only Estonian citizens, and in some cases, EU citizens, can be civil servants. Only Estonian citizens can be appointed to a post related to the directing of the authorities, the exercise of state supervision, the national defence and judicial power etc. Only they can be e.g. patent agents, sworn translators, notaries etc. Only Estonian citizens can be persons whose responsibilities are related to aviation security, etc. There are no restrictions to working in the public sector as support staff or non-staff.</t>
  </si>
  <si>
    <t>Language requirements to some professions or areas of activities (e.g. B1 for the members of the board of NGO-s or heads of SME-s whose target group is servicing consumers e.g. catering or accomodation).</t>
  </si>
  <si>
    <t>All premanent, temporary and family reunion permit residents are eligible to unemployment services, including asylum seekers, refugees etc.</t>
  </si>
  <si>
    <r>
      <t xml:space="preserve">Equal access for all groups to both higher and vocational education. However, foreigner with work permit has to apply for study permit in order to enter higher/vocational training. No study </t>
    </r>
    <r>
      <rPr>
        <b/>
        <sz val="10"/>
        <rFont val="Calibri"/>
        <family val="2"/>
      </rPr>
      <t xml:space="preserve">loans </t>
    </r>
    <r>
      <rPr>
        <sz val="10"/>
        <rFont val="Calibri"/>
        <family val="2"/>
      </rPr>
      <t xml:space="preserve">for people with </t>
    </r>
    <r>
      <rPr>
        <u/>
        <sz val="10"/>
        <rFont val="Calibri"/>
        <family val="2"/>
      </rPr>
      <t>temporary</t>
    </r>
    <r>
      <rPr>
        <sz val="10"/>
        <rFont val="Calibri"/>
        <family val="2"/>
      </rPr>
      <t xml:space="preserve"> residence permits, but study allowances/grants for all groups. </t>
    </r>
  </si>
  <si>
    <t>The Estonian ENIC/NARIC (Academic Recognition Information Centre) evaluates foreign qualifications according to the Government of the Republic of Estonia Regulation No 89 of 6 April 2006 “Criteria and Procedures for Assessment and Academic Recognition of Foreign Qualifications and for Use of Title of Qualification Granted in Foreign Education System“. The assessment of foreign educational credentials by the Estonian ENIC/NARIC is free of charge.</t>
  </si>
  <si>
    <t>A. Job-specific trainings, including language trainings, available for all TCNs through Estonian Unemployment  Fund.
B. Employers are targeted with few different initatives to employ TCNs, including by the Unemployment Fund, Integration Foundation, Work in Estonia.   Not fully B</t>
  </si>
  <si>
    <t xml:space="preserve"> youth is targeted by general Unemployment Fund measures (e.g. "My First Workplace" programme)”.Work in Estonia programme for women still ongoing:  https://workinestonia.com/spouse-programme/</t>
  </si>
  <si>
    <t>No major changes, all are eligibile, including the parental leave system.</t>
  </si>
  <si>
    <t xml:space="preserve">0 - bb29a=0 &amp; bb29b=0 &amp; bb29c=0
10 - bb29a=0 &amp; bb29b=50 &amp; bb29c=0
20 - bb29a=0 &amp; bb29b=100 &amp; bb29c=0
30 - bb29a=0 &amp; bb29b=0 &amp; bb29c=50
40 - bb29a=0 &amp; bb29b=50 &amp; bb29c=50
50 - bb29a=0 &amp; bb29b=100 &amp; bb29c=50
60 - bb29a=0 &amp; bb29b=0 &amp; bb29c=100
70 - bb29a=0 &amp; bb29b=50 &amp; bb29c=100                                                                                                                                                                                                                                                                                                                                                                                                                                                                                                   80 - bb29a=0 &amp; bb29b=100 &amp; bb29c=100
90 - bb29a=50
100 - bb29a=100
</t>
  </si>
  <si>
    <r>
      <rPr>
        <b/>
        <sz val="10"/>
        <color theme="1"/>
        <rFont val="Calibri"/>
        <family val="2"/>
      </rPr>
      <t xml:space="preserve">100 - </t>
    </r>
    <r>
      <rPr>
        <sz val="10"/>
        <color theme="1"/>
        <rFont val="Calibri"/>
        <family val="2"/>
      </rPr>
      <t xml:space="preserve"> None measure OR voluntary information/course (please specify)
</t>
    </r>
    <r>
      <rPr>
        <b/>
        <sz val="10"/>
        <color theme="1"/>
        <rFont val="Calibri"/>
        <family val="2"/>
      </rPr>
      <t>50</t>
    </r>
    <r>
      <rPr>
        <sz val="10"/>
        <color theme="1"/>
        <rFont val="Calibri"/>
        <family val="2"/>
      </rPr>
      <t xml:space="preserve"> - Requirement to take an integration course
</t>
    </r>
    <r>
      <rPr>
        <b/>
        <sz val="10"/>
        <color theme="1"/>
        <rFont val="Calibri"/>
        <family val="2"/>
      </rPr>
      <t>0</t>
    </r>
    <r>
      <rPr>
        <sz val="10"/>
        <color theme="1"/>
        <rFont val="Calibri"/>
        <family val="2"/>
      </rPr>
      <t xml:space="preserve"> - Requirement to pass an integration test/assessment</t>
    </r>
  </si>
  <si>
    <t>§ 150 of the Aliens Act allows for parents or grandparents to settle with his or her adult child or grandchild who resides in Estonia if the parent or grandparent needs care which he or she cannot receive in the country of his or her location or in another country and if the permanent legal income of his or her child or grandchild who legally stays in Estonia ensures the subsistence of him or her in Estonia; and adult child to settle with a parent who resides in Estonia if the child is unable to cope independently due to health reasons or a disability.</t>
  </si>
  <si>
    <t>The Police and Border Guard Board sends foreigners who have been granted a residence permit or whose residence permit has been extended to participate in the voluntary adaptation programme with a A1 or A2 level language course. Learning Estonian is only compulsory for adult BIPs.</t>
  </si>
  <si>
    <t>Voluntary Settle in Estiona adaptation course.</t>
  </si>
  <si>
    <t>The spouse or registered partner is required to have permanent legal income that ensures the subsistence of the family in Estonia, or the joint permanent legal income of the spouses or registered partners must ensure the subsistence of the family in Estonia.</t>
  </si>
  <si>
    <t xml:space="preserve">In case an foreigner applies to settle with the spouse or registered partner who resides in Estonia, the family must have a registered place of residence and an actual dwelling in Estonia. No requirements on health or safety etc. In general, all dwellings in Estonia have to correspond to some criteria in terms of square meters per person etc, but this is covered by another law and not targeted to migrants, but all dwellings in Estonia. There is only a general stipulation that the person needs to have registered residence and actual dwelling in Estonian foreigners’ law (Aliens Act): “§ 140. Requirement for registered residence and actual dwelling (1) In case an alien applies to settle with the spouse or registered partner who resides in Estonia, the family must have a registered place of residence and an actual dwelling in Estonia.“ </t>
  </si>
  <si>
    <t>The period of validity of the residence permit may not exceed the period of validity of a residence permit of the spouse or registered partner for the purposes of settling with whom the residence permit was issued.</t>
  </si>
  <si>
    <t>Includes D: the legal income of the spouse, registered partner or the income of the family does not ensure subsistence of the family in Estonia.
Includes C:  the marriage or registered partnership has been terminated</t>
  </si>
  <si>
    <t>In case an alien has been issued a temporary residence permit to settle with the spouse or registered partner and has lived for at least three years in Estonia on this basis thereof, the alien may be issued a temporary residence permit for settling permanently in Estonia without the general procedure.</t>
  </si>
  <si>
    <t>The requirement for prior residence in Estonia is not applied  in case the family settles in Estonia together. In case of applying for a temporary residence permit to settle with the spouse or registered partner who is an alien, who has been granted a temporary residence permit for studies, the spouse or registered partner must have lived in Estonia based on a residence permit for at least two years (unless in PhD studies).   As the two year residence requirement only applies to students &amp; researchers (who generally face restricted temporary migration rules) and not to the general rule, it is best to keep the 100 score as MIPEX measures the general/most common residency requirements.</t>
  </si>
  <si>
    <r>
      <t xml:space="preserve">Additional vague stipulation: "In case a foreigner has been issued a temporary residence permit to settle with the spouse or registered partner and their marriage or registered partnership ends before three years have passed as of the issue of a residence permit but the obligation to leave Estonia of the foreigner </t>
    </r>
    <r>
      <rPr>
        <b/>
        <sz val="10"/>
        <rFont val="Calibri"/>
        <family val="2"/>
      </rPr>
      <t>would be clearly too burdensome for them</t>
    </r>
    <r>
      <rPr>
        <sz val="10"/>
        <rFont val="Calibri"/>
        <family val="2"/>
      </rPr>
      <t>, the foreginer may be issued a temporary residence permit for settling permanently in Estonia."
For the refusal or revocation of long-term residence permits, a following stipulation is in force, in the case the refusal relates to some specific reasons (e.g. threat to national security or submitting false information etc). In paragraph § 237 and 241 of the Aliens Act.
“(3) In case of the refusal to issue a residence permit for a long-term resident for the reason that the person my constitute a threat to public order or national security or has submitted false information or used deceit or an alien has been punished in Estonia for an intentional criminal offence against the state and his or her criminal record has not expired, the gravity or type of the offence committed by an alien or the threats related to the relevant person are considered, taking into account the length of the period of stay in Estonia of an alien and connections with Estonia and the county of origin.”</t>
    </r>
  </si>
  <si>
    <r>
      <rPr>
        <b/>
        <sz val="10"/>
        <color theme="1"/>
        <rFont val="Calibri"/>
        <family val="2"/>
      </rPr>
      <t>100</t>
    </r>
    <r>
      <rPr>
        <sz val="10"/>
        <color theme="1"/>
        <rFont val="Calibri"/>
        <family val="2"/>
      </rPr>
      <t xml:space="preserve"> - A or B required 
</t>
    </r>
    <r>
      <rPr>
        <b/>
        <sz val="10"/>
        <color theme="1"/>
        <rFont val="Calibri"/>
        <family val="2"/>
      </rPr>
      <t xml:space="preserve">50 - </t>
    </r>
    <r>
      <rPr>
        <sz val="10"/>
        <color theme="1"/>
        <rFont val="Calibri"/>
        <family val="2"/>
      </rPr>
      <t xml:space="preserve"> A or B offered extensively to teachers 
</t>
    </r>
    <r>
      <rPr>
        <b/>
        <sz val="10"/>
        <color theme="1"/>
        <rFont val="Calibri"/>
        <family val="2"/>
      </rPr>
      <t>0</t>
    </r>
    <r>
      <rPr>
        <sz val="10"/>
        <color theme="1"/>
        <rFont val="Calibri"/>
        <family val="2"/>
      </rPr>
      <t xml:space="preserve"> - A or B only ad hoc / project basis </t>
    </r>
  </si>
  <si>
    <t xml:space="preserve">B applies. The regulation of the Minister of Education and Research on intensive study of state language at higher education level stipulates that all students whose Estonian language skills are not at the required level can study Estonian intensively at HEIs. Furthermore, if a student with insufficient Estonian language skills studies Estonian intensively, his/her nominal study time lengthens up to one year. </t>
  </si>
  <si>
    <t>Information about education is available on the website of Ministry of Education and Research in Russian and English, explanatory videos about the Estonian education system in RU and EN, special national programmes on supporting the migrant children at school etc.</t>
  </si>
  <si>
    <t>Education Act ch 1 §4 part 3 guarantees Estonian language learning in all public education institutions that operate in languages other than Estonian. This provides language learing also for pupils at Russian speaking schools.</t>
  </si>
  <si>
    <t>Non-state language schools must provide pupils with a command of Estonian at the end of basic education that allows to continue education in Estonian (in the first year it meant one course in Estonian).</t>
  </si>
  <si>
    <t>There are standards for learning Estonian in schools operating in Russian: B1 level has to be reached by the end of basic education and B2 by the end of secondary education. 
Basic and Secondary Education National Curriculum gives precise learning agenda for each three year periods. The standards are monitored by the state.</t>
  </si>
  <si>
    <t>National level support of both, guideance as well as financial resources, including the support for new-migrant children.</t>
  </si>
  <si>
    <t xml:space="preserve">In the social science class (citizenship studies), at the high school level, the following in stipulated:
“High school social studies must align with the development of contemporary social sciences and the needs of society. Students acquire social literacy, meaning the knowledge, skills, and attitudes necessary to responsibly navigate a changing and multicultural environment.”
… and …
“Social studies shape the following values and attitudes in students: legality and personal responsibility, social justice and equal treatment of citizens, respect for human rights, appreciation of intellectual property, tolerance towards differences, respect for various cultures, a sustainable lifestyle, an orientation towards lifelong learning, and the condemnation of prejudices, including racism and xenophobia.”
link: https://www.riigiteataja.ee/aktilisa/1080/3202/3006/18m_gym_lisa6.pdf </t>
  </si>
  <si>
    <t>A applies. Education of interculturality is provided, but it is not required. Framework for Teachers´ Training does not include appreciation of cultural diversity and states just that the teacher has to be able to manage a multicutlural learning environment. The same is echoed in the Teachers Occupational Standard ch 2 (6). It states that a teacher has to take into consideration the multicultural learning environment. There are two universtities that mainly train teachers, Tallinn and Tartu University both offer multiculturality courses for teachers but they are not compulsory for all students willing to be teachers. In-service professional development training is offered by many institutions and can include the topic mentioned, but again just teachers at school with new-immigrants are kindly asked to address the thematic courses.</t>
  </si>
  <si>
    <t>Para. 3 of the Basic Schools and Upper Secondary Schools Act stipulates the fundamental values of general education schools, which include that "The socialisation of the new generation is based on the traditions of Estonian culture, common European values, and the recognition of the main achievements of world culture and research. People who have acquired general education are able to integrate into society and contribute to the sustainable social, cultural, economic and ecologic development of Estonian society.". This is combined with several national initiatives to further support the practial implementation of intercultural education/classroom in Estonian schools, especially after the arrival of UA refugees to Estonia after Russian invasion to UA in 2022.</t>
  </si>
  <si>
    <t xml:space="preserve">After the Russian aggression in UA, Estonia adopted a policy to complete the transition of Russian-language of instruction schools into Estonian language of instruction. This has brought along several initatives and financial stimuli to enter the teacher training in higher education (not explicitly targeted only to migrants, but these included), but also teaching the Estonian language to Russian-language school teacher. Also teachers starting to work in Easter-Estonia are paid with a bonus-coefficient. See more in https://hm.ee/uleminek 
Also campaings have been concluded, e.g. https://hm.ee/ulemineku-kampaania
Some further evidence, on the teacher training in University of Tartu college, ordered by the Ministry of Education:
“For the academic year 2023/2024, the number of study places at Narva College will increase in three curricula (compared to 2021):
Languages and Multilingualism in School (BA): 34 -&gt; 50 (+16 places)
Preschool Teacher in a Multilingual Learning Environment (BA): 34 -&gt; 69 (+35 places)
Language Teacher in a Multilingual School (MA): 25 -&gt; 60 (+35 places)”
https://narva.ut.ee/et/sisu/narva-kolledzis-suureneb-opetajakoolituse-oppekavadel-oppekohtade-arv </t>
  </si>
  <si>
    <r>
      <rPr>
        <b/>
        <sz val="10"/>
        <color theme="1"/>
        <rFont val="Calibri"/>
        <family val="2"/>
      </rPr>
      <t>0</t>
    </r>
    <r>
      <rPr>
        <sz val="10"/>
        <color theme="1"/>
        <rFont val="Calibri"/>
        <family val="2"/>
      </rPr>
      <t xml:space="preserve"> - No right to vote in local elections for foreign or non-EU citizens
</t>
    </r>
    <r>
      <rPr>
        <b/>
        <sz val="10"/>
        <color theme="1"/>
        <rFont val="Calibri"/>
        <family val="2"/>
      </rPr>
      <t>25</t>
    </r>
    <r>
      <rPr>
        <sz val="10"/>
        <color theme="1"/>
        <rFont val="Calibri"/>
        <family val="2"/>
      </rPr>
      <t xml:space="preserve"> - Local right to vote but with major restrictions (more than five years of residence, reciprocity, other special conditions or special registration procedure, or only in certain municipalities)
</t>
    </r>
    <r>
      <rPr>
        <b/>
        <sz val="10"/>
        <color theme="1"/>
        <rFont val="Calibri"/>
        <family val="2"/>
      </rPr>
      <t>50</t>
    </r>
    <r>
      <rPr>
        <sz val="10"/>
        <color theme="1"/>
        <rFont val="Calibri"/>
        <family val="2"/>
      </rPr>
      <t xml:space="preserve"> - Local right to vote (no restrictions: Equal rights as nationals or requirement of less than or equal to five years of residence) and no or restricted right to stand in local elections
</t>
    </r>
    <r>
      <rPr>
        <b/>
        <sz val="10"/>
        <color theme="1"/>
        <rFont val="Calibri"/>
        <family val="2"/>
      </rPr>
      <t>75</t>
    </r>
    <r>
      <rPr>
        <sz val="10"/>
        <color theme="1"/>
        <rFont val="Calibri"/>
        <family val="2"/>
      </rPr>
      <t xml:space="preserve"> - Local right to vote (no restrictions) and unrestrictered right to stand in local elections
</t>
    </r>
    <r>
      <rPr>
        <b/>
        <sz val="10"/>
        <color theme="1"/>
        <rFont val="Calibri"/>
        <family val="2"/>
      </rPr>
      <t xml:space="preserve">100 </t>
    </r>
    <r>
      <rPr>
        <sz val="10"/>
        <color theme="1"/>
        <rFont val="Calibri"/>
        <family val="2"/>
      </rPr>
      <t>- National right to vote (no restrictions): Equal rights as nationals after certain period of residence</t>
    </r>
  </si>
  <si>
    <t>Because of the restrictions on the right to vote</t>
  </si>
  <si>
    <t>Exception: EU-citzens (who are not EE citizens) can be a member in the political party, when they live permenently in Estonia.</t>
  </si>
  <si>
    <t>No evidence of regular meetings. Council for Ethnic Minorities by the Ministry of Culture: https://kul.ee/kultuuriline-mitmekesisus-ja-loimumine/rahvusvahemused-ja-rahvuskaaslased/rahvusvahemuste
Council on Roma issues by the Ministry of Culture: https://kul.ee/kultuuriline-mitmekesisus-ja-loimumine/rahvusvahemused-ja-rahvuskaaslased/romade-loimumise-noukoda</t>
  </si>
  <si>
    <t>No targeted information to migrants or TCNs, but general information provided in Russian and English on the voting/participation rights etc.</t>
  </si>
  <si>
    <t>Funding usually in a form of call for proposals by the Integration Foundation.</t>
  </si>
  <si>
    <t>Being resided in Estonia permanently for at least five years on the basis of temporary residence permit directly prior submitting an application for long-term residence permit. 
The period of residence in Estonia required shall include the period of the temporary stay outside Estonia, which does not exceed six consecutive months and in total ten months within five last years.</t>
  </si>
  <si>
    <t>LTR can be granted if person complies with the integration requirement, i.e.  has knowledge of the Estonian language at least at B1 level established by the language act or level corresponding to that.</t>
  </si>
  <si>
    <t>Has a permanent legal income which ensures his or her own subsistence in Estonia.
Is deemed to be an insured person for the purposes of the Health Insurance Act or a treaty of the Republic of Estonia.</t>
  </si>
  <si>
    <t>Unlimited period of validity of the permit.</t>
  </si>
  <si>
    <r>
      <rPr>
        <b/>
        <sz val="10"/>
        <rFont val="Calibri"/>
        <family val="2"/>
      </rPr>
      <t>Revocation of the residence permit for long-term resident</t>
    </r>
    <r>
      <rPr>
        <sz val="10"/>
        <rFont val="Calibri"/>
        <family val="2"/>
      </rPr>
      <t xml:space="preserve">: if staying outside member states of the European Union for </t>
    </r>
    <r>
      <rPr>
        <u/>
        <sz val="10"/>
        <rFont val="Calibri"/>
        <family val="2"/>
      </rPr>
      <t>twelve consecutive months.</t>
    </r>
    <r>
      <rPr>
        <sz val="10"/>
        <rFont val="Calibri"/>
        <family val="2"/>
      </rPr>
      <t xml:space="preserve"> https://www.riigiteataja.ee/akt/129062018075 Art 241.</t>
    </r>
  </si>
  <si>
    <t>Equal access with nationals.</t>
  </si>
  <si>
    <t>The minors who are born to parents or single parent, whom no state recognises under valid laws as its citizens or citizen (i.e. stateless), acquire Estonian citizenship by naturalisation automatically. 
PS! This stipulation is only valid to to parents with undetermined citizenship and does not apply to other nonnational parents.</t>
  </si>
  <si>
    <t>B1. Persons older than age 65 are expemted from the written part of the language assesment/test.</t>
  </si>
  <si>
    <t>Citizenship test aka the assessment of knowledge of the Constitution of the Republic of Estonia and of the Citizenship Act.</t>
  </si>
  <si>
    <t>Legal permanent income.</t>
  </si>
  <si>
    <t xml:space="preserve">Citizenship is not granted if the applicant has committed a criminal offence for which he/she was sentenced to imprisonment for more than one year and whose conviction has not been spent, or who has been repeatedly convicted of intentionally committed criminal offences. We stick to previous interpretation: Estonia has a very broad and specific list of public security grounds so the criminal record check in Estonia is actually quite burdensome. </t>
  </si>
  <si>
    <r>
      <t xml:space="preserve">A person who as a minor acquires Estonian citizenship as well as the citizenship of another state must renounce either their Estonian citizenship or their citizenship of the other state within three years after attaining the age of 18 years.
The requirement of release from the previous citizenship </t>
    </r>
    <r>
      <rPr>
        <b/>
        <sz val="10"/>
        <rFont val="Calibri"/>
        <family val="2"/>
      </rPr>
      <t>does not apply</t>
    </r>
    <r>
      <rPr>
        <sz val="10"/>
        <rFont val="Calibri"/>
        <family val="2"/>
      </rPr>
      <t xml:space="preserve"> to a person who applies for the acquisition or resumption of Estonian citizenship where that person has been granted international protection by the Republic of Estonia or another member state of the European Union, the situation in their country of origin has not changed significantly and, for that reason,</t>
    </r>
    <r>
      <rPr>
        <b/>
        <sz val="10"/>
        <rFont val="Calibri"/>
        <family val="2"/>
      </rPr>
      <t xml:space="preserve"> the person cannot renounce their previous citizenship</t>
    </r>
  </si>
  <si>
    <r>
      <t xml:space="preserve">A) Access for victims to all the following procedures: juridical civil, criminal, administrative 
B) Shift in burden of proof in judicial civil OR administrative procedures
C) Legal entities with a legitimate interest in defending the principle of equality may engage in proceedings on behalf OR in support of victims   
D) At least c, e and h of the following sanctions (below)
Sanctions include:           
a) financial compensation to victims for material damages      
b) financial compensation to victims for moral damages/ damages for injuries to feelings                                   
</t>
    </r>
    <r>
      <rPr>
        <b/>
        <sz val="10"/>
        <rFont val="Calibri"/>
        <family val="2"/>
      </rPr>
      <t xml:space="preserve">c) restitution of rights lost due to discrimination/ damages in lieu </t>
    </r>
    <r>
      <rPr>
        <sz val="10"/>
        <rFont val="Calibri"/>
        <family val="2"/>
      </rPr>
      <t xml:space="preserve">            
d) imposing positive measures on discrimination                                           
</t>
    </r>
    <r>
      <rPr>
        <b/>
        <sz val="10"/>
        <rFont val="Calibri"/>
        <family val="2"/>
      </rPr>
      <t xml:space="preserve">e) imposing negative measures to stop offending   </t>
    </r>
    <r>
      <rPr>
        <sz val="10"/>
        <rFont val="Calibri"/>
        <family val="2"/>
      </rPr>
      <t xml:space="preserve">                                        
f) imposing negative measures to prevent repeat offending                         
g) specific sanctions authorising publication of the verdict (in a non-judicial publication, i.e. not in documents produced by the court)        
</t>
    </r>
    <r>
      <rPr>
        <b/>
        <sz val="10"/>
        <rFont val="Calibri"/>
        <family val="2"/>
      </rPr>
      <t>h) specific sanctions for legal persons</t>
    </r>
  </si>
  <si>
    <t>Equal Treatment Act and Estonian constitution. 
Neither do include citizenship.</t>
  </si>
  <si>
    <t>Equal Treatment Act includes only race and ethnicity. However, constitution - in principle and in more implicit way - covers also religion and belief.</t>
  </si>
  <si>
    <t>All four apply, including c), e) and h)</t>
  </si>
  <si>
    <t>The Gender Equality and Equal Treatment Commissioner covers mainly nationality (ethnicity) and religion, but not citizenship.</t>
  </si>
  <si>
    <t xml:space="preserve">The body responsible for this area is Commissioner for Gender Equality and Equal Treatment (i.e. excluding the ombudsman i.e. the Chancellor of Justice), </t>
  </si>
  <si>
    <t xml:space="preserve">The Act covers both A (takes measures to promote equal treatment and gender equality) and B (analyses the effect of laws on the situation of persons classifiable on grounds of any characteristics; publishes reports on implementation of the principle of gender equality and equal treatment) This is 2017-2022: https://www.riigiteataja.ee/en/eli/ee/503052017002/consolide
This is 2022-ongoing: https://www.riigiteataja.ee/en/eli/ee/503052017002/consolide/current </t>
  </si>
  <si>
    <t>All legal migrants with a permanent residence permit are insured with compulsory health insurance by the same system as nationals (as long as the migrant is in employment and the social taxes are paid). Starting from September 2019 also workers with D-visa (valid up to one year) but without a residence permit are covered when they are registered by their employer (as long as the social taxes are paid). Having insurance cover (public or private) is a condition for receiving a residence permit in Estonia. The insurance has to cover any cost related to medical treatment during the period of validity of the residence permit that is applied for.</t>
  </si>
  <si>
    <t>For legal migrants, receiving compulsory health insurance is conditional upon registration with the Health Insurance Board. For that, they need to have a valid residence. Employers have to register every employee in the Health Insurance Board registry after the work contract has come into effect. The same procedure is required in case of locals.</t>
  </si>
  <si>
    <t>Option B: Asylum seekers are included in the system of health care coverage if they are accommodated in the reception centre or detention centre. In cases where asylum seeker is financially capable of paying himself/herself for the health care services or medicines, he/she is required to do so. In cases where asylum seeker does not live in the collective centre, he/she is not included in the health care coverage.</t>
  </si>
  <si>
    <t>At the accommodation centre for applicants for international protection,  access to medical examinations and necessary health services is arranged. Those living outside of the centre, the acces can be more complicated. This is not enough to increase score. See comment in previous evaluation: access to ID number and the discretion over ''financially capable of paying'' persists</t>
  </si>
  <si>
    <t>Although undocumented migrants have unconditional entitlement to emergency care access; then in order to access the health care system in general (e.g. GP), they need to have private insurance (or ID code).</t>
  </si>
  <si>
    <t>Undocumented migrants do not have an national ID number and/or registered residence, and this hinders their access to services.</t>
  </si>
  <si>
    <t>Asylum seekers and legal migrants. All asylum seekers have a requirement to attend Settle in Estonia mandatory introductory/adaptation course, which also covers health-care topics. All other legal migrants are sent to the course, but non-attendance is not sanctioned.</t>
  </si>
  <si>
    <t xml:space="preserve">Asylum seekers and legal migrants. If if we speak about the “health education” in a very strict sense, i.e. seminars or awareness campaigns of breast cancer or campaigns contra alcohol etc, there has been translation of materials in Russian (since most of migrants in Estonia from 2020 onwards are Ukranians, these materials were accessible to them). We don't consider information on how to access health services (e.g. Settle in Estonia programme) as part of this question, they are already considered in question 152c. </t>
  </si>
  <si>
    <t>For asylum seekers and refugees, an "essential translation service" is stipulated in the law. This does not apply to other legal migrants, they would have to pay if they are not Russian speaking. The availability of interpretation services only for asylum seekers and refugees is not sufficient for higher scores</t>
  </si>
  <si>
    <t>To a certain degree, the following options apply: B, C (and somewhat E, but not systematically and more ad-hoc)</t>
  </si>
  <si>
    <t>A and C. There is sporiadic research done in several of these categories, but not too extensively neither regularly.</t>
  </si>
  <si>
    <t>No change other than the special case of Ukrainian refugees, who receive free general health examination, emergency dental care, COVID-19 testing , COVID-19 vaccination and public health services.</t>
  </si>
  <si>
    <t>Special case of Ukrainian refugees, who receive temporary protection and hence, the ID number. To apply for temporary protection, a person must bring identity or other documents, such as a birth certificate. In the absence of a document, the Ukrainian Embassy, which issues a certificate of identity to Ukrainian citizens, must be contacted before applying for temporary protection. This is not enough to increase score. See comment in previous evaluation: access to ID number and the discretion over ''financially capable of paying'' persists</t>
  </si>
  <si>
    <t>More intense research after COVID and UA refugees.</t>
  </si>
  <si>
    <t>After the UA war in 2022, the health (including mental health) of  refugees (temporary protection) has been paid extra attention to, although this has not been yet fully mainstreamed throughout all organisations/institutions and is pretty much still ad hoc.</t>
  </si>
  <si>
    <t xml:space="preserve">On 01 March 2020 the 'Fachkräfteeinwanderungsgesetz' (Law for the Immigration of Qualified Workers) came into effect. It facilitates the immigration of foreigners who possess certain professional qualifications. It comes with the following changes: - People with vocational degrees have the opportunity to immigrate; - Under certain conditions qualified foreigners can come to Germany for a limited time for job search; - Work permits for qualified foreigners are not limited to professions in demand, - Permission to immigrate is also possible for vocational training and qualification measures, - Under certain conditions there can be a speeded procedure for the recognition of foreign degrees. (https://www.anerkennung-in-deutschland.de/html/de/pro/fachkraefteeinwanderungsgesetz.php#) </t>
  </si>
  <si>
    <t>With the 'Fachkräfteeinwanderungsgesetz' (Law on the immigration of qualified workers), the conditions for self-employment of foreign residents were lowered since 01 March 2020. According to Sec. 21 of the Residence Act (AufenthG), a residence permit for self-employment can be granted when the following conditions are fulfilled: - There is an economic or regional need for the service or product, - A positive impace on the economy can be expected, - The person has the required financial resources for implementing the business or a credit has been approved. A permission for self-employment can be granted to a foreign resident who holds a residence permit on another basis (e.g. dependent employment), if the above conditions are fulfilled. (https://www.buzer.de/gesetz/4752/a65954.htm)</t>
  </si>
  <si>
    <t xml:space="preserve">On 01 March 2020 the 'Fachkräfteeinwanderungsgesetz' (Law for the Immigration of Qualified Workers) came into effect. It facilitates the immigration of foreigners who possess certain professional qualifications. Among others, it provides for facilitated and speeded procedures of the recognition of foreign degrees for qualified foreigners immigrating to Germany, as well as for the opportunity to immigrate for qualification measures necessary to align the foreign degree to german standards. (https://www.anerkennung-in-deutschland.de/html/de/pro/fachkraefteeinwanderungsgesetz.php#) </t>
  </si>
  <si>
    <t xml:space="preserve">On 01 March 2020 the 'Fachkräfteeinwanderungsgesetz' (Law for the Immigration of Qualified Workers) came into effect. It facilitates the immigration of foreigners who possess certain professional qualifications. Among other changes, it provided the opportunity for qualified (vocational or academical) foreigners to come to Germany under certain conditions for a limited time for job search or for the recognition of their foreign degree. During that time, the are not entitled to any social benefits. (https://www.gesetze-im-internet.de/aufenthg_2004/__20.html) The same applies to foreigners who came to Germany for study purposes, graduated and remained in Germany for job search. </t>
  </si>
  <si>
    <t>On 31 December 2022, the 'Chancenaufenthaltsgesetz' (Law on chances for a legal stay) came into effect. It provides that holders of a 'Duldung' (toleration) who have been in Germany since 5 years on 30 October 2022 can apply for the Chancenaufenthaltsgesetz under certain conditions (e.g. no criminal record, no violation of the law on identity provision). If approved, they will be granted a work permit for 18 month. If they can secure their living expenses with work, clarify their identity and acquire at least A 2 German language skills within the 18 months, they will be granted a permanent residence permit. (https://www.integrationsbeauftragte.de/ib-de/ich-moechte-mehr-wissen-ueber/chancen-aufenthalt)</t>
  </si>
  <si>
    <t>In July 2022, the first 'Migrationspaket' (Migration Package) of the Coalition Government was decided. Among other regulations, it provides that asylum seekers have access to Integration Courses and vocational language courses from the beginning on. Priorly, a residence title was required for accessing the courses. (https://www.bmi.bund.de/SharedDocs/pressemitteilungen/DE/2022/07/chancen-aufenthaltsrecht.html)</t>
  </si>
  <si>
    <t>From November 2023, the new 'Fachkräfteeinwanderungsgestz' (Law on the immigration of qualified workers) will be in place. It will provide access to the Blue Card EU (that was formerly only accessible for people with a higher education degree) under eased conditions. It will come with the following changes: - The minimum wage required for the Blue Card EU will be lowered for all regular professions and professions with a particular demand; - The Blue Card EU will be accessible for a wider range of people (job starters with a higher education degree, IT specialists without higher education degree, more professions will be added to the list of professions of demand); - More possibilities for short- and long-term mobility of holders of a Blue Card EU issued in another EU country; - Eased family unification for Blue Card EU holders. More changes will successively be implemented starting in spring 2024. (https://www.make-it-in-germany.com/de/visum-aufenthalt/fachkraefteeinwanderungsgesetz)</t>
  </si>
  <si>
    <t>It is expected that in early 2024, the now 'Ausbildungsduldung' (Toleration for vocational training for foreign residents who would otherwise have to leave the country) will be turned into a special permission to stay for vocational training. While this is a positive development, several problematic issues come with it (e.g. part time employment besides the vocational training no longer permitted, no right for BAFöG (Federal Education and Training Grant).</t>
  </si>
  <si>
    <t>In the course of the successive implementation of the new 'Fachkräfteeinwanderungsgesetz' (Law for the Immigration of Qualified Workers), procedures for the recognition of foreign degrees will further be facilitated starting early 2024 (e.g. longer permissions to stay for qualification measures to align foreign qualifications to german standards, possibility for the permission to come to Germany for an analysis of the foreign qualification). (https://www.make-it-in-germany.com/de/visum-aufenthalt/fachkraefteeinwanderungsgesetz)</t>
  </si>
  <si>
    <t>It is expected that in early 2024, the now 'Ausbildungsduldung' (Toleration for vocational training for foreign residents who would otherwise have to leave the country) will be turned into a special permission to stay for vocational training. While this is a positive development, several problematic issues come with it. Among others, the person will not be entitled to BAFöG (Federal Education and Training Grant) or any other social benefits.</t>
  </si>
  <si>
    <t>No changes. Continuation from earlier: People who receive social benefits can be obliged to participate in an integration course (combination of language and culture).</t>
  </si>
  <si>
    <t>From November 2023, the new 'Fachkräfteeinwanderungsgestz' (Law on the immigration of qualified workers) will be in place. In terms of language it provided: For family unification, the spouse has to prove German language level of A 1, children under 16 years do not have to prove any language skills, children 16+ years have to prove C 1 German language skills. In cases where the language skills can not be obtained before coming to Germany, they have to be obtained right after arrival. (https://handbookgermany.de/de/family-reunification-for-immigrants) Family reunification to people with a protection status is excluded from these conditions.</t>
  </si>
  <si>
    <t>Apart from a (as indicated earlier), b and c are in place in some locations. However, there is large variance across Bundesländer and within Bundesländer within cities and among individual schools. There are no overall provisions concerning b and c.</t>
  </si>
  <si>
    <t>In 2022 the Government decided on two 'Maßnahmenpakete' (packages of measures) in terms of the educational support of migrants and refugees. Package 1 aims at general education and vocational integration, package 2 aims at fostering access to higher education - it focuses on: language support, counselling, subject support. As one core area, for the next four years, the government will make available 10.000 additional spots on study colleges that qualify foreign nationals with no direct access to the German university system for higher education access. (https://www.bmbf.de/bmbf/de/bildung/integration-durch-bildung-und-qualifizierung/fluechtlinge-durch-bildung-integrieren/fluechtlinge-durch-bildung-integrieren_node.html)</t>
  </si>
  <si>
    <t>In 2022 the Government decided on two 'Maßnahmenpakete' (packages of measures) in terms of the educational support of migrants and refugees. Package 1 aims at general education and vocational integration, package 2 aims at fostering access to higher education. In terms of language support, package 1 makes makes provisions for three elements: 1) The app "Einstieg Deutsch" (Entry German) is meant as a first access point to the German language, especially for refugees. It is available in nine languages and aims to support general orientation in German., 2) Due to the lack of teachers, volunteers, mainly migrants with sufficient German competences, will be qualified as support teachers. In cooperation between teachers and support teachers, it is hoped that refugees will quickly acquire German language competences, 3) Through the program 'Lesestart' (Beginning of reading), all refugee children up to five years who are in reception centers get a package for reading beginners. Additionally, all reception centers will be equipped with a reading and media box for the pedagogical work with children. Reception centers will further be supported in their cooperation with volunteers in fostering reading skills of children. (https://www.bmbf.de/bmbf/de/bildung/integration-durch-bildung-und-qualifizierung/fluechtlinge-durch-bildung-integrieren/fluechtlinge-durch-bildung-integrieren_node.html)</t>
  </si>
  <si>
    <t>Overall, offers have increased but with large regional and local variations.</t>
  </si>
  <si>
    <t>Permanent residency in Germany: Expires after more than 6 months out of the country or permanent departure from the country; exception: prior residence period in Germany 15 years, or married to German spouse, or secured income. Permanent residency in EU: Expires after 12 months out of EU or 6 years in another EU Member State. Exceptions same as for permanent residency in Germany. (https://www.jurati.de/migrationsrecht/niederlassungserlaubnis-daueraufenthalt-eu/)</t>
  </si>
  <si>
    <t>From November 2023, the new 'Fachkräfteeinwanderungsgestz' (Law on the immigration of qualified workers) will be in place. It comes with changes regarding permanent residency ('Niederlassungserlaubnis') regarding professionally qualified immigrants (people who have a vocational or academical degree or international researchers are considered as 'qualified immigrants'): 1) Permanent residency can be granted after 4 years under certain conditions (secure working place, payment of social insurance for at least 48 months, German level B 1). Lighter conditions apply for: 2) Holders of a Blue Card EU: Permanent residency after 33 months of working and paying social insurances + other conditions (German A 1, sufficient living space, integration test, among others), 3) Graduates of a vocational or academic education in Germany: Permanent residency after 24 months of working and paying social insurances + other conditions, 4) Highly qualified persons (scientiests with strong track record): Permanent residency immediately upon migrating to Germany + other conditions, 5) Holders of a residence permit for self-employment: Permanent residency after 3 years + other conditions. (https://www.make-it-in-germany.com/de/visum-aufenthalt/dauerhaft-in-deutschland/niederlassungserlaubnis) Residence period is also shorter than 5 years if C 1 German competences and 75% of necessary income acquired through employment.</t>
  </si>
  <si>
    <t>From November 2023, the new 'Fachkräfteeinwanderungsgestz' (Law on the immigration of qualified workers) will be in place. It comes with changes regarding permanent residency ('Niederlassungserlaubnis') regarding professionally qualified immigrants (people who have a vocational or academical degree or international researchers are considered as 'qualified immigrants') in terms of language requirements: While the regular requirement is B 1 German competences, holders of a Blue Card EU are only required to prove A 1 German competences and highly qualified persons (academics with a strong track record) and holders of a residence permit for self-employment need no German language competences (when meeting other conditions). (https://www.make-it-in-germany.com/de/visum-aufenthalt/dauerhaft-in-deutschland/niederlassungserlaubnis)</t>
  </si>
  <si>
    <t>The new coalition government has submitted a draft for a new nationality law that has majorly been agreed on. In terms of prior residency, the following changes are expected: Prior residency will be decreased from 8 to 5 years. In the case of particular integration achievements (e.g. volunteer engagement, very good vocatinoal, educational or professional achievements), naturalisation is possible after 3 years. (https://mediendienst-integration.de/artikel/wie-weit-ist-der-weg-zum-deutschen-pass.html)</t>
  </si>
  <si>
    <t>The new coalition government has submitted a draft for a new nationality law that has majorly been agreed on. In terms of language requirements, the following changes  are expected: Easier language conditions (only oral competences) will apply for people who are 67 years. For younger people, there will be an exception rule for specific cases. In particular cases, e.g. people taking case of family members, it will be sufficient to prove basic communication skills in German if evidence can be given that all other attempts to aquire further competences failed. For so called 'guest workers' or contract workers basic German skills will be sufficient without proving further attempts. (https://www.noerr.com/de/insights/entwurf-fuer-ein-neues-staatsangehoerigkeitsgesetz)</t>
  </si>
  <si>
    <t>The new coalition government has submitted a draft for a new nationality law that has majorly been agreed on. In terms of integration requirements, the following changes  are expected: No requirement to pass an integration test for for people who are 67 years or older. Furthermore, particular integration achievements can shorten the required period of prior residency. (https://www.noerr.com/de/insights/entwurf-fuer-ein-neues-staatsangehoerigkeitsgesetz)</t>
  </si>
  <si>
    <t>The new coalition government has submitted a draft for a new nationality law that has majorly been agreed on. In terms of economic resources, the following changes are expected: Similar to the prior law, having sufficient income for themselves and their families and not receiving social benefits is a conditions for naturatisation. Less exceptions to that rule will be allowed by the new law. Exceptions will be limited to those who are working full time but require additional social assistance to meet their basic needs, if they have been employed for at least 20 months, and for couples with minor children who are working full time (https://www.tagesschau.de/inland/innenpolitik/einbuergerungsreform-bundesregierung-100.html)</t>
  </si>
  <si>
    <t>The new coalition government has submitted a draft for a new nationality law that has majorly been agreed on. In terms of criminal records the following change will apply: In line with previous legislation, when a person has been sentenced for any criminal offence or when investigations against the person are ongoing, naturalisation can not be approved. In addition to that, naturalisation will not be approved if the person has commited any inhumane offences (e.g. motivated by racist, xenophobic, antisemitic orientations). Public prosecutors will have to inform the naturalisation offices of such offenses in the future (https://www.tagesschau.de/inland/innenpolitik/einbuergerungsreform-bundesregierung-100.html).</t>
  </si>
  <si>
    <t>The new coalition government has submitted a draft for a new nationality law that has majorly been agreed on. It will no longer be necessary to give up the prior citizenship in order to be naturalised in Germany. Dual Citizenship will generally be allowed (https://www.noerr.com/de/insights/entwurf-fuer-ein-neues-staatsangehoerigkeitsgesetz).</t>
  </si>
  <si>
    <t xml:space="preserve">No change but: the problem remains that in most Bundesländer there are no independent complaint bodies for cases of discrimination in schools. </t>
  </si>
  <si>
    <t xml:space="preserve">A change of the AGG (Anti-discrimination law) in 2022 added family-based grounds of discrimination for employees to the existing grounds, especially related to free time/holidays  in order to care for children or family members (https://www.buzer.de/gesetz/7323/v292841-2022-12-24.htm). </t>
  </si>
  <si>
    <t>A change of the AGG (Anti-discrimination law) in 2022 provides for the role of an independent Governmental Spokesperson for Antidiscrimination. This is meant to strengthen independence of the Antidiscrimination Body. The Spokesperson entered office in 2022 (https://www.antidiskriminierungsstelle.de/SharedDocs/aktuelles/DE/2022/20220407_BT_Debatte_Aenderung_AGG.html).</t>
  </si>
  <si>
    <t>The new Governmental Spokesperson for Antidiscrimination has submitted a draft for a fundamental reform of the AGG (antidiscrimination law). It includes recognising nationality as a direct ground for discrimination - opposed to the only indirect recognition of the existing law. Furthermore, 'race' should be reformulated as 'racial ascription'. Additional to that, social status and family care should be added as grounds of discrimination. The law should not only apply to discrimination by individuals but also to discrimination by governmental bodies. Futhermore, the law should cover sexual harrassment and Artificial Intelligence and improve the protection of disabled persons (https://www.lto.de/recht/nachrichten/n/ataman-agg-antidiskriminierung-ampel-koalition-sozialpolitik/; https://www.antidiskriminierungsstelle.de/SharedDocs/downloads/DE/Sonstiges/20230718_AGG_Reform.html?nn=304718).</t>
  </si>
  <si>
    <t>Further changes of the AGG - according to the draft paper of the Governmental Spokesperson for Antidiscrimination - are expected to improve the protection of all types of workers, including self-employed workers and interns (https://www.antidiskriminierungsstelle.de/SharedDocs/downloads/DE/Sonstiges/20230718_AGG_Reform.html?nn=304718).</t>
  </si>
  <si>
    <t>The new Governmental Spokesperson for Antidiscrimination has submitted a draft for a fundamental reform of the AGG (antidiscrimination law). It includes the inclusion of governmental bodies as actors of discrimination - as opposed to the limitation to individuals in the existing law (https://www.antidiskriminierungsstelle.de/SharedDocs/downloads/DE/Sonstiges/20230718_AGG_Reform.html?nn=304718).</t>
  </si>
  <si>
    <t>The new Governmental Spokesperson for Antidiscrimination has submitted a draft for a fundamental reform of the AGG (antidiscrimination law). It includes a stronger protection against discrimination on the housing market, especially in regard to the prohibition of discriminating housing adverts (https://www.antidiskriminierungsstelle.de/SharedDocs/downloads/DE/Sonstiges/20230718_AGG_Reform.html?nn=304718).</t>
  </si>
  <si>
    <t>The new Governmental Spokesperson for Antidiscrimination has submitted a draft for a fundamental reform of the AGG (antidiscrimination law). It includes the following changes in terms of enforcement mechanisms: the period to make claims should be increased from 2 to 12 months, the requirements for evidence of the case of discriminations should be lowered, it should be possible for unions/associations of victims of discrimination to file claims - as opposed to only individuals being able to file claims in the current laws, the Governmental Spokesperson for Antidiscrimination should have the right to file claims, the Governmental Body for Antidiscrimination should have the right to act as mediator if the concerned person wishes so (https://www.antidiskriminierungsstelle.de/SharedDocs/downloads/DE/Sonstiges/20230718_AGG_Reform.html?nn=304718).</t>
  </si>
  <si>
    <t>The Federal Antidiscrimination Body has the mandate to combate discrimination on all grounds provided for in the AGG. The new Governmental Spokesperson for Antidiscrimination has submitted a draft for a fundamental reform of the AGG (antidiscrimination law). It includes recognising nationality as a direct ground for discrimination - opposed to the only indirect recognition of the existing law (https://www.antidiskriminierungsstelle.de/SharedDocs/downloads/DE/Sonstiges/20230718_AGG_Reform.html?nn=304718).</t>
  </si>
  <si>
    <t>The new Governmental Spokesperson for Antidiscrimination has submitted a draft for a fundamental reform of the AGG (antidiscrimination law). It includes the following change in terms of the mandate of the equality body: the Governmental Spokesperson for Antidiscrimination should have the right to file claims, the Governmental Body for Antidiscrimination should have the right to act as mediator if the concerned person wishes so (https://www.antidiskriminierungsstelle.de/SharedDocs/downloads/DE/Sonstiges/20230718_AGG_Reform.html?nn=304718).</t>
  </si>
  <si>
    <t>No changes: While asylum procedures are ongoing, only emergency treatment (or most necessary treatment after individual approval of the respective authority, e.g. foreigners office, social office); large variations in practices among the Bundesländer.</t>
  </si>
  <si>
    <t>The coalition govenment is planning to implement the following change: Currently, the social office is obliged to inform the foreigners office of health support approved for asylum seekers and undocumented migrants. This provision keeps undocumented migrants from visiting doctors for fear of deportation or other consquences. The social offices should no longer be obliged to report to the foreigners office in order to decrease obstacles for undocumented migrants (https://mediendienst-integration.de/artikel/zum-arzt-ohne-angst.html)</t>
  </si>
  <si>
    <t>No new development: Sufficient information for legal migrants. The government has been implementing a number of apps and online guides to improve health care information for asylum seekers (https://www.bundesgesundheitsministerium.de/themen/internationale-gesundheitspolitik/migration-und-integration/fluechtlinge-und-gesundheit.html). A number of regional and national NGOs and networks are providing healthcare information also for undocumented people (http://refugeeswelcomemap.de/infoportal/medizinische-hilfe/kranke-ohne-papiere/).</t>
  </si>
  <si>
    <t>Due to the high demand of workers in the care and health professions, the share of migrants and refugees working in these fields has been growing. Targeted programs have been developed to foster their training, integration and language skillls. Migration of skilled health workers from other countries is also easier than for other fields of work. The government also increasingly collaborates with migrant organisations in the field of health (https://www.bundesgesundheitsministerium.de/themen/internationale-gesundheitspolitik/migration-und-integration.html).</t>
  </si>
  <si>
    <t>Governmental for support and -initiated research on health of migrants and asylum seekers has been growing (https://www.bundesgesundheitsministerium.de/themen/internationale-gesundheitspolitik/migration-und-integration.html). During and after the Covid-19 crisis, health effects on migrants, asylum seekers and undocumented migrants were also being researched on.</t>
  </si>
  <si>
    <t>L4/2000 (L2/2009); RD557/2011</t>
  </si>
  <si>
    <t>In accordance with the provisions of the Basic Statute of Public Employees (L7/2007) and its approval decree (RLD 5/2015), Spain limits the professional incorporation of TCNs to the category of "labor personnel" (art. 57), excluding them from the categories of career civil servants, interim civil servants or temporary personnel.</t>
  </si>
  <si>
    <t>Orden TAS/3698/2006</t>
  </si>
  <si>
    <t>All legally resident immigrants have access to education in the same conditions as Spaniards, including scholarships, grants and certfication of studies (L 4/2000, Art.9).</t>
  </si>
  <si>
    <t>In the case of professions which are not subject to prior registration to the Bar (like political scientists as opposite to architects), the answer depends on many factors. In the private sector, companies do not always demand a full recognition (homologación) of the title to that of an Spanish University (therefore, a foreign political scientist could perfectly work for a think tank, NGO or poll service without any problem), but in order to work in/for a public administration it might be required to have the title recognized (homologado), the exemple would be that same professor trying to apply for a permanent university job (not as a visiting researcher/scholar) or as an expert in a governmental statistical bureau. In addition as far as the Bolonia process is extended beyond EU universities, title recognition (homologación) is becoming theoreticall simpler. But of course, a specific procedure has to be followed both by Spaniards or foreigners having obtained a title outside of the EU in other to be recognized their title (homologado), and this is a more complex procedure including more papework and payment of fees than the procedure established for EU titles where no fees can be applied (reconocimiento de títulos).  
Regional variation is observed. Summary of normative references: http://www.educacionyfp.gob.es/dam/jcr:654ce9e1-7b04-4fee-b49d-f79db17c0aa1/norm-gral.pdf</t>
  </si>
  <si>
    <t xml:space="preserve">Programmes to encourage hiring of TCNs are present, but implemented through NGOs.
</t>
  </si>
  <si>
    <t xml:space="preserve">Neither now nor before have there been any polities or funding addressed specifically to those collectives. There are programmes targetting youth and women but they are addressed to the whole population. + other ad-hoc initiatives implemented by the NGOs </t>
  </si>
  <si>
    <t>Art. 54 of RD557/2011 Sponsors might start reunification procedures after their initial first year of residence (initial permit) at the time of renewal of their permit, this way both proceedings (residence renewal and family reunification) will be decided at the same time being the family reunification conditioned to the effective renewal of the sponsor’s residence. See RD 557/2011.</t>
  </si>
  <si>
    <t>RD 57/2011:
According to Art 53c 
1. adult children: art 53."have a disability and are not objectively able to provide their own needs due to their state of health"
2. Their ascendants in the first degree, or those of their spouse or partner, when they are in their care, are over sixty-five years old and there are reasons that justify the need to authorize their residence in SpainSure, here is the English translation of the legal text you provided:
It will be understood that the family members are dependent on the regrouping party when they accredit that, at least during the last year of their residence in Spain, they have transferred funds or borne expenses of their relative, which represent at least 51% of the gross domestic product per capita, in annual computation, of the country of residence of the latter, as established, in terms of Indicators on income and economic activity by country and type of indicator, by the National Institute of Statistics.</t>
  </si>
  <si>
    <t>No requirements</t>
  </si>
  <si>
    <t xml:space="preserve">According to the Immigration Rules 557/2011 to obtain the family reunification residence permit, sponsors will have to fulfill certain conditions (Arts. 54 and 55):
Income: for the sponsor and one family member an amount of money equal to 150% IPREM (index included in the yearly State Budget that establishes a minimal family income in order to grant social benefits).  Any extra family member will require an extra 50% IPREM. The sponsor will have to provide evidence of the sustainability of that income during the next year, and the six months prior to his/her application may be used to ascertain his/her economic capacity (for instance, if the sponsor remained unemployed during the previous six months family reunification could be denied). Those amounts could be adjusted if reunited family members are minors. Salary and Social Security rolls are considered income, but certain social benefits can not be considered as income. </t>
  </si>
  <si>
    <t>According to RD 557/2011, to obtain the family reunification residence permit, sponsors will have to fulfill certain conditions (Arts. 54 and 55):
Proper housing: a report from the Autonomous Community or the Local Council will have to be included on the availability and conditions of the house, apartment or rooms available for the family. In absence of that report or after a delay of more than 30 days, the sponsor will be able to submit any evidence of his/her availability of housing (usually a declaration by a public notary). The report will have to mention housing rights (property, rent, other), number of people already living there, number of rooms, services and equipment of the house, etc.</t>
  </si>
  <si>
    <t>RD 557/2011 art59,61</t>
  </si>
  <si>
    <t xml:space="preserve">RD 557/2011 art61 
c. Break-up of family relationship (before three years) – relationship is maintained but, if the regrouped spouse prove that the relationship lasted at least 2 years (59.2) condition to ask independent permit
d. Original conditions are no longer satisfied (e.g. unemployment or economic resources) – art61.3 </t>
  </si>
  <si>
    <t>RD 557/2011 art 59, 61
a. Solidity of sponsor’s family relationship
b. Duration of sponsor’s residence in country
c. Existing links with country of origin</t>
  </si>
  <si>
    <t>According to the Immigration Rules 557/2011 to obtain the family reunification residence permit, sponsors will have to fulfill certain conditions (Arts. 54 and 55):
Income: for the sponsor and one family member an amount of money equal to 150% IPREM (index included in the yearly State Budget that establishes a minimal family income in order to grant social benefits). In 2014 it has been established at 532,51 €/month. Any extra family member will require an extra 50% IPREM. The sponsor will have to provide evidence of the sustainability of that income during the next year, and the six months prior to his/her application may be used to ascertain his/her economic capacity (for instance, if the sponsor remained unemployed during the previous six months family reunification could be denied). Those amounts could be adjusted if reunited family members are minors. Salary and Social Security rolls are considered income, but certain social benefits can not be considered as income. http://extranjeros.empleo.gob.es/es/InformacionInteres/InformacionProcedimientos/Ciudadanosnocomunitarios/hoja012/index.html. 
RD557/2011 art54 before 2011 : 100</t>
  </si>
  <si>
    <t xml:space="preserve">RD 629/2022 introduce some flexibility "in the case that the amount is not reached family reunification of minors will be granted if the regrouping party accredits economic means from a stable source of income equal to or greater than the interprofessional minimum wage.
For those cases in which said amount is not reached and in attention to the situation of the regrouped, for a family unit of two members, one of them being a minor, 110% of the amount of the guaranteed income of the Minimum Vital Income will be required annually and, for each additional minor, an additional 10% will be required with a maximum limit of 150% of said income.
Income from the social assistance system will not be computable for these purposes, but those contributed by the spouse or partner of the foreign regrouping party, as well as by another direct line family member in the first degree, with resident status in Spain and who lives with him.
Without prejudice to the presentation of any document or means of proof that, in the opinion of the applicant, justifies the provision of the means, the following documentation may be provided:
In case of carrying out lucrative activity on behalf of others:
1.º Copy of the employment contract.
2.º Declaration, where appropriate, of the Personal Income Tax corresponding to the previous year. Said declaration will be the one corresponding to the penultimate year in the event that the term to present the one corresponding to the last annuality has not expired.
 In case of carrying out lucrative activity on their own:
1.º Accreditation of the activity being carried out.
2.º Declaration, where appropriate, of the Personal Income Tax corresponding to the previous year. Said declaration will be the one corresponding to the penultimate year in the event that the term to present the one corresponding to the last annuality has not expired.
In case no lucrative activity is carried out in Spain: certified checks, traveler's checks or payment letters or credit cards, accompanied by a bank certification of the amount available as credit of said card or bank certification.
If the performance of an activity on behalf of others or on their own is alleged, the competent Foreign Office will ex officio check the information relating to affiliation and registration in the corresponding Social Security regime of the applicant, and, where appropriate, the contribution databases." </t>
  </si>
  <si>
    <t>Only undocumented persons who arrived as minors (below 18 years-old) have full access to non-compulsory education (Constitutional Court Judgement 236/2007). For the rest of documented residents art. 9 Immigration Act 2000 recognizes access to non-compulsory education in the same conditions as Spaniards/EU citizens. 
See art. 9 LO 4/2000 11th of January. Compulsory is primary and secondary school (6-16) art. 4 LO Educación 2/2006 3rd of May.</t>
  </si>
  <si>
    <t xml:space="preserve">A and C apply. Most Autonomous Communities and municipalities provide written information on the educational system in the main migrants' languages of origin and also  interpretation services for families (as well as for staff in schools) are in most cases available on demand from the schools.  However, the information given tends most often to cover only compulsory education. On the other hand although the interpretation services are available they are very often shorthanded and cannot  cover all the needs. Option b is available only in some of the Regions. </t>
  </si>
  <si>
    <t xml:space="preserve"> All Autonomous Communities  with sizable numbers of migrant pupils make provision for support in the main language of instruction -this would be mostly spanish, in the Basque Country provision is made also for Euskera and in Catalonia mainly for Catalan-. In some cases the pupils are placed in the mainstream classroom  (for instance Andalucía or Basque Country) while in others they are placed in separate classrooms for a transitional phase (for instance Madrid).
Depends on the Autonomous Community: Catalonia: art. 10.2 12/2009 10th july on education.</t>
  </si>
  <si>
    <t xml:space="preserve">The general aim is to get migrant pupils to acquire sufficient knowledge of the language to be able to follow classes with their native schoolmates in the school grade in which they have been placed.
See also: art. 17. e) and f) LO 2/2006, 3rd May education. not a target measureS for migrant pupils.
</t>
  </si>
  <si>
    <t xml:space="preserve"> L12/2009; RD 476/2013</t>
  </si>
  <si>
    <t>Most Regions, which hold main competence on Education, have systematic guidance and material and human resources for children with communication problems, and immigrant students in compulsory education. This includes remedial teachers, special learning materials, tutors. Some provide funding, however all on a project basis. No systematic funding per migrant pupils.</t>
  </si>
  <si>
    <t>Given regional competences in Education, a) and b) can either be present at the same time or not. This said, the Organic Law 3/2020, reistates the importance of diversity in school curricula, as recognizes "the importance of addressing sustainable development in accordance with the provisions of the 2030 Agenda. Thus, education for sustainable development and global citizenship must be incorporated into the plans and educational programs of all compulsory education, incorporating the knowledge, skills, values and attitudes that all people need to live a fruitful life, make informed decisions and take an active role - both locally and globally - in addressing and solving the problems common to all citizens of the world. Education for sustainable development and global citizenship includes education for peace and human rights, international understanding and intercultural education, as well as education for ecological transition, without neglecting local action, essential to address the climate emergency, so that students know what consequences our daily actions have on the planet and consequently generate empathy towards their natural and social environment." And forsees that "Educational centers must necessarily include and justify in their educational project the measures they develop to promote and train in equality at all educational stages, including education for the elimination of gender violence, respect for identities, cultures, sexualities and their diversity, and active participation to make equality a reality". Besides it requires that "in one of the courses of the third cycle, Civic and Ethical Values Education will be added. This area will include content related to the Spanish Constitution, knowledge and respect for Human Rights and Childhood, education for sustainable development and global citizenship, equality between men and women, the value of respect for diversity and the social value of taxes, promoting critical thinking and a culture of peace and non-violence".</t>
  </si>
  <si>
    <t xml:space="preserve">only ad hoc / project basis </t>
  </si>
  <si>
    <t>Given regional competences in Education, a) and b) can either be present at the same time or not. This said, the L3/2000 reistates the importance of diversity in school curricula, as recognizes "the importance of addressing sustainable development in accordance with the provisions of the 2030 Agenda. Thus, education for sustainable development and global citizenship must be incorporated into the plans and educational programs of all compulsory education, incorporating the knowledge, skills, values and attitudes that all people need to live a fruitful life, make informed decisions and take an active role - both locally and globally - in addressing and solving the problems common to all citizens of the world. Education for sustainable development and global citizenship includes education for peace and human rights, international understanding and intercultural education, as well as education for ecological transition, without neglecting local action, essential to address the climate emergency, so that students know what consequences our daily actions have on the planet and consequently generate empathy towards their natural and social environment." And forsees that "Educational centers must necessarily include and justify in their educational project the measures they develop to promote and train in equality at all educational stages, including education for the elimination of gender violence, respect for identities, cultures, sexualities and their diversity, and active participation to make equality a reality". Besides it requires that "in one of the courses of the third cycle, Civic and Ethical Values Education will be added. This area will include content related to the Spanish Constitution, knowledge and respect for Human Rights and Childhood, education for sustainable development and global citizenship, equality between men and women, the value of respect for diversity and the social value of taxes, promoting critical thinking and a culture of peace and non-violence".</t>
  </si>
  <si>
    <t>Local rigth to vote only for foreign citizens whose country has a reciprocity agreement .Indeed,  Spanish Constitution (arts. 13.2 and 23 SpC.) limited voting rights to the municipal elections and only on grounds of reciprocity. In addition to the right to vote in municipal elections recognized to EU citizens, between 2006 and 2011 Spain signed and ratified 12 international bilateral agreements with third-countries (Ecuador, Bolivia, Chile, Colombia, Peru, Paraguay, Norway, Iceland, Green Cape, Trinidad and Tobago, New Zeeland, and on July 2011, another agreement was published this time with South Korea, but the municipal elections had already taken place). Except for Norway, the agreements introduced a five-year residence requirement to fully enjoy right active and passive suffrage in Spanish municipal elections.</t>
  </si>
  <si>
    <t>L 1/2002</t>
  </si>
  <si>
    <t>RD 3/2006 Social Integration Immigration Forum</t>
  </si>
  <si>
    <t>Ad hoc informational campaigns by Electoral Census Office (ECO) </t>
  </si>
  <si>
    <t>The national immigrant body (FORO PARA LA INTEGRACIÓN SOCIAL DE LOS INMIGRANTES) lacks a specific budget</t>
  </si>
  <si>
    <t>RD557/2011 (art.147-150), among the requirement no mention is given to economic resources</t>
  </si>
  <si>
    <t>This is a long-term residence permit that authorises to reside and work in Spain indefinitely under the same conditions as Spaniards. This said, it needs to be renewd evry 5 years.</t>
  </si>
  <si>
    <t>Providing the permanent and expired permit acreditation and paying taxes. 
L4/2000 (L2/2009); RD557/2011</t>
  </si>
  <si>
    <t>Art. 148.2 RD 557/2011</t>
  </si>
  <si>
    <t xml:space="preserve">Art. 32 L4/2000 (L2/2009) </t>
  </si>
  <si>
    <t xml:space="preserve">A general requirement of 10-year applies. Thisa said, citizens  of  the former  colonial  empire (i.e.  Ibero-American  countries,  Andorra,  Philippines,  Equatorial  Guinea,  Portugal)  and  Sephardic Jews are asked only two years of residence to apply for naturalization. </t>
  </si>
  <si>
    <t>Nationality by Option at age 18 if resident since birth. This needs to be formalized by the age of 20 (CC art.20). If both parents are foreigners it's a kind of facilitated naturalisation: just 1 year's residence -  1 year after birth parents can ask naturalization</t>
  </si>
  <si>
    <t>A2 level - language test is introduced with the Law 19/2015  (Disposición final séptima); R.D. 1004/2015</t>
  </si>
  <si>
    <t>Law 19/2015 (Disposición final séptima) and the RD 1004/2015: integraiton test for assessing the knowledge of the Spanish Constitution and the Spanish social and cultural reality.</t>
  </si>
  <si>
    <t>Law 19/2015; RD 1004/2015: no economic requirements anymore</t>
  </si>
  <si>
    <t xml:space="preserve">Criminal records are required. </t>
  </si>
  <si>
    <t>Nationals from countries with a dual nationality agreement with Spain (countries from the Ibero-American Community of Nations, Andorra, the Philippines and Equatorial Guinea) do not need to state their renunciation to their nationality of origin when acquaring Spanish nationality. All others must sign a document renouncing to their nationality of origin, but do not need to provide any additional documentation. Spanish legislation in this matter contain vague provisions. Applicants must renounce their previous nationality, but this renunciation is only to be made before the Judge responsible for the Civil Registry, and not before the authorities of the country of origin. This means that, in fact, renunciation can be considered a valid or invalid act depending on whether the authorities of the country of origin accept the renunciation or not. Renunciation before the Spanish Judge is therefore only a formal compromise with doubtful legal consequences. Given that, we scored 50.</t>
  </si>
  <si>
    <t>Specialised Equality body has been established with a mandate to combat discrimination on the grounds of:                                                                 a) race and ethnicity                                  
b) religion and belief                               
c) nationality                                                                     
Note: If there is no dedicated specialised equality body, then answer with option 3 to Q137-140 and skip to Q 141</t>
  </si>
  <si>
    <t xml:space="preserve">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 </t>
  </si>
  <si>
    <t>The Law on the rights and duties of aliens (Law 4/2000) include direct and indirect discrimination by nationality but with definitions not similar with the directives 2000/43 and 2000/78. Moreover the indirect discrimination refers only to aliens “workers” not to “persons” as in Directive 2000/43.
See Law 62/2003, 30th december  (A and B); art 16 Spanish Constitution (B); art. 23 law 4/2000 (C). Art. 1.2 LO  7/1980 (b)</t>
  </si>
  <si>
    <t xml:space="preserve">Art. 10 law 4/2000 (c); art 34 law 62/2003 (a and b); art. 1 LO 7/1980 (b); art 314 Criminal code; art 4 and 17 worker's statute  </t>
  </si>
  <si>
    <t>Art 27 spanish constitution; art. 9 law 4/2000 (C); art 1 LO 2/2006; LO 7/1980; Law 62/2003</t>
  </si>
  <si>
    <t>Art 29 law 62/2003 (a); disposición adicional segunda de la ley general de la seguridad social ; art 14 LO 4/2000.</t>
  </si>
  <si>
    <t>Royal decree 7/2018 27th july about the universal access to the National Health System (prohibits any kind of discrimintaion).</t>
  </si>
  <si>
    <t>It's important to take into account that access for victims also covers procedures related to employment (in Spain this is called labour procedures) which are often used by victims 
.art 24 and title VI of the spanish constitution + 
civil prosecution law + criminal prosecution law + organic law of the judiciary + Law 29/1998, of July 13 (contentious-administrative)+ art 32 law 62/2003 (b)</t>
  </si>
  <si>
    <t xml:space="preserve">Until the adoption of the Law 15/2022 on equal treatment and non-discrimination (see answer 1), the main national equality body in the country was the Council for the Elimination of Racial and Ethnic Discrimination (CEDRE), created in 2007 to comply with Directives 2000/43 and 2000/78. The main functions of this body have been: i) to advise victims of discrimination in an independent manner in the handling of their complaints; ii) to publish studies, research, and reports; and iii) to promote measures that contribute to equal treatment and the elimination of discrimination by formulating appropriate recommendations and proposals. </t>
  </si>
  <si>
    <t>New body still to be enforced; in the meantime the former one - CEDRE - is still working and since the  enactment  of Law 15/2014, the council has formally developed its functions ‘with independence’.</t>
  </si>
  <si>
    <t>art 30 law 62/2003 (a) provide for general positive action.</t>
  </si>
  <si>
    <r>
      <t xml:space="preserve">Until the adoption of the Law 15/2022 on equal treatment and non-discrimination (see answer 1), the main national equality </t>
    </r>
    <r>
      <rPr>
        <b/>
        <sz val="11"/>
        <color theme="1"/>
        <rFont val="Calibri"/>
        <family val="2"/>
        <scheme val="minor"/>
      </rPr>
      <t>body in the country was the Council for the Elimination of Racial and Ethnic Discrimination (CEDRE</t>
    </r>
    <r>
      <rPr>
        <sz val="11"/>
        <color theme="1"/>
        <rFont val="Calibri"/>
        <family val="2"/>
        <scheme val="minor"/>
      </rPr>
      <t>), created in 2007 to comply with Directives 2000/43 and 2000/78. The main functions of this body have been: i) to advise victims of discrimination in an independent manner in the handling of their complaints; ii) to publish studies, research, and reports; and iii) to promote measures that contribute to equal treatment and the elimination of discrimination by formulating appropriate recommendations and proposals. Ethnic and racial for sure: it’s in the name of the body. Religion and belief is also included.</t>
    </r>
  </si>
  <si>
    <t>Law 15/2022</t>
  </si>
  <si>
    <t>L 15 /2022</t>
  </si>
  <si>
    <t xml:space="preserve">The L 15 / 2022 provided for the creation of a new national equality body replacing the CEDRE: the State Authority for Equal Treatment and Non-Discrimination; an independent, single-person body, created to assist victims of discrimination and take legal action, if needed. This new Body has still to be enforced; in the meantime CEDRE is still funcitoning. When established, its  functions will extend to all grounds of discrimination covered by Directives 2000/43 and  2000/78 and Law 15/2022. </t>
  </si>
  <si>
    <t xml:space="preserve">L 15/2022, art34, general evaluation (with research and statistics) of antidiscrimination measures, not specific on positive actions; but it represents a change compared to the previous years. </t>
  </si>
  <si>
    <t xml:space="preserve">A. Migrants are involved in service delivery    (e.g. through the employment of 'cultural  mediators') 
B. Migrants are involved in the development and dissemination of information
C. Migrants are involved in research (not only as respondents)
D. Migrant patients or ex-patients are
    involved in the evaluation, planning
    and running of services.
E. Migrants in the community are involved 
    in  the design of services.
Mention only forms of migrant involvement that are explicitly encouraged by policy measures (at any level) </t>
  </si>
  <si>
    <t xml:space="preserve">Background
In 2015, in accordance with Royal Decree Law (RDL) 16/2012 (http://bit.ly/2GLORPi), access to health care (with the exception of cases of emergency due to serious illness or accident and during pregnancy, childbirth and post-natal care) was determined by social security affiliation, so that only employed persons, pensioners or those who received some kind of benefit (such as a pension or unemployment benefit) were included. Some Autonomous Communities (ACs) such as Andalusia and Catalonia did not apply the new law, resulting in unequal entitlements between Spanish regions.
This law was abolished in 2018 (RDL 7/2018, http://bit.ly/36JEuGh). From that date, migrants had in principle the same rights to healthcare coverage as nationals, as was the case before 2012. Healthcare coverage is now recognized as an inherent right of every human being. Universal coverage is guaranteed regardless of a person’s nationality or administrative status. Article 3b.1 even states that "Foreign persons not registered or authorized as residents in Spain have the right to health protection and health care on the same conditions as people with Spanish nationality". Since the entry into force of this law, all persons residing in Spain have the same right to healthcare coverage. The same applies to pharmaceuticals and medical goods. However, if health costs can be covered by another country or body, they are not covered by Spain.  The costs of health care will be financed from the public funds of the relevant Spanish administration, provided that persons meet the following requirements:
i) They do not have the obligation to access health care by other means, by virtue of the provisions of European Union law, bilateral agreements and other applicable regulations;
ii) They are not able to access the right to health coverage from their country of origin or provenance;
iii) There is no third party obliged to pay their health care.
Coverage for these groups does not include services financed by government funds outside Spanish territory. Persons who do not fulfil these conditions may obtain coverage by paying a premium in advance of 60€ for people under 65 years of age and 157€ for those of that age and above. 
Article 3.3 of the law authorises the ACs to establish their own procedures for issuing the documents a person needs to certify that they are entitled to coverage. Nothing is specified at central government level about these procedures, which makes possible a wide degree of variation in the way the law is implemented in different ACs. In particular, the documentation that applicants have to get hold of to prove their eligibility can be very difficult to obtain, giving rise to long delays.
Advocacy groups such as REDER (http://bit.ly/3bBMY5L) have pointed out that the administrative barriers created by these procedures prevent many groups from accessing the benefits they ought to be enjoying under the new law. As so often,  the most vulnerable groups – who frequently have the greatest need for coverage – are least well equipped with the skills and resources needed to surmount bureaucratic obstacles. This applies particularly to less qualified migrants in precarious situations. In addition, regulations differ between ACs and are often poorly publicised and difficult to understand. Different documents are required in different ACs, making additional complications for those moving between regions. Although RDL 7/2018 is a great step forward in the restoration of universal health coverage in Spain, many problems remain to be solved in the way it is implemented.
Coverage for legal migrants
Coverage is coded as ‘unconditional’, although costs will be paid for by the Spanish authorities only if  a person is not covered elewhere. The procedures for establishing whether or not this is case can be complex and time-consuming (see 148 below).
</t>
  </si>
  <si>
    <t xml:space="preserve"> (A) For access to primary and specialist care a healthcare card is required. As already described, the administrative requirements for obtaining such a card may be difficult even for legal migrants to fulfil. They vary between ACs and cards issued by one AC are not valid in a different one.
Documents to prove that one does not have the right to healthcare coverage in the country of origin or provenance can be particularly difficult for migrants to obtain.  As a result, there are many cases of people who say they do not use the healthcare system for fear of being charged for the service received. Healthcare professionals and NGOs have protested against these barriers, which undermine the universal health coverage that RDL 7/2018 was supposed to provide. However, administrative or medical staff can redirect migrants to social services, which together with NGOs help migrants to overcome these administrative barriers.
(B) As long as legal migrants are unable to get hold of the documents required to obtain a health card, they are only entitled to emergency care. This involves discretionary decisions made by a health professional.
</t>
  </si>
  <si>
    <t>In principle, entitlement is the same for asylum seekers as for nationals. There are however considerable administrative barriers (see 149 below).</t>
  </si>
  <si>
    <t xml:space="preserve"> (A) In order to access primary and specialist care, asylum seekers must have a healthcare card. In order to obtain this they have to have a tarjeta roja (red card) that certifies their identity and shows that they are an asylum seeker. 
In practice, however, weeks or months may elapse before someone wishing to claim asylum can be officially recognised as an asylum seeker and be given a tarjeta roja. They first have to get an appointment with an office of the OAR, which can involve waiting for months. The OAR must then decide within one month whether their asylum request is admissible. 
Difficulties in obtaining documentation are particularly acute for those wishing to claim asylum who are not residing in the CAR (Refugee Reception Centre). Those who are, receive advice on how to access the health system; NGOs also offer practical help. However, those living outside government accommodation have little access to advice and help. Moreover, if they move between regions of Spain, long delays can result because of the difficulty of getting their documents sent on from one region to another
As long as asylum seekers have no health card, only emergency care can be covered.  This is dependent on discretionary decisions (B) made by health professionals.</t>
  </si>
  <si>
    <t xml:space="preserve"> In 2015, UDMs were the group most affected by the RDL 16/2012, as they were required to pay contributions which many of them could not afford because of their precarious economic situation. However, the Royal Decree recognised a number of cases in which they did receive free care: minors, pregnant women and medical emergencies. Regions such as Andalusia and Catalonia did not abide by the decree and continued to grant access to UDMs. 
Today, since the application of the Royal Decree-Law 7/2018, UDMs have in principle the right to health care under the same conditions as Spanish nationals.  In addition, the extent of coverage (question 147B, not asked here) has been increased from ‘emergency care only’ to ‘full coverage’.
Under the new law, UDMs can apply for a Health Card in the same way as other people, but they must fulfil the requirements laid down by the AC. Even though these requirements are often met, it may be very difficult for a UDM to obtain documentation that proves it (see question 150).  As a result, it is not yet clear whether more UDMs are able to claim coverage under the new law than was the case under the old one. 
Health care in detention
According to the Organic Law 4/2000, modified by the Organic Law 2/2009, UDMs living in centres (Migrant Reception Centres –CIE, Centres for Temporary Stay –CETI) are entitled to health care and social assistance. In CETIs, primary care is provided by private companies. Emergencies and cases requiring specialized assistance are referred to a public hospital. CETIs provide psychological assistance if mediators or psychologists detect a mental health disorder or if psychological assistance is requested by the patient. Psychiatric cases are referred to the mental health team of the corresponding public hospital.
 According to RDL 162/2014, the eight CIEs in Spain must have “health assistance with available staff and the necessary instruments and equipment for the permanent and urgent care of residents”. Nevertheless, NGOs have reported numerous cases where this law has been ignored and adequate assistance has not been provided. These reports show that, in some cases, police officers with no medical qualification have had to offer assistance when there are no doctors or nurses available. 
Unaccompanied minors
Another problem that has been identified by NGOs is the situation of young people who enter Spain as unaccompanied minors and as such are protected by the law. When these individuals reach adulthood, they lose this protection and become simply UDMs, with no support from official bodies. Centres for unaccompanied minors are obliged to document the children before their departure, but often fail to do so. Although the health rights of UDMs have been greatly improved by RDL 7/2018, this group of UDMs may find it very difficult to obtain the documents they need to obtain access to health services.</t>
  </si>
  <si>
    <t xml:space="preserve"> Despite the improvements in the legal entitlements of UDMs, the complex procedures for obtaining  documents to prove one’s compliance with the conditions of coverage have led to increased administrative barriers of type A. They are often affected by changes of address, or lack an official address completely, which may make it impossible to prove how long they have stayed in the country.  Obtaining a certificate demonstrating the impossibility of reimbursement of healthcare costs by one’s country of origin can present insurmoutable obstacles.
As long as a UDM does not have a healthcare card, they are only entitled to emergency care. As with asylum seekers and legal migrants, this will involve discretionary decisions (B) made by health professionals.</t>
  </si>
  <si>
    <t xml:space="preserve">Information on entitlements can in principle reach any type of migrant. Nevertheless, there is no active and systematic dissemination of this information at national level. Still, the Spanish healthcare system is quite decentralized and there are some regional plans to achieve this. For example, in Andalusia the III Integral Plan for Immigration in Andalusia (PIPIA) (2016) proposes among its objectives the dissemination of information about rights and duties to users of the system in different languages. Great emphasis is placed on online access to the system and the use of telematic services for healthcare. By telephone, migrants can be informed through ‘Salud Responde’, which is available in several languages (46 different languages: 11 of them 24 hours a day, 7 days a week; the rest, Monday to Friday from 8 a.m. to 6 p.m.). Catalonia also offers a similar service called Sanitat Respon that works 24h/7days a week and translates into 102 languages. However, these plans and practices are not specially tailored to the needs of the migrant population of each area. </t>
  </si>
  <si>
    <t>Few measures have been found aimed at developing health education or health promotion campaigns adapted in form and format to diversity. Professionals linked to the healthcare system report that  health literacy or health promotion programmes for the migrant population arise ad hoc, as the result of individual initiatives. They also indicate that some programs are developed and implemented by NGOs or migrant advocacy groups. (Some examples are the “Programme to promote sexual and reproductive health for immigrant women,” carried out by CODENAF, and the “Workshop for breast self-exploration”, by Mujeres en Zona de Conflicto.)</t>
  </si>
  <si>
    <t>In Spain, the availability of qualified interpretation services is not related to patients' ability to pay for them, as they are free. The problem is that they are not always available when required. Some interpretation services are available in some organizations within the National Health System and are free of charge. However, they exist as an additional service, particularly in local communities with high cultural diversity. For example, there are translation services in some regions, such as Andalusia (Salud Responde telephone service) or Catalonia (Sanitat Respon). These telephone services are offered to providers to ensure effective communication with migrant users. In spite of this, health professionals express the need to provide more cultural mediators in all health centres. The only mediators that exist at present in Andalusia are those made available by NGOs. In Catalonia the government still pays for some of the intercultural mediatios services at hospital and PHC levels through the Health Care Budget.</t>
  </si>
  <si>
    <t xml:space="preserve"> Just as in 2019, the population of Spain is not usually involved in research, evaluation, planning, running or the design of services. Top-down procedures are the rule. Furthermore, migrant participation is lower than that of nationals. Migrants mostly participate in public healthcare through NGOs, many of which are funded by the government. These carry out diverse tasks: mainly, they take part in (A) service delivery (cultural mediation), (B) information dissemination, and C (research). 
Additionally,  in most public healthcare institutions, ‘user platforms’ exist to encourage participation. Migrants can take part in these just like anyone else, though they seldom do. This is the reason why one of the main points of the health area of the III Plan Integral para la Inmigración en Andalucía is “To promote the involvement of migrants in health services and in their own healthcare processes.”
In Catalonia, there is no forum specifically designed for migrants, but they are involved in the development of materials (excluding protocols and guidelines, due to the high level of professionalization these require). In regard to the evaluation of services, in the Catalonian survey on health there is a section exclusively addressed to migrants, but it is not very successful</t>
  </si>
  <si>
    <t>Research on migrant health has been financially supported by health ministries and by national and international bodies, through different institutions, including universities.</t>
  </si>
  <si>
    <t>no change from previous year</t>
  </si>
  <si>
    <t xml:space="preserve">There are no relevant changes. For A, Finland has extensive integration legislation. The integration plan includes also other measures than language course but doesn't create rights for other measures, so available services dependes on local resources and iniatives. Public unemployment services are also available for TCN:s and they organize regularly job/professional field specific courses. https://kotoutuminen.fi/en/integration-plan https://www.finlex.fi/en/laki/kaannokset/2010/en20101386 For B, there is more room for interpretation: there is very little national laws or degrees that would encourage employers to hire immigrants. TCNs have acces to suported empolyment (pay subsidy for hiring unemployed jobseekers including, but not meant specially for, immigrants). https://tem.fi/en/pay-subsidy Employment offices offer courses also for employers e.g. on multicultural labour force. Most national programs concentrate on requirement of foreign talent or concentrate on the job seekers but do not give economic incentive for the employers to hire immigrants. https://tem.fi/en/integration-sib-project https://tem.fi/en/talent-boost-en      </t>
  </si>
  <si>
    <t>If you have a work permit you can lose it, if you claim social assistance. Similarly, those migrants with family based permit with income requirement  can lose their permits if they get social assistance. Family members of Finnish citizens and, in some cases, refugees are extempt from this requirement. E.g. https://migri.fi/en/working-in-finland/income-requirement</t>
  </si>
  <si>
    <t xml:space="preserve">No changes. Local programs for women exist: https://www.monikanaiset.fi/tiedostot/Naisten%20Koulu_esite.pdf https://www.hel.fi/en/news/entrepreneur-day-for-women-a-success-immigrant-women-share-experiences-of-entrepreneurship https://www.nicehearts.com/ Also, employment offices might target immigrant women. Young, recently arrived migrants can get education through integration process. See Act on the Promotion of Immigrant Integration. https://www.finlex.fi/fi/laki/kaannokset/2010/en20101386_20120919.pdf </t>
  </si>
  <si>
    <t xml:space="preserve">https://tem.fi/en/-/saatavuusharkinta-poistuu-suomessa-jo-tyoskentelevien-jatkoluvista-1-6-alkaen     https://picum.org/blog/labour-migration-policies-finland/
https://migri.fi/en/residence-permit-for-an-employed-person </t>
  </si>
  <si>
    <t>No changes</t>
  </si>
  <si>
    <t>New Integration Act will be on force on 1 January 2025. It was accepted in April 2023 and amended in June 2024. https://kotoutuminen.fi/en/koto24-en Communes will have specific responsiblities to reach out immigrants outside of labour force. This includes specifically immgirants taking care of children at home. The law does not cover targeted programs for women or young people. https://kotoutuminen.fi/en/koto24-reaching-immigrants-with-integrations-services The government program does not mention such programs: https://julkaisut.valtioneuvosto.fi/bitstream/handle/10024/165042/Paaministeri-Petteri-Orpon-hallituksen-ohjelma-20062023.pdf?sequence=1&amp;isAllowed=y .</t>
  </si>
  <si>
    <t>No change. See section 39 of the Aliens Act: “An alien’s means of support are considered secure at the time when the alien’s first residence permit is issued if the alien’s residence is financed through gainful employment, pursuit of a trade, pensions, property or income  from other sources considered normal so that the alien cannot be expected to become dependent on social assistance referred to in the Act on Social Assistance (1412/1997) or on other similar benefit to secure his  or her means of support. Social security benefits compensating for expenses are not regarded as such a benefit.” For the actual level of the income requirement, see website of Finnish Immigration Service: https://migri.fi/en/income-requirement-for-family-members-of-a-person-who-has-been-granted-a-residence-permit-in-finland</t>
  </si>
  <si>
    <t>Aliens Act 30.4.2004/301, amendments; date of adoption &amp; date of entry into force:  1.8.2010, section 36, “A residence permit by reason of family ties may be refused if there are reasonable grounds for suspecting that the sponsor has received a residence permit by circumventing the provisions on entry or residence by providing false information on his or her identity or family relations.” See also section 39 (3) "When issuing extended permits, the alien’s means of support shall be secure as provided in subsection 2, provided, however, that temporary resort to social assistance or other similar benefit securing the alien’s means of support does not prevent the issue of the permit. "</t>
  </si>
  <si>
    <r>
      <rPr>
        <b/>
        <sz val="10"/>
        <rFont val="Calibri"/>
        <family val="2"/>
      </rPr>
      <t>Aliens Act https://www.finlex.fi/en/laki/kaannokset/2004/en20040301.pdf</t>
    </r>
    <r>
      <rPr>
        <sz val="10"/>
        <rFont val="Calibri"/>
        <family val="2"/>
      </rPr>
      <t xml:space="preserve"> Section 66a (380/2006): “If a residence permit has been applied for on the basis of family ties, account must be taken of the nature and closeness of the alien’s family ties, the duration of his or her residence in the country and the cultural and social ties of his or her family to the home country when considering the refusal of the permit." Section 54 (121/2018) Issue of extended permits: "An alien  who has been issued with a temporary or continuous
residence permit on the basis of family ties may, after these family ties are broken, be issued with a residence permit on the basis of close ties to Finland or on the grounds that his or her personal circumstances are particularly difficult, because his or her spouse committed or endorsed acts of violence or abuse against him or her or his or her child while their family ties were still in force,
and it would be unreasonable to refuse the permit under the circumstances."    </t>
    </r>
  </si>
  <si>
    <r>
      <t xml:space="preserve">This concept does not exist in the Aliens Act. Autonomous recidence permit is aquired through permanent recidence permit: </t>
    </r>
    <r>
      <rPr>
        <b/>
        <sz val="10"/>
        <rFont val="Calibri"/>
        <family val="2"/>
      </rPr>
      <t>Section 56 (380/2006)
Issue of permanent residence permits</t>
    </r>
    <r>
      <rPr>
        <sz val="10"/>
        <rFont val="Calibri"/>
        <family val="2"/>
      </rPr>
      <t xml:space="preserve">
A permanent residence permit is issued to aliens who, after being issued with a  continuous residence permit, have resided legally in the country for a continuous period of four years if the requirements for issuing an alien with a continuous residence permit are still met and there are no obstacles to issuing a permanent resident permit under this Act. Residence is considered continuous if an alien has resided in Finland for at least half the validity period of the residence permit. Absence resulting from ordinary holiday or other travel or work at a work site abroad on secondment by a Finnish employer is not considered an interruption of continuous residence. 
An alien who has been issued with a fixed-term residence permit on the basis of family ties may be issued with a permanent residence permit even though the sponsor does not meet the requirements for the issuing of a permanent residence permit.
The period of four years is calculated from the date of entry into the country if the alien held a residence permit for continuous residence upon entry. If the residence permit was applied for in
Finland, the period of four years is calculated from the first day of the fixed-term residence permit
issued for the first continuous residence in the country.
If a person has been issued with a residence permit on the basis of refugee status or subsidiary
protection, the period of four years is calculated from the date of entry into the
country. (332/2016)
If all or part of the residence referred to in subsection 1 has taken place on the basis of a residence permit issued for studying, and if this residence is to be used when calculating the period of residence, it is required that the student has completed the degree in tertiary education
for which the residence permit was issued. A further requirement for issuing a permanent
residence permit is that the student meets the requirements under which he or she could be
issued with a continuous residence permit other than on the basis of sections 7, 7a or 10 of the
Act on the Conditions of Entry and Residence of Third-Country Nationals for the Purposes of
Research, Studies, Training and Voluntary Service. (1088/2022) https://www.finlex.fi/en/laki/kaannokset/2004/en20040301_20230389.pdf</t>
    </r>
  </si>
  <si>
    <t>Goverment has proposed 2-year-recidency period for family reunification of refugees/TCNs with international protection. The law process is still in the administrative phase https://valtioneuvosto.fi/hanke?tunnus=SM003:00/2024</t>
  </si>
  <si>
    <t>There is no change but I think that the dependency defenition is, in practice, so strict that it means exceptional cisrcumstancis. Official interpretation from Migration service is this: "Financial dependence alone is not enough. The elderly parents, adult children and unmarried siblings of a person who lives in Finland are usually considered to be dependent on their family member. Residence permits are not usually granted on the grounds of poor health and need for care if the applicant has the opportunity to get treatment for his/her illnesses in his/her home country". https://migri.fi/en/my-relative-is-a-finnish-citizen The law "Relatives other than family members of a Finnish citizen living in Finland are issued with a continuous residence permit if refusing a residence permit would be unreasonable because the
persons concerned intend to resume their close family life in Finland or because the relative is fully dependent on the Finnish citizen living in Finland." Section 50 (360/2007) https://www.finlex.fi/en/laki/kaannokset/2004/en20040301.pdf Goverment is planning to remove other relatives options completly but this is sill in the planning phase: https://valtioneuvosto.fi/hanke?tunnus=SM003:00/2024</t>
  </si>
  <si>
    <t xml:space="preserve">No change. The goverment wants to examine the introduction of the language test. Goverment program 2023 p. 201. https://julkaisut.valtioneuvosto.fi/bitstream/handle/10024/165042/Paaministeri-Petteri-Orpon-hallituksen-ohjelma-20062023.pdf?sequence=1&amp;isAllowed=y </t>
  </si>
  <si>
    <t>No change</t>
  </si>
  <si>
    <t>No changes before 1.6.2024. The proposal in parliament adds several details concerning fraud in the acquisition of permit, e.g. using minor as a tool to get a recidence permit (unaccompanied minor asylum seeker) and several new general restrictions such as previous illegal stay or work.</t>
  </si>
  <si>
    <t>No changes, but goverment is planning to increase the required recidence period for permanent recidence permit for 6 years https://valtioneuvosto.fi/hanke?tunnus=SM007:00/2024</t>
  </si>
  <si>
    <t>a and b: Finnish/Swedish as a second language studies; foreign-language background can be taken into account while assessing the matriculation examination; preparatory training for polytechnics education; some specific study programmes offered to migrants in polytechnics; Ministry of Education has made recommendations (Internationalisation strategy for higher education 2009: 21) for the following targeted measures (students with immigrant backgrounds and international students): the development of student selection processes, the allocation of sufficient resources for student guidance, increasing and focusing the instruction in Finnish language and culture, and the development of open higher education studies in order to support the access and particpation of immigrant students in higher education. The institutions of higher education may apply for state support (study vouchers) to support Finnish/Swedish language studies of their students.</t>
  </si>
  <si>
    <t>Name of new law/policy: Act on the Promotion of Immigrant Integration (1386/2010): Immigrants over the compulsory education age are provided with courses of Finnish or Swedish and are, if necessary, taught reading and writing skills and provided with other courses that promote access to employment and further training and social, cultural and life management skills as part of integration training. Integration training may also include identification of previously acquired skills.</t>
  </si>
  <si>
    <t>https://www.oph.fi/fi/usein-kysyttya?keyword=s2</t>
  </si>
  <si>
    <t xml:space="preserve">JAMK University of Applied Sciences offers a training program for teachers with immigrant background to get the Finnish qualifications. </t>
  </si>
  <si>
    <t>Government funded Opettajaksi Suomeen (Come to teach in Finland!) OSU-project with higher education providers aimed for both getting qualifications (A) and increasing employment of teachers with immigrant backgorund (B): https://blogs.tuni.fi/taokblogi/hankkeet/osu-opettajaksi-suomeen-hankkeesta-hyvia-kokemuksia/</t>
  </si>
  <si>
    <t>No changes. TCNs can be charged for higher education (unviversities and polytechnics) if they do not have a recidence permits: foreing stundents outside of EU are in unequal position compared to other migrants and sudents.</t>
  </si>
  <si>
    <t>No essential changes: https://okm.fi/maahanmuuttajien-koulutuksen-kehittaminen</t>
  </si>
  <si>
    <t>No essential changes.  For A, see e.g. https://www.infofinland.fi/fi/education for written information available in different languages. I think B is open for interpretation as there is no provision for advisors or centrers specially for immigrant students. However, immigrant students and children of immigrants have a possibility to take a prepatory course before joining normal school (this is voluntary for the commune, it is not a subjective right for a migrant) and can take special studies for Finnish/Swedish as a secondary language (S2-opetus). https://www.oph.fi/fi/koulutus-ja-tutkinnot/maahanmuuttotaustaiset-oppijat C, Government pays for the interpreation for refugees but not for all migrant children (the schools/communes have to cover rest by themselves). Interpretation has to be organised by public officials if communication is not possible otherwise: https://kotoutuminen.fi/ymmartaminen-ja-tulkkaus</t>
  </si>
  <si>
    <t>No changes: https://www.oph.fi/fi/koulutus-ja-tutkinnot/maahanmuuttotaustaiset-oppijat</t>
  </si>
  <si>
    <t>No essential changes. I think B is open for interpretation because teacher has to be qualified to teache Finnish or Swedish or for small children just have the basic teacher qualification, not necessarly s2-studies. Law: https://www.finlex.fi/fi/laki/alkup/1998/19980986#Pidm46111191061776 ""To qualify as a teacher of Finnish as a second language, one must have the qualifications of a Finnish and national literature teacher. A [basic] school teacher is qualified to teach Finnish as a second language to their own class and to other classes with the qualifications and job title of a [basic] school teacher."  https://www.oph.fi/sites/default/files/documents/oph_suomi_toisena_kielena_esite_210x210_v3_sivuittain.pdf</t>
  </si>
  <si>
    <t>No changes. Goverment supports financially second language teaching https://www.oph.fi/fi/usein-kysyttya?keyword=s2 Some communes support schools with higher level of immigrant students.</t>
  </si>
  <si>
    <t>The national curriculum is same: https://www.oph.fi/i/koulutus-ja-tutkinnot/perusopetuksen-opetussuunnitelman-ydinasiat https://www.oph.fi/fi/koulutus-ja-tutkinnot/kulttuurinen-moninaisuus-ja-kielitietoisuus</t>
  </si>
  <si>
    <t>No essential changes. Intercultural competence is part of the national curriculum. Intercultural training is almost always offered in techer training but it is not obligatory. https://www.oph.fi/sites/default/files/documents/190305_kulttuuriseen_moninaisuuteen_liittyva_osaaminen_perusopetuksessa.pdf</t>
  </si>
  <si>
    <t>From comment in the previous evaluation, there is a government statue from 2015 that grants both a) and b). However, the expert underlines that implementation is not great. The consultation body has been widely criticised for not being independent and representative. They have 10 members out of 30 that are from minority or immigrant groups, so not an immigrant majority and same for government. 
 The government made access to citizenship more restrictive, and this migrant/body made a comment that mentioned a strong stance against this but only from the migrants that are part of this body, a kind of compromise because they couldn’t make a comment as a whole. So the migrants within the body made their own comment. B is too much, because the government doesn’t care much about this body, everybody in finland has the right to make comments on the law.
In the Advisory Council for Ethnic Relations, Etno, only 10 out of 34 members have to be from minority/immigrant groups.  Etno doesn't have an immigrant majority. 
The right of reply is not a formal right, but key ministries and political parties are represented on the Board. Through ETNO, ministries and political parties are made aware of the views of various immigrant organisations, but ETNO doesn't have a formal role that would force the government to consult and respond to it on matters concerning ethnic minorities or immigrant communities. The state names members of this body. And it always has at least 10 immigrant groups represented.
4§ "The tasks of the Advisory Council are
To promote dialogue and cooperation between immigrants, ethnic minorities, public authorities, political parties and non-governmental organisations;
To monitor the development of ethnic relations in society and to take initiatives to increase the participation and influence of immigrants and ethnic minorities, to improve the personal sense of security of these groups and to promote a positive climate of attitudes among the various population groups;
To act as an expert body by providing opinions, proposals and initiatives for the development of various aspects of immigration, integration and equality policies;
To initiate and participate in research and development projects on ethnic relations;
To provide information on the development of ethnic relations and to publicise the benefits of a diverse society".
https://www.finlex.fi/fi/laki/alkup/2015/20150771</t>
  </si>
  <si>
    <t>The previous government recognised that this was an issue, but there is no continuous national information programme on political participation for immigrants.
https://valtioneuvosto.fi/hanke?tunnus=OM036:00/2019
The InfoFinland website is published by the City of Helsinki and funded by the state and InfoFinland member municipalities. However, it does not deal with political rights.
https://www.infofinland.fi/en/</t>
  </si>
  <si>
    <t>This is a difficult question: immigrant organisations are entitled to public funding in same terms as other NGOs and were seen as major partners in integration policy by the last government but there is no separate funding mechanism to ensure the representation of immigration organisations at the national level.
For example, suport can be given social and cutlrual acitivities and anti-racist acitivities:
The Funding Centre for Social Welfare and Health Organisations (STEA)
https://www.stea.fi/avustusten-hakeminen/myonnetyt-avustukset/jarjestoluokat/
https://www.taike.fi/en/calls-for-applications/call-applications-2023-subsidies-promoting-cultural-diversity-and-combating
https://okm.fi/en/subsidies
To sum up, criteria is not different for immigration groups compared to other NGOs but funding is mostly project based and has a set of criteria related so health, social cohesion, culture, integration etc.</t>
  </si>
  <si>
    <t xml:space="preserve">There was a national campaign to support voting in communal elections that included a Facebook-page and posts in different languages, materials (that are not anymore available and public events in 2021): The Ministry of Justice, the Advisory Board for Ethnic Relations (ETNO), and the umbrella organization for immigrant associations, Moniheli ry, launched a joint election information and training campaign for immigrants during the 2021 municipal elections. The campaign aimed to spread information about elections, political parties, and safe voting practices through organizational networks. ETNO also produced election materials in Finnish, Swedish, and five commonly spoken foreign languages (English, Russian, Estonian, Arabic, and Somali) to encourage multilingual residents to participate as voters and candidates. </t>
  </si>
  <si>
    <t>Last government produced a report that recommended the goverment to ensure that immigration organisation would have the resource to consult government in matters of political particiapation:
https://julkaisut.valtioneuvosto.fi/bitstream/handle/10024/164204/OM_2022_27_ML.pdf?sequence=1&amp;isAllowed=y</t>
  </si>
  <si>
    <t>No change, Kuntalaki 71-78 § https://www.finlex.fi/fi/laki/ajantasa/2015/20150410#O4L10P71</t>
  </si>
  <si>
    <t>There is no requirement for renewal, but more than 2 years continous absense on permanent basis can lead to cancellation of the permit: "Your fixed-term or permanent residence permit will be withdrawn if you move out of the country permanently or if you have continuously resided outside Finland for over 2 years for permanent purposes." https://migri.fi/en/cancellation-of-a-permit</t>
  </si>
  <si>
    <t>This will change to 6 years, but the law proposal is still in the administrative phase: https://valtioneuvosto.fi/hanke?tunnus=SM007:00/2024</t>
  </si>
  <si>
    <t>This will change, but the law is still in the administrative phase: https://valtioneuvosto.fi/hanke?tunnus=SM007:00/2024</t>
  </si>
  <si>
    <t>A new fixed-term residence permit is issued if the requirements under which the alien was issued with his or her previous fixed-term residence permit are still met (and fixed-term recidence permits have income requirements, although there are exceptions to this). Social security benefits compensating for expenses such as child benefit are allowed, social assistance like income support is not. Section 54 (121/2018) Issue of extended permits, Aliens Act (301/2004,) https://www.finlex.fi/en/laki/kaannokset/2004/en20040301_20230389.pdf For details on income requiremenent: https://migri.fi/en/income-requirement https://migri.fi/en/income-requirement-for-family-members-of-a-person-who-has-been-granted-a-residence-permit-in-finland. MPG decision: Nothing has changed compared to previous evaluation, just a more restrictive interpretation.100 is still justified. In the previous evaluation the expert has written other sources of income, and migrants can access some benefits that compensate for expenses.</t>
  </si>
  <si>
    <t>fb102_new</t>
  </si>
  <si>
    <t>Child's citizenship depends on parents' nationality.If the parent is not Finnish, children can apply if they meet the residence requirements. Nationality act, Section 9. https://www.finlex.fi/en/laki/kaannokset/2003/en20030359_20070974.pdf</t>
  </si>
  <si>
    <t>Naturalisation is not tied to any spcific income source but you have to proof that you have had legimate income during your recidency in Finland: "5) he or she can provide a reliable account of his or her livelihood;" Nationality Act, section 13. https://www.finlex.fi/en/laki/kaannokset/2003/en20030359_20070974.pdf</t>
  </si>
  <si>
    <r>
      <t xml:space="preserve">There is an integrity requirement in the Nationality Act: Section 13, Nationality Act: "he or she has not committed any punishable act nor has a restraining order been issued against him or her (integrity requirement)." 
</t>
    </r>
    <r>
      <rPr>
        <b/>
        <sz val="10"/>
        <rFont val="Calibri"/>
        <family val="2"/>
      </rPr>
      <t xml:space="preserve">Instead of refusal, a waiting period can be assigned. The law doesn't state any specific limit concerning the length of the prison sentence, but a small sentence will result for a short waiting period, a long sentence leads to a long waiting period or to a refusal. </t>
    </r>
    <r>
      <rPr>
        <sz val="10"/>
        <rFont val="Calibri"/>
        <family val="2"/>
      </rPr>
      <t>See https://migri.fi/en/integrity</t>
    </r>
    <r>
      <rPr>
        <b/>
        <sz val="10"/>
        <rFont val="Calibri"/>
        <family val="2"/>
      </rPr>
      <t xml:space="preserve">
</t>
    </r>
    <r>
      <rPr>
        <sz val="10"/>
        <rFont val="Calibri"/>
        <family val="2"/>
      </rPr>
      <t>The Finnish orignal law:
https://www.finlex.fi/fi/laki/ajantasa/2003/20030359#L3P19
Machine translation of the relevant statues:
Section 19 (20.5.2011/579), Exception to the integrity requirement
A foreigner can be granted Finnish citizenship despite the obstacle mentioned in Section 13, Subsection 1, Clause 3, if there is a justified reason based on a comprehensive assessment of the applicant's situation to make an exception to the integrity requirement. In the assessment, particular attention is paid to:
1. The time elapsed since the crime or crimes.
2. The nature of the act and the severity of the punishment imposed for the act.
3. Whether the applicant has repeatedly committed punishable acts.
A conviction given abroad can also be taken into account in the assessment if the act for which the punishment was imposed would be considered a crime under Finnish law if committed under similar circumstances.
A foreigner referred to in Subsection 1 cannot be granted citizenship until the probation period of a conditional prison sentence or the restraining order imposed on them has ended.
Section 19 a (20.5.2011/579), Determination of the waiting period
If a citizenship application is rejected based on Section 13, Subsection 1, Clause 3, a waiting period can be set for the applicant during which they will not be granted citizenship without a justified reason. Granting citizenship during or after the waiting period requires a new application, and the fulfillment of the conditions for granting citizenship is reassessed.
The waiting period referred to in Subsection 1 is:
1. For a fine, at least one year and at most three years from the date of the crime.
2. For a conditional prison sentence, supervision sentence, community service, juvenile punishment, and a crime for which the court has not imposed a sentence, at least two and at most four years from the date of the crime. (10.4.2015/409)
3. For an unconditional prison sentence, at least three and at most seven years from the completion of the sentence.
If the applicant has committed more than one punishable act, the waiting periods for different acts are not added together. Instead, the latest end date of the alternative waiting periods is chosen, and an additional period of at least two months and at most one year is added for each other act based on the nature of the act and the severity of the punishment imposed, ensuring that the waiting period does not exceed the maximum period specified in Subsection 2.
The length of the waiting period according to Subsections 2 and 3 is determined based on a comprehensive assessment of the applicant's situation. In this comprehensive assessment, the factors referred to in Section 19 and the applicant's individual circumstances are taken into account.</t>
    </r>
  </si>
  <si>
    <t>Finland accepts multiple citizenship. In other words, a Finnish citizen may also be a citizen of some other country. https://migri.fi/en/finnish-citizenship</t>
  </si>
  <si>
    <t>Requirement will change for 8 years of residence. New law is in the parliament and will be most likely accepted during June: https://intermin.fi/hankkeet/hankesivu?tunnus=SM034:00/2023</t>
  </si>
  <si>
    <t>No changes.</t>
  </si>
  <si>
    <t>No changes, Section 17 (579/2011)
Proof of language skills, https://www.finlex.fi/en/laki/kaannokset/2003/en20030359_20220781.pdf To obtain Finnish citizenship, you must have at least satisfactory skills in the Finnish or Swedish language. One way to prove that you have sufficient language skills is to take the National Certificate of Language Proficiency test (also known as the YKI test). Your skills in the Finnish or Swedish language are sufficient if you pass
one oral subtest and
one written subtest
with at least grade 3 (intermediate-level test) in the test for the National Certificate of Language Proficiency (YKI test). Grade 3 on the intermediate level corresponds to the level B1 in the Common European Framework of Reference for Languages (CEFR). https://migri.fi/en/national-certificate-of-language-proficiency-yki-</t>
  </si>
  <si>
    <t>Citizenship test is planned, the law proposal is in administrative phase, https://intermin.fi/hankkeet/hankesivu?tunnus=SM056:00/2023</t>
  </si>
  <si>
    <t>Additional requirements will be introduced, law proposal stil in administrative phase:  https://intermin.fi/hankkeet/hankesivu?tunnus=SM055:00/2023</t>
  </si>
  <si>
    <t>This will also be made more strict, law proposal still in the ministry: https://intermin.fi/hankkeet/hankesivu?tunnus=SM055:00/2023</t>
  </si>
  <si>
    <t>Discrimination is banned in the Non-Discrimination Act (Yhdenvertaisuuslaki 2014/1325), in the Finnish Constitution Suomen perustuslaki 1999/731) and in the Criminal Code . Each has a slightly different wording. Non-discrimination act mentions origin, nationality, religion and belief: Section 8 Prohibition of discrimination: “(1) No one may be discriminated against on the basis of age, origin, nationality, language, religion, belief, opinion, political activity, trade union activity, family relationships, state of health, disability, sexual orientation or other personal characteristics. Discrimination is prohibited, regardless of whether it is based on a fact or assumption concerning the person him/herself or another. (2) In addition to direct and indirect discrimination, harassment, denial of reasonable accommodation as well as an instruction or order to discriminate constitute discrimination as referred to in this Act.”
https://www.finlex.fi/fi/laki/ajantasa/2014/20141325
https://www.finlex.fi/fi/laki/kaannokset/2014/en20141325.pdf
The Finnish Constitution covers origin and religion but not nationality: Section 6 -Equality: “Everyone is equal before the law. No one shall, without an acceptable reason, be treated differently from other persons on the ground of sex, age, origin, language, religion, conviction, opinion, health, disability or other reason that concerns his or her person.”
https://www.finlex.fi/fi/laki/ajantasa/1999/19990731
https://www.finlex.fi/en/laki/kaannokset/1999/en19990731.pdf
Criminal Code covers race, national or ethnic origin and religion: Section 11 (885/2009) Discrimination: “A person who in his or her trade or profession, service of the general public, official duties or other public function or in the arrangement of a public occasion or meeting, without an acceptable reason,
1) refuses someone service in accordance with the generally applicable conditions,
2) refuses someone entry to the occasion or meeting or ejects him or her, or
3) places someone in a manifestly unequal or otherwise essentially inferior position
on the basis of his or her race, national or ethnic origin, (skin)colour, language, sex, age, family relations, sexual orientation, genetic inheritance, disability or state of health, or religion, societal opinion, political or vocational activities or another comparable factor shall, unless the act is punishable as work discrimination or extortionate work discrimination, be sentenced for discrimination to a fine or to imprisonment for at most six months.”
https://www.finlex.fi/fi/laki/ajantasa/1889/18890039001#L11
https://www.finlex.fi/en/laki/kaannokset/1889/en18890039_20210433.pdf</t>
  </si>
  <si>
    <t>Note to gp123-126: The main legal instrument for non-discrimination in Finland is the Non-Discrimination Act. It covers all public and private activities. It includes special provisions for education, pre-school providers and employers in the chapter that concerns equality promotion, for example, the duty to make equality plans for the organisation. The non-discrimination chapter does not name fields of application per sector. There are, of course, sector specific legislation, and these often have a statue on equal treatment of citizens, customers, patients, students but these statues don’t explicitly site origin, nationality or religion; just the ban of discrimination; and sometimes they refer back to the Non-discrimination law (see details below):
See the website created by the Ministry of Justice for an overall plan of the Finnish equality legislation:
https://yhdenvertaisuus.fi/lainsaadanto
See Section 2 “Scope of application” of the Non-discrimination Act : “This Act applies to both public and private activities”. (Law covers origin, religion and nationality, see the first question of the strand). In addition: 1) Non-discrimination Act, Section 6 Duty of the education provider to promote equality and Section 7 Employer's duty to promote equality. 2) The Employment Contracts Act 26.1.2001/55, 2 § (30.12.2014/1331). Please note, that this section refers explicitly back to the Non-discrimination Act and the definition of non-discrimination stated in it. https://www.finlex.fi/fi/laki/ajantasa/2001/20010055#L2P2</t>
  </si>
  <si>
    <t>See Section 2 “Scope of application” of the Non-discrimination Act : “This Act applies to both public and private activities”. (Law covers origin, religion and nationality, see the first question of the strand). In addition: 1) Non-discrimination Act, Section 6, Duty of the education provider to promote equality. 2) Basic Education Act (Perusopetuslaki 1998/628), 2 §: ”Further, the aim of education shall be to secure adequate equity in education throughout the country.”
https://www.finlex.fi/fi/laki/ajantasa/1998/19980628
https://www.finlex.fi/en/laki/kaannokset/1998/en19980628_20100642.pdf</t>
  </si>
  <si>
    <t>See Section 2 “Scope of application” of the Non-Discrimination Act : “This Act applies to both public and private activities”. (Law covers origin, religion and nationality, see the first question of the strand). Social protection is not mentioned explicitely in the act. In addtion: Act on the Status and Rights of Social Welfare Clients (Laki sosiaalihuollon asiakkaan asemasta ja oikeuksista, 2000/812), chapter 2, section 4: Rights and responsibilities of the customer: ”The customer has the right to receive high-quality social welfare and good treatment from the social welfare provider without discrimination.” https://www.finlex.fi/fi/laki/ajantasa/2000/20000812</t>
  </si>
  <si>
    <t>See the Non-Discrimination Act, section 2, Scope of application: ”This Act applies to both public and private activities” (Law covers origin, religion and nationality, see the first question of the strand). Acces to public goods is not mentioned explicitely in the act but section 5 gives all public officials the duty to enhance equality. In addtion: Administrative law (Hallintolaki 2003/434), section 6 Administrative principles: ”A public authority shall treat those involved in administration impartially and shall use its powers solely for purposes that are acceptable under the law.” https://www.finlex.fi/fi/laki/ajantasa/2003/20030434</t>
  </si>
  <si>
    <t>NOTE: “d)h) specific sanctions for legal persons” is a bit unclear: Criminal Code doesn’t mention legal persons explicitly but the Non-Discrimination Act names some actors in the context of compensation such as education provider or employer that can be seen as legal persons, see below. Equality bodies do not have the power to impose sanctions except the Tribunal can impose a conditional fine to stop offending.
A) There is access for criminal and administrative remedies. See Criminal Code (Rikoslaki (39/1889) chapter 11, section 11 and section 19 for of the Non-Discrimination Act (1325/2014) for an example of administrative procedure. 
B) In civil and administrative process not in criminal. See section 28 of the Non-Discrimination Act.
C) “The Non-Discrimination Ombudsman can assist or assign a subordinate official to assist a person who has been subjected to discrimination or retaliation, or a potential victim of human trafficking, in securing their rights, or if necessary, obtain legal aid for this purpose.” Section 7, Legal aid, of the Act on the Non-Discrimination Ombudsman (Laki yhdenvertaisuusvaltuutetusta 2014/1326).
D) Right to restitution is defined in the section 23 of the Non-Discrimination Act. See section 20 on the right of the National Non-Discrimination and Equality Tribunal to impose a conditional fine to enhance its order. Section 23 of the Non-Discrimination Act gives the victim a right to restitution/compensation from a public official, employer, education provider, preschool education provides or other provider of goods and services.</t>
  </si>
  <si>
    <t xml:space="preserve">There are too specialised equality bodies in Finland: The Non-Discrimination Ombudsman and the National Non-Discrimination and Equality Tribunal. Their task is to supervise compliance with the provisions of the Non-Discrimination Act (section 18, the Non-Discrimination Act) which include discrimination based on origin, nationality and religion. </t>
  </si>
  <si>
    <t xml:space="preserve">A) The Non-Discrimination Ombudsman can assist victims of discrimination in securing their rights (see section 19 of the Non-Discrimination Act and section 7 of the Act on the Non-Discrimination Ombudsman). 
B) and C) The Non-Discrimination Ombudsman has the power to get information, get an answer form public officials, employers and service providers and a right to do an inspection into the space of public officials, employers and service providers (Sections 4-6 of the Act on the Non-Discrimination Ombudsman). Courts have to give the Ombudsman a possibility to be heard in matters of discrimination (Section 27 of the Non-Discrimination Act). </t>
  </si>
  <si>
    <t>Additional responsibilities for employers were added, law was accepted in November 2022: 
-	The authority of the Equality Ombudsman in working life is expanded, and in the future, the Ombudsman will have the authority to monitor compliance with the Equality Act in individual cases of discrimination in working life.
-	The duty to promote equality under the Non-discrimination Act is clarified concerning what public authorities, education and early childhood education providers and employers must take into account when assessing the equality situation. The assessment must take into account all the grounds of discrimination mentioned in the Equality Act.
-	According to the revised Non-discrimination Act, employers must also assess the state of equality in recruitment, and the workplace equality plan must include a report on the conclusions of the equality assessment.
https://www.eduskunta.fi/FI/vaski/HallituksenEsitys/Sivut/HE_148+2022.aspx
https://yhdenvertaisuusvaltuutettu.fi/-/yhdenvertaisuuslaki-muuttuu-1.6.2023-lakimuutokset-edistavat-syrjintaa-kohtaavien-ihmisten-oikeussuojaa</t>
  </si>
  <si>
    <t>Amenmendts to the Non-discrimiantion law were accepted in November 2022: 
- The obligation to promote equality and to create an equality plan is extended to preschool education providers and service providers.
- Additionally, the responsibility of preschool education providers and education providers to address known harassment is strengthened and clarified. If an education or preschool education provider neglects their duty to take action to eliminate harassment, the education or early childhood education provider is guilty of discrimination.
https://www.eduskunta.fi/FI/vaski/HallituksenEsitys/Sivut/HE_148+2022.aspx
https://yhdenvertaisuusvaltuutettu.fi/-/yhdenvertaisuuslaki-muuttuu-1.6.2023-lakimuutokset-edistavat-syrjintaa-kohtaavien-ihmisten-oikeussuojaa</t>
  </si>
  <si>
    <t>November 2022: Furthermore, the amended Act allows a matter to be referred to the National Non-Discrimination and Equality Tribunal without specifying an individual victim. The National Non-Discrimination and Equality Tribunal will be able to recommend the payment of compensation to victims of discrimination or reprisals in future as well. https://yhdenvertaisuusvaltuutettu.fi/en/-/the-non-discrimination-act-is-changing-on-1-june-2023-amendments-improve-the-legal-protection-of-discrimination-victims</t>
  </si>
  <si>
    <t>No change, see 2020.</t>
  </si>
  <si>
    <t>No changes, see 2020 &amp; 2022.</t>
  </si>
  <si>
    <t>No changes, see 2020.</t>
  </si>
  <si>
    <t>No changes, see 2020 and 2022</t>
  </si>
  <si>
    <t>Only urgent care and costs have to be paid by the user. See the situation before 2023:
https://www.eduskunta.fi/FI/vaski/HallituksenEsitys/Sivut/HE_112+2022.aspx</t>
  </si>
  <si>
    <t xml:space="preserve">Before the current law the doctors were ofthen unaware of their legal responsibilities and legal definitios and basic concepts of immgiration law. https://www.laakarilehti.fi/tieteessa/katsausartikkeli/kuinka-hoidan-paperitonta-potilasta-2852/?public=09d807b6b8753825575ecb3ffeb0fe54
</t>
  </si>
  <si>
    <t>A &amp; B. For legal migrants, see e.g. https://www.infofinland.fi/en/health, asylum seekers should get health counselling in two weeks to learn their entitlements etc. https://thl.fi/en/topics/migration-and-cultural-diversity/immigrants-health-and-wellbeing/asylum-seekers/asylum-seekers-health-and-services</t>
  </si>
  <si>
    <t>The FinMonik Survey is implemented by The Finnish Institute for Health and Welfare (THL). The survey includes reliable information about the well-being and health, working ability and functional capacity, service use and experiences of foreign population. Information about employment and possible barriers to finding work as well as possible experiences of discrimination were also collected. https://thl.fi/en/research-and-development/research-and-projects/survey-on-well-being-among-foreign-born-population-finmonik-</t>
  </si>
  <si>
    <r>
      <t xml:space="preserve">A law was passed on 20.12.2022 to give undocumented migrants rights for similar health care as for asylum seekers (1185/2022). 
https://www.eduskunta.fi/FI/vaski/KasittelytiedotValtiopaivaasia/Sivut/HE_112+2022.aspx
Undocumented migrants living in Finnish municipalities have the right to necessary health care services. In addition to urgent care, adult undocumented persons are entitled to non-urgent services based on the judgement of health care personnel. Undocumented children under the age of 18 have rights to the same services as children with an assigned municipality of residence. Adult undocumented persons are entitled to non-urgent services that health care personnel deem necessary based on the person’s health condition and the duration of their residence. 
If the person doesn’t have funds, public health care provider can stop demanding for payment the and ask the funds from state.
https://thl.fi/en/topics/migration-and-cultural-diversity/immigrants-health-and-wellbeing/health-services-for-undocumented-migrants. </t>
    </r>
    <r>
      <rPr>
        <b/>
        <sz val="10"/>
        <rFont val="Calibri"/>
        <family val="2"/>
      </rPr>
      <t>Thomas feedback on 2022 law</t>
    </r>
    <r>
      <rPr>
        <sz val="10"/>
        <rFont val="Calibri"/>
        <family val="2"/>
      </rPr>
      <t>: The issue here, which we discussed with other countries, is that this question on conditions once involved two sub-questions (in this case, 147a and 147b). One concerned the degree of access (a) and the other concerned the cost (b). So it sounds like there was a change in b (which is no longer a MIPEX question), but not a. So in that case, there would be no rescoring and no change over time in 2022. Again, this might be a question to consider revising to include back both a &amp; b but then the question/answers would have to be revised and additional data collected.</t>
    </r>
  </si>
  <si>
    <t>All permanent residents with a Finnish municipality of residence are entitled to health care and social security benefits from Kela with similar terms as citizens. The health care rights of temporary migrants depend on her/his  
a) reason for migrating to Finland,
b) country of origin,
c) intended length of stay in Finland
The Municipality of Residence Act (Kotikuntalaki 1994/201) determines if a person is to be granted health care services by the public health system. Providing health insurance coverage is determined based on the Health Insurance Act (Sairausvakuutuslaki 2004/1224) and the Act on residence-based social security in cross-border situations (Laki asumisperusteisesta sosiaaliturvasta rajat ylittävissä tilanteissa 2019/16). 
https://www.kela.fi/from-other-countries-to-finland-medical-care
The largest migrant group that is, partly, outside of the public health coverage are TCN students. They have to buy a private insurance before coming to Finland. EU-students with European Health Insurance Card (EHIC) don’t have this condition. However, if TCN students with a residence permit for students are working at the same time, they can have access to public health coverage based on employment; and if they are going to study for more than 2 years, they might also have access to health care. All students studying at the universities or polytechnics, except exchange students, have access to basic health care via Finnish Student Health Service. 
https://migri.fi/en/insurance
Temporary workers are also entitled to public health coverage but they have to apply for it depending on the circumstances and country of origin:
https://www.kela.fi/from-other-countries-to-finland-medical-care</t>
  </si>
  <si>
    <t>Legal migrants having home municipality receive national health card with individual identification number from Social Security Institute Kela. With this card he/she has right to reimbursement and use of health services. This concerns also nationals.
There are more demands for students and temporary workers. However, they can apply from Social Security Institute Kela a decisions about their inclusion to public coverage. 
https://www.kela.fi/how-to-apply-for-entitlement-to-medical-care-in-finland
According to the Finnish Institute for Health and Welfare (THL) troblems with access to health care by immigrants usually concern issues that are more complex than lack of documentation:
https://thl.fi/en/topics/migration-and-cultural-diversity/immigrants-health-and-wellbeing/health-and-social-services-for-immigrants</t>
  </si>
  <si>
    <t>Adult asylum seekers in Finland are entitled to URGENT AND ESSENTIAL TREATMENT. (26 § Vastaanottolaki 746/2011 ja 50 § Terveydenhuoltolaki). This means primary care services provided in the reception centres of asylum seekers. Referrals to specialised care are made by medical doctor in reception centres if the ill-health of the seeker is threatening her/his life and other specialised necessary care to maintain asylum seeker’s stable health status. Necessary care is also determined to be maternity care and care of chronic diseases (incl also serious mental health problems, dental care). Minor asylum seekers have a right to health care on the same grounds as municipal residents.
https://thl.fi/en/topics/migration-and-cultural-diversity/immigrants-health-and-wellbeing/asylum-seekers/asylum-seekers-health-and-services
The statues in Finnish:
https://www.finlex.fi/fi/laki/ajantasa/2011/20110746#L3P26
https://www.finlex.fi/fi/laki/ajantasa/2010/20101326#P50</t>
  </si>
  <si>
    <t>B Definition of “necessary care’” for asylum seekers gives a lot of discretion for the personnel; also different practices in giving information and providing guidance in different centres and communes.
Turvapaikanhakijoiden suuri määrä koetteli terveydenhuollon valmiutta. Helve, Otto; Tuomisto, Karolina; Tiittala, Paula (2018), Lääkärilehti. https://www.julkari.fi/handle/10024/135998 
Tuomisto et al. 2019. Refugee crisis in Finland: Challenges to safeguarding the right to health for asylum seekers. Health Policy https://www.sciencedirect.com/science/article/pii/S016885101830681X</t>
  </si>
  <si>
    <t>The current government wants to abolish the access to medial care outside of urgent care. The proposal will be in the parliament in autumn 2024.
https://stm.fi/hanke?tunnus=STM054%3A00%2F2023</t>
  </si>
  <si>
    <t>B (?) The law has been in use only in 2023 and 2024 so there is not much national experience on possible administrative issues. According to the law, medical personnel have to asses both the necessity of the care and the duration of the person's stay in Finland - both give a lot of discretion. I don't think anyone knows if social and medial personel are now able to recognise undocumented patients but, at least, there are now legal defenitions.
https://www.kela.fi/yhteistyokumppanit-terveydenhuolto-kansainvaliset-tilanteet-oikeus-hoitoon#asiakkaalla-ei-ole-kotikuntaa-suomessa-eika-hoito-oikeustodistusta NGO Global Clinic also provides councelling for professinals to help them to navigate the legal definitions: https://globalclinic.fi/ammattilaiset/</t>
  </si>
  <si>
    <t>See 2020</t>
  </si>
  <si>
    <t>0 if this means a national policy to reacht out immigrants in health issues, otherwise 33. Depends what reaching means. Health education is part of the national curriculum and during Korona immigrants reported that they got enough information about the epidemic almost at the same level as nationals: https://thl.fi/documents/155392151/190385915/Erilliskatsaus.+Maahan+muuttaneiden+tiedonsaanti,+viranomaissuositusten+noudattaminen+ja+ty%C3%B6olot+koronavirusepidemian+aikana+17.3.2021.pdf/d3fa275b-06d5-690a-b3e6-d7a26d35f83a/Erilliskatsaus.+Maahan+muuttaneiden+tiedonsaanti,+viranomaissuositusten+noudattaminen+ja+ty%C3%B6olot+koronavirusepidemian+aikana+17.3.2021.pdf?t=1616052187896 Finland does not have a national strategy for improving health literacy of immigrants, according to this 2022 study https://www.diva-portal.org/smash/get/diva2:1663538/FULLTEXT01.pdf It also mentions the infofinland.fi website: https://www.infofinland.fi/en/health and health education in schools.</t>
  </si>
  <si>
    <t>https://kotoutuminen.fi/en/understanding-and-interpretation https://www.laakarilehti.fi/ajassa/ajankohtaista/kuka-paattaa-tulkin-tarpeesta/ https://www.hus.fi/ajankohtaista/kulttuuritaustan-ymmartaminen-ja-tulkkaus-auttavat-kohtaamaan-potilaan</t>
  </si>
  <si>
    <t>Importance of participation is aknowlwdged in the handbook on mental health of migrants by the the Finnish Institute for Health and Welfare (THL). https://www.julkari.fi/bitstream/handle/10024/136193/7.8.PALOMA_KA%cc%88SIKIRJA_WEB.pdf?sequence=4&amp;isAllowed=y Intergratoin program of the last government mentions participation in general level but not in design of health services. https://julkaisut.valtioneuvosto.fi/bitstream/handle/10024/163237/VN_2021_62.pdf?sequence=1&amp;isAllowed=y</t>
  </si>
  <si>
    <r>
      <t xml:space="preserve">"The MoniSuomi survey aims to produce information on the </t>
    </r>
    <r>
      <rPr>
        <b/>
        <sz val="11"/>
        <color theme="1"/>
        <rFont val="Calibri"/>
        <family val="2"/>
        <scheme val="minor"/>
      </rPr>
      <t>health, well-being, and social and healthcare service use</t>
    </r>
    <r>
      <rPr>
        <sz val="11"/>
        <color theme="1"/>
        <rFont val="Calibri"/>
        <family val="2"/>
        <scheme val="minor"/>
      </rPr>
      <t xml:space="preserve"> among the foreign-born population living in Finland. The information provided by the </t>
    </r>
    <r>
      <rPr>
        <b/>
        <sz val="11"/>
        <color theme="1"/>
        <rFont val="Calibri"/>
        <family val="2"/>
        <scheme val="minor"/>
      </rPr>
      <t>MoniSuomi survey will help in promoting equality for foreign-born population in Finland</t>
    </r>
    <r>
      <rPr>
        <sz val="11"/>
        <color theme="1"/>
        <rFont val="Calibri"/>
        <family val="2"/>
        <scheme val="minor"/>
      </rPr>
      <t>."  https://thl.fi/en/research-and-development/research-and-projects/national-survey-on-health-well-being-and-service-use-among-foreign-born-population-monisuomi-</t>
    </r>
  </si>
  <si>
    <t>50 OR 0. The Finnish Institute for Health and Welfare (THL) follows regularly development of health of foreign born population and use of health services by the immigrant population. They also run the national PALOMA Center of Expertise that enhances the mental health of people with a refugee background who have moved to Finland. https://thl.fi/en/topics/migration-and-cultural-diversity/contact/paloma-center-of-expertise-in-refugee-mental-health-work</t>
  </si>
  <si>
    <r>
      <rPr>
        <b/>
        <sz val="10"/>
        <color rgb="FF000000"/>
        <rFont val="Calibri"/>
        <family val="2"/>
      </rPr>
      <t>100</t>
    </r>
    <r>
      <rPr>
        <sz val="10"/>
        <color rgb="FF000000"/>
        <rFont val="Calibri"/>
        <family val="2"/>
      </rPr>
      <t xml:space="preserve"> - All of them
</t>
    </r>
    <r>
      <rPr>
        <b/>
        <sz val="10"/>
        <color rgb="FF000000"/>
        <rFont val="Calibri"/>
        <family val="2"/>
      </rPr>
      <t>50</t>
    </r>
    <r>
      <rPr>
        <sz val="10"/>
        <color rgb="FF000000"/>
        <rFont val="Calibri"/>
        <family val="2"/>
      </rPr>
      <t xml:space="preserve"> - A and (C or certain categories of B)
</t>
    </r>
    <r>
      <rPr>
        <b/>
        <sz val="10"/>
        <color rgb="FF000000"/>
        <rFont val="Calibri"/>
        <family val="2"/>
      </rPr>
      <t>0</t>
    </r>
    <r>
      <rPr>
        <sz val="10"/>
        <color rgb="FF000000"/>
        <rFont val="Calibri"/>
        <family val="2"/>
      </rPr>
      <t xml:space="preserve"> - Only A or none</t>
    </r>
  </si>
  <si>
    <r>
      <rPr>
        <b/>
        <sz val="10"/>
        <color rgb="FF000000"/>
        <rFont val="Calibri"/>
        <family val="2"/>
      </rPr>
      <t>100</t>
    </r>
    <r>
      <rPr>
        <sz val="10"/>
        <color rgb="FF000000"/>
        <rFont val="Calibri"/>
        <family val="2"/>
      </rPr>
      <t xml:space="preserve"> - Yes. There are no additional restrictions than those based on type of permit mentioned in 1 
</t>
    </r>
    <r>
      <rPr>
        <b/>
        <sz val="10"/>
        <color rgb="FF000000"/>
        <rFont val="Calibri"/>
        <family val="2"/>
      </rPr>
      <t>50</t>
    </r>
    <r>
      <rPr>
        <sz val="10"/>
        <color rgb="FF000000"/>
        <rFont val="Calibri"/>
        <family val="2"/>
      </rPr>
      <t xml:space="preserve"> - Other limiting conditions that apply to foreign residents, e.g. 
</t>
    </r>
    <r>
      <rPr>
        <b/>
        <sz val="10"/>
        <color rgb="FF000000"/>
        <rFont val="Calibri"/>
        <family val="2"/>
      </rPr>
      <t>0</t>
    </r>
    <r>
      <rPr>
        <sz val="10"/>
        <color rgb="FF000000"/>
        <rFont val="Calibri"/>
        <family val="2"/>
      </rPr>
      <t xml:space="preserve"> - Certain sectors and activities solely for nationals (please specify)</t>
    </r>
  </si>
  <si>
    <r>
      <rPr>
        <b/>
        <sz val="10"/>
        <color rgb="FF000000"/>
        <rFont val="Calibri"/>
        <family val="2"/>
      </rPr>
      <t>100</t>
    </r>
    <r>
      <rPr>
        <sz val="10"/>
        <color rgb="FF000000"/>
        <rFont val="Calibri"/>
        <family val="2"/>
      </rPr>
      <t xml:space="preserve"> - Yes. There are no additional restrictions than those based on type of permit mentioned in 1
</t>
    </r>
    <r>
      <rPr>
        <b/>
        <sz val="10"/>
        <color rgb="FF000000"/>
        <rFont val="Calibri"/>
        <family val="2"/>
      </rPr>
      <t>50</t>
    </r>
    <r>
      <rPr>
        <sz val="10"/>
        <color rgb="FF000000"/>
        <rFont val="Calibri"/>
        <family val="2"/>
      </rPr>
      <t xml:space="preserve"> - Other limiting conditions that apply to foreign residents, e.g. linguistic testing (please specify)
</t>
    </r>
    <r>
      <rPr>
        <b/>
        <sz val="10"/>
        <color rgb="FF000000"/>
        <rFont val="Calibri"/>
        <family val="2"/>
      </rPr>
      <t>0</t>
    </r>
    <r>
      <rPr>
        <sz val="10"/>
        <color rgb="FF000000"/>
        <rFont val="Calibri"/>
        <family val="2"/>
      </rPr>
      <t xml:space="preserve"> - Certain sectors and activities solely for nationals (please specify)</t>
    </r>
  </si>
  <si>
    <r>
      <rPr>
        <b/>
        <sz val="10"/>
        <color rgb="FF000000"/>
        <rFont val="Calibri"/>
        <family val="2"/>
      </rPr>
      <t>100</t>
    </r>
    <r>
      <rPr>
        <sz val="10"/>
        <color rgb="FF000000"/>
        <rFont val="Calibri"/>
        <family val="2"/>
      </rPr>
      <t xml:space="preserve"> - All of them has access to both 1) and 2)
67 - All of them has access to 1) 
</t>
    </r>
    <r>
      <rPr>
        <b/>
        <sz val="10"/>
        <color rgb="FF000000"/>
        <rFont val="Calibri"/>
        <family val="2"/>
      </rPr>
      <t>33</t>
    </r>
    <r>
      <rPr>
        <sz val="10"/>
        <color rgb="FF000000"/>
        <rFont val="Calibri"/>
        <family val="2"/>
      </rPr>
      <t xml:space="preserve"> - A and (C or certain categories of B) has equal access to 1)
</t>
    </r>
    <r>
      <rPr>
        <b/>
        <sz val="10"/>
        <color rgb="FF000000"/>
        <rFont val="Calibri"/>
        <family val="2"/>
      </rPr>
      <t>0</t>
    </r>
    <r>
      <rPr>
        <sz val="10"/>
        <color rgb="FF000000"/>
        <rFont val="Calibri"/>
        <family val="2"/>
      </rPr>
      <t xml:space="preserve"> - Only A or none has equal access to 1) 
</t>
    </r>
  </si>
  <si>
    <r>
      <rPr>
        <b/>
        <sz val="10"/>
        <color rgb="FF000000"/>
        <rFont val="Calibri"/>
        <family val="2"/>
      </rPr>
      <t>100</t>
    </r>
    <r>
      <rPr>
        <sz val="10"/>
        <color rgb="FF000000"/>
        <rFont val="Calibri"/>
        <family val="2"/>
      </rPr>
      <t xml:space="preserve"> - Same procedures and fees as for nationals 
</t>
    </r>
    <r>
      <rPr>
        <b/>
        <sz val="10"/>
        <color rgb="FF000000"/>
        <rFont val="Calibri"/>
        <family val="2"/>
      </rPr>
      <t>50</t>
    </r>
    <r>
      <rPr>
        <sz val="10"/>
        <color rgb="FF000000"/>
        <rFont val="Calibri"/>
        <family val="2"/>
      </rPr>
      <t xml:space="preserve"> - Different procedure than for nationals (e.g. more documents and/or higher fees are required)
</t>
    </r>
    <r>
      <rPr>
        <b/>
        <sz val="10"/>
        <color rgb="FF000000"/>
        <rFont val="Calibri"/>
        <family val="2"/>
      </rPr>
      <t>0</t>
    </r>
    <r>
      <rPr>
        <sz val="10"/>
        <color rgb="FF000000"/>
        <rFont val="Calibri"/>
        <family val="2"/>
      </rPr>
      <t xml:space="preserve"> - Ad hoc/No procedure for recognition of titles for certain TCN residents or certain fields of study (e.g. recognition depending on mutual recognition agreements)</t>
    </r>
  </si>
  <si>
    <t xml:space="preserve">A and C
• Several professions are limited to French nationals, and a number of occupations are regulated (réglementées), that is their practice is conditional to the authorization by a professional association and to the possession of a diploma obtained in France /EU (doctors, teachers, bailiffs, clerks of the commercial courts…). 
• Residents on temporary work permit need to obtain a work permit. 
Moreover, an employer who recruits a TNC for a period of more than 3 months and less than 12 months must pay a tax to the French Office for Immigration and Integration (OFII). </t>
  </si>
  <si>
    <t xml:space="preserve">According to decree n°86-83 of 17 january 1986 - access to employment as civil servant and permanent staff in the public core administration (public service of the State, the territorial public service or the public hospital service) is strictly limited to nationals. Some foreigners may be hired in higher education and research bodies or can be recruited as a contractor (contractual) in the French administration (it is up to the government to assess whether, given the mission of each service and the nature of the duties to be performed, it is necessary or not to recruit TNC as a contractor). </t>
  </si>
  <si>
    <t>TCN do not have equal access to self-employment for regulated professions requiring French or EU citizenship.
Several professions are limited to French or European nationals, such as court bailiffs, veterinary surgeons, some medical profession and funeral directors. Some others are regulated, which means that their practice is conditional on authorization from a professional association and to a diploma obtained in France (architect, independent accountant). Article L744-11 CESEDA, article R341-4 of the Labour Code</t>
  </si>
  <si>
    <t xml:space="preserve"> In the event of termination of the employment contract, all TCNs holders of a residence permits and/or holders of an authorization to work can register as job seekers and have access to public employment services. Excluded: students, holders of a provisional authorization to work (when the termination of the contract is not attributable to the employer). articles R5221-47 + R5221-48 Code du travail. Article R5221-3, 13° Ceseda -&gt; this provisional authorization to work is issued to foreigner employee practising a profession which is temporary by nature (e.g: holders of a "visa-vacances-travail", holders of a provisional residence permit (such as asylum seekers, escort of sick person), holders of a student resident permit practising a profession in addition on their studies whose working time exceeds the permitted limit,...). </t>
  </si>
  <si>
    <t>Equal access to scholarship as nationals only for TCNs refugees and foreign students who are domiciled in France for at least two years and whose parents’ tax households (father, mother or legal guardian) is in France for at least two years. 
1) All TNCs have access to higher education but they must: 
• Justify the titles giving entitlement to the studies envisaged; 
• Demonstrate a sufficient proficiency in French (except for francophone students).</t>
  </si>
  <si>
    <t>The legal concept of equivalence does not exist in France. 
The procedure of recognition of formal degrees obtained abroad doesn’t have a legal framework and there is no principle of legal equivalence between diplomas obtained abroad and those delivered by the Ministry of Education. In France the body responsible for certifying foreign diplomas is the ENIC-NARIC, from the European network. It can only issue a certificate of comparability - certifying the validity of foreign diplomas OR a certificate attesting the duration of studies undertaken abroad if there is no equivalent of the diploma in France. However, since these certifications have no legal value – employers are not forced to accept those certifications, and in practice, few of them know about these certifications.    2</t>
  </si>
  <si>
    <t>Article L413-3 - all TCN receive generic language training and a specific support for their job search</t>
  </si>
  <si>
    <t xml:space="preserve">All TNCs have equal access to unemployment benefits, old age pension, invalidity benefits, maternity leave, family benefits. Regarding the RSA (minimum income benefit from unemployed or underemployed workers), TCNs have to wait five years before applying (excepted refugees and BSP who can benefit from it as soon as they benefit from protection).  
Sources: 
• Code de l'action sociale et des familles Article L262-4, code du travail Article L160-1
• Code du travail Article R5421-3 </t>
  </si>
  <si>
    <t>The beneficiaries of the “accord cadre” are all people who have had a residency right in France for less than 5 years. 
The programs do no set actions to integrate specifically women and youth, it only says that the programs should adapt to specific needs of some groups, such as women and youth. 
BUT the programs do set a partnership between immigration state organisms (OFII) and “l’UNML”, which is specifically addressed to people who have issues finding a job and are under 25. On the field, it seems this partnership has sometimes triggered an increase of UNML’s staff knowledge about migrant youth needs, but with important discrepancy depending on the territories.  Other than these, There is no specific program for labour market integration for TCN. Programs such as "ALLERO" exist but only for IPB youth ; several mainstream programs exist to address labour market integration of vulnerable young people - which often include TNCs : Contrat d'engagement jeune, Prépas compétences, EPIDE, Les Ecoles de la 2ème chance.</t>
  </si>
  <si>
    <t xml:space="preserve">https://www.unml.info/actualites/nos-actualites/laccord-cadre-entre-letat-lofii-et-les-acteurs-du-spe-en-faveur-de-linsertion-professionnelle-des-etrangers-primo-arrivants-est-signe/ </t>
  </si>
  <si>
    <t>In 2023, the law "LOI n° 2023-1196 du 18 décembre 2023 pour le plein emploi" changed the name of the principal body of the public employmnt service from Pôle emploi to France travail. However, the law it didn't changed the public employement service access for foreigners.</t>
  </si>
  <si>
    <r>
      <rPr>
        <sz val="10"/>
        <color rgb="FF000000"/>
        <rFont val="Calibri"/>
        <family val="2"/>
      </rPr>
      <t>Since septembre 2018, beneficiaries of subsidiary protection also have equal access to scholarship. (</t>
    </r>
    <r>
      <rPr>
        <b/>
        <sz val="10"/>
        <color rgb="FF000000"/>
        <rFont val="Calibri"/>
        <family val="2"/>
      </rPr>
      <t>Circular n° 2018-079 of 25 june 2018, unchanged in Circulaire du 17-7-2023 NOR : ESRS1816798C</t>
    </r>
    <r>
      <rPr>
        <sz val="10"/>
        <color rgb="FF000000"/>
        <rFont val="Calibri"/>
        <family val="2"/>
      </rPr>
      <t>).</t>
    </r>
  </si>
  <si>
    <r>
      <rPr>
        <b/>
        <sz val="10"/>
        <color rgb="FF000000"/>
        <rFont val="Calibri"/>
        <family val="2"/>
      </rPr>
      <t>Article L421-13-1 Ceseda</t>
    </r>
    <r>
      <rPr>
        <sz val="10"/>
        <color rgb="FF000000"/>
        <rFont val="Calibri"/>
        <family val="2"/>
      </rPr>
      <t xml:space="preserve"> : a new 4-year multi-annual "talent - medical and pharmacy profession" residence permit has been introduced for doctors, dentists, midwives and pharmacists who have qualified outside the European Union.  Article L435-4 Ceseda : Undocumented workers in short-staffed occupations (construction, home help, catering, etc.) will be able to obtain a "temporary worker" or "employee" residence permit on an exceptional basis, as at present. However, they will no longer be obliged to go through their employer to apply for this permit. In particular, they will have to prove that they have worked for at least 12 months (consecutive or otherwise) in the last 24 months, that they have been resident in France for 3 years and that they have integrated. Prefects will have discretionary powers to grant the permit. This measure will be tested until the end of 2026.
</t>
    </r>
  </si>
  <si>
    <r>
      <rPr>
        <b/>
        <sz val="10"/>
        <color rgb="FF000000"/>
        <rFont val="Calibri"/>
        <family val="2"/>
      </rPr>
      <t>100</t>
    </r>
    <r>
      <rPr>
        <sz val="10"/>
        <color rgb="FF000000"/>
        <rFont val="Calibri"/>
        <family val="2"/>
      </rPr>
      <t xml:space="preserve"> - No Requirement OR Voluntary course/information (please specify which)
</t>
    </r>
    <r>
      <rPr>
        <b/>
        <sz val="10"/>
        <color rgb="FF000000"/>
        <rFont val="Calibri"/>
        <family val="2"/>
      </rPr>
      <t>50</t>
    </r>
    <r>
      <rPr>
        <sz val="10"/>
        <color rgb="FF000000"/>
        <rFont val="Calibri"/>
        <family val="2"/>
      </rPr>
      <t xml:space="preserve"> - Requirement to take a language course
</t>
    </r>
    <r>
      <rPr>
        <b/>
        <sz val="10"/>
        <color rgb="FF000000"/>
        <rFont val="Calibri"/>
        <family val="2"/>
      </rPr>
      <t>0</t>
    </r>
    <r>
      <rPr>
        <sz val="10"/>
        <color rgb="FF000000"/>
        <rFont val="Calibri"/>
        <family val="2"/>
      </rPr>
      <t xml:space="preserve"> - Requirement includes language test/assessment</t>
    </r>
  </si>
  <si>
    <r>
      <rPr>
        <b/>
        <sz val="10"/>
        <color rgb="FF000000"/>
        <rFont val="Calibri"/>
        <family val="2"/>
      </rPr>
      <t xml:space="preserve">100- </t>
    </r>
    <r>
      <rPr>
        <sz val="10"/>
        <color rgb="FF000000"/>
        <rFont val="Calibri"/>
        <family val="2"/>
      </rPr>
      <t xml:space="preserve"> None measure OR voluntary information/course (please specify)
</t>
    </r>
    <r>
      <rPr>
        <b/>
        <sz val="10"/>
        <color rgb="FF000000"/>
        <rFont val="Calibri"/>
        <family val="2"/>
      </rPr>
      <t>50</t>
    </r>
    <r>
      <rPr>
        <sz val="10"/>
        <color rgb="FF000000"/>
        <rFont val="Calibri"/>
        <family val="2"/>
      </rPr>
      <t xml:space="preserve"> - Requirement to take an integration course
</t>
    </r>
    <r>
      <rPr>
        <b/>
        <sz val="10"/>
        <color rgb="FF000000"/>
        <rFont val="Calibri"/>
        <family val="2"/>
      </rPr>
      <t>0</t>
    </r>
    <r>
      <rPr>
        <sz val="10"/>
        <color rgb="FF000000"/>
        <rFont val="Calibri"/>
        <family val="2"/>
      </rPr>
      <t xml:space="preserve"> - Requirement to pass an integration test/assessment</t>
    </r>
  </si>
  <si>
    <r>
      <rPr>
        <b/>
        <sz val="10"/>
        <color rgb="FF000000"/>
        <rFont val="Calibri"/>
        <family val="2"/>
      </rPr>
      <t>100</t>
    </r>
    <r>
      <rPr>
        <sz val="10"/>
        <color rgb="FF000000"/>
        <rFont val="Calibri"/>
        <family val="2"/>
      </rPr>
      <t xml:space="preserve"> - Equal to sponsor's residence permit and renewable 
</t>
    </r>
    <r>
      <rPr>
        <b/>
        <sz val="10"/>
        <color rgb="FF000000"/>
        <rFont val="Calibri"/>
        <family val="2"/>
      </rPr>
      <t>50</t>
    </r>
    <r>
      <rPr>
        <sz val="10"/>
        <color rgb="FF000000"/>
        <rFont val="Calibri"/>
        <family val="2"/>
      </rPr>
      <t xml:space="preserve"> - Not equal to sponsor’s but ≥ 1 year renewable permit
</t>
    </r>
    <r>
      <rPr>
        <b/>
        <sz val="10"/>
        <color rgb="FF000000"/>
        <rFont val="Calibri"/>
        <family val="2"/>
      </rPr>
      <t>0</t>
    </r>
    <r>
      <rPr>
        <sz val="10"/>
        <color rgb="FF000000"/>
        <rFont val="Calibri"/>
        <family val="2"/>
      </rPr>
      <t xml:space="preserve"> - &lt; 1 year renewable permit or new application necessary</t>
    </r>
  </si>
  <si>
    <t>/</t>
  </si>
  <si>
    <t>Article L434-2 Ceseda : At least 18 months of regular stay for TCNs.</t>
  </si>
  <si>
    <t>D doesn't apply</t>
  </si>
  <si>
    <t>Only A and D apply</t>
  </si>
  <si>
    <t>Article L423-16 :  minimum 3 years of presence in France. Modified by Ordonnance n° 2020-1733 du 16 décembre 2020</t>
  </si>
  <si>
    <t>At least 18 months for all categories (Except for IPB - no residency requirements)</t>
  </si>
  <si>
    <t>Article L424-3 ; L424-11 Ceseda</t>
  </si>
  <si>
    <t>Article L433-4 Ceseda - Family members are required to sign the "CIR" and follow language classes. If not, it is not an obstacle to the renewal of their one year temporary permit, but it is if they want to apply for a pluriannual resident permit</t>
  </si>
  <si>
    <t xml:space="preserve"> "Stable economic resources" - Article R434-4 Ceseda - required for all the other categories (Except for IPB - no economic resources)</t>
  </si>
  <si>
    <t>Accomodation able to welcome the family members - Article R434-5  (Except for IPB - no accomodation requirements)</t>
  </si>
  <si>
    <t>Article L423-14 Ceseda</t>
  </si>
  <si>
    <t xml:space="preserve">It is not possible to withdraw one's residency permit if that person underwant family violences - Article L423-18 Ceseda. https://www.legifrance.gouv.fr/codes/section_lc/LEGITEXT000006070158/LEGISCTA000006147768/2017-01-01/#LEGISCTA000006147768 </t>
  </si>
  <si>
    <r>
      <rPr>
        <b/>
        <sz val="10"/>
        <color rgb="FF000000"/>
        <rFont val="Calibri"/>
        <family val="2"/>
      </rPr>
      <t xml:space="preserve">100 </t>
    </r>
    <r>
      <rPr>
        <sz val="10"/>
        <color rgb="FF000000"/>
        <rFont val="Calibri"/>
        <family val="2"/>
      </rPr>
      <t xml:space="preserve">- Explicit obligation in law for all categories of migrants to have  same access as nationals to a), and NO restrictions in law on access for some categories of migrants for b) 
</t>
    </r>
    <r>
      <rPr>
        <b/>
        <sz val="10"/>
        <color rgb="FF000000"/>
        <rFont val="Calibri"/>
        <family val="2"/>
      </rPr>
      <t>67</t>
    </r>
    <r>
      <rPr>
        <sz val="10"/>
        <color rgb="FF000000"/>
        <rFont val="Calibri"/>
        <family val="2"/>
      </rPr>
      <t xml:space="preserve">  - Explicit obligation in law for all categories of migrants to have  same access as nationals to a), AND restrictions in law on access for some categories of migrants for b)  (please specify) 
</t>
    </r>
    <r>
      <rPr>
        <b/>
        <sz val="10"/>
        <color rgb="FF000000"/>
        <rFont val="Calibri"/>
        <family val="2"/>
      </rPr>
      <t>33</t>
    </r>
    <r>
      <rPr>
        <sz val="10"/>
        <color rgb="FF000000"/>
        <rFont val="Calibri"/>
        <family val="2"/>
      </rPr>
      <t xml:space="preserve"> - For a): No impediment to equal access in law. e.g. No link between compulsory education and residence, or no category of migrant excluded; regardless of policies of b) 
</t>
    </r>
    <r>
      <rPr>
        <b/>
        <sz val="10"/>
        <color rgb="FF000000"/>
        <rFont val="Calibri"/>
        <family val="2"/>
      </rPr>
      <t>0</t>
    </r>
    <r>
      <rPr>
        <sz val="10"/>
        <color rgb="FF000000"/>
        <rFont val="Calibri"/>
        <family val="2"/>
      </rPr>
      <t xml:space="preserve"> - Restrictions in law on access for some categories of migrants (please specify) for a) ; regardless of policies on b) </t>
    </r>
  </si>
  <si>
    <r>
      <rPr>
        <b/>
        <sz val="10"/>
        <color rgb="FF000000"/>
        <rFont val="Calibri"/>
        <family val="2"/>
      </rPr>
      <t>100</t>
    </r>
    <r>
      <rPr>
        <sz val="10"/>
        <color rgb="FF000000"/>
        <rFont val="Calibri"/>
        <family val="2"/>
      </rPr>
      <t xml:space="preserve"> - Both of these (please specify content of a and b)
</t>
    </r>
    <r>
      <rPr>
        <b/>
        <sz val="10"/>
        <color rgb="FF000000"/>
        <rFont val="Calibri"/>
        <family val="2"/>
      </rPr>
      <t>50</t>
    </r>
    <r>
      <rPr>
        <sz val="10"/>
        <color rgb="FF000000"/>
        <rFont val="Calibri"/>
        <family val="2"/>
      </rPr>
      <t xml:space="preserve"> - One of these (please specify content)
</t>
    </r>
    <r>
      <rPr>
        <b/>
        <sz val="10"/>
        <color rgb="FF000000"/>
        <rFont val="Calibri"/>
        <family val="2"/>
      </rPr>
      <t>0</t>
    </r>
    <r>
      <rPr>
        <sz val="10"/>
        <color rgb="FF000000"/>
        <rFont val="Calibri"/>
        <family val="2"/>
      </rPr>
      <t xml:space="preserve"> - None. Migrants only benefit from general support for all students (and targeted non-governmental initiatives where provided).</t>
    </r>
  </si>
  <si>
    <r>
      <rPr>
        <b/>
        <sz val="10"/>
        <color rgb="FF000000"/>
        <rFont val="Calibri"/>
        <family val="2"/>
      </rPr>
      <t>100</t>
    </r>
    <r>
      <rPr>
        <sz val="10"/>
        <color rgb="FF000000"/>
        <rFont val="Calibri"/>
        <family val="2"/>
      </rPr>
      <t xml:space="preserve"> - Both of these
</t>
    </r>
    <r>
      <rPr>
        <b/>
        <sz val="10"/>
        <color rgb="FF000000"/>
        <rFont val="Calibri"/>
        <family val="2"/>
      </rPr>
      <t xml:space="preserve">50 </t>
    </r>
    <r>
      <rPr>
        <sz val="10"/>
        <color rgb="FF000000"/>
        <rFont val="Calibri"/>
        <family val="2"/>
      </rPr>
      <t xml:space="preserve">- One of these (please specify)
</t>
    </r>
    <r>
      <rPr>
        <b/>
        <sz val="10"/>
        <color rgb="FF000000"/>
        <rFont val="Calibri"/>
        <family val="2"/>
      </rPr>
      <t>0</t>
    </r>
    <r>
      <rPr>
        <sz val="10"/>
        <color rgb="FF000000"/>
        <rFont val="Calibri"/>
        <family val="2"/>
      </rPr>
      <t xml:space="preserve"> - No provision. Only through private or community initiatives. (skip to question cb53)</t>
    </r>
  </si>
  <si>
    <r>
      <rPr>
        <b/>
        <sz val="10"/>
        <color rgb="FF000000"/>
        <rFont val="Calibri"/>
        <family val="2"/>
      </rPr>
      <t>100</t>
    </r>
    <r>
      <rPr>
        <sz val="10"/>
        <color rgb="FF000000"/>
        <rFont val="Calibri"/>
        <family val="2"/>
      </rPr>
      <t xml:space="preserve"> - Both of these
</t>
    </r>
    <r>
      <rPr>
        <b/>
        <sz val="10"/>
        <color rgb="FF000000"/>
        <rFont val="Calibri"/>
        <family val="2"/>
      </rPr>
      <t>50</t>
    </r>
    <r>
      <rPr>
        <sz val="10"/>
        <color rgb="FF000000"/>
        <rFont val="Calibri"/>
        <family val="2"/>
      </rPr>
      <t xml:space="preserve"> - Only one of these (please specify)
</t>
    </r>
    <r>
      <rPr>
        <b/>
        <sz val="10"/>
        <color rgb="FF000000"/>
        <rFont val="Calibri"/>
        <family val="2"/>
      </rPr>
      <t>0</t>
    </r>
    <r>
      <rPr>
        <sz val="10"/>
        <color rgb="FF000000"/>
        <rFont val="Calibri"/>
        <family val="2"/>
      </rPr>
      <t xml:space="preserve"> - Level/goals not specified or defined.</t>
    </r>
  </si>
  <si>
    <r>
      <rPr>
        <b/>
        <sz val="10"/>
        <color rgb="FF000000"/>
        <rFont val="Calibri"/>
        <family val="2"/>
      </rPr>
      <t>100</t>
    </r>
    <r>
      <rPr>
        <sz val="10"/>
        <color rgb="FF000000"/>
        <rFont val="Calibri"/>
        <family val="2"/>
      </rPr>
      <t xml:space="preserve"> - Two or more of these (please specify)
</t>
    </r>
    <r>
      <rPr>
        <b/>
        <sz val="10"/>
        <color rgb="FF000000"/>
        <rFont val="Calibri"/>
        <family val="2"/>
      </rPr>
      <t>50</t>
    </r>
    <r>
      <rPr>
        <sz val="10"/>
        <color rgb="FF000000"/>
        <rFont val="Calibri"/>
        <family val="2"/>
      </rPr>
      <t xml:space="preserve"> - At least one of these (please specify)
</t>
    </r>
    <r>
      <rPr>
        <b/>
        <sz val="10"/>
        <color rgb="FF000000"/>
        <rFont val="Calibri"/>
        <family val="2"/>
      </rPr>
      <t>0</t>
    </r>
    <r>
      <rPr>
        <sz val="10"/>
        <color rgb="FF000000"/>
        <rFont val="Calibri"/>
        <family val="2"/>
      </rPr>
      <t xml:space="preserve"> - None of these elements</t>
    </r>
  </si>
  <si>
    <r>
      <rPr>
        <b/>
        <sz val="10"/>
        <color rgb="FF000000"/>
        <rFont val="Calibri"/>
        <family val="2"/>
      </rPr>
      <t>100</t>
    </r>
    <r>
      <rPr>
        <sz val="10"/>
        <color rgb="FF000000"/>
        <rFont val="Calibri"/>
        <family val="2"/>
      </rPr>
      <t xml:space="preserve"> - Both of these
</t>
    </r>
    <r>
      <rPr>
        <b/>
        <sz val="10"/>
        <color rgb="FF000000"/>
        <rFont val="Calibri"/>
        <family val="2"/>
      </rPr>
      <t>50</t>
    </r>
    <r>
      <rPr>
        <sz val="10"/>
        <color rgb="FF000000"/>
        <rFont val="Calibri"/>
        <family val="2"/>
      </rPr>
      <t xml:space="preserve"> - One of these (please specify)
</t>
    </r>
    <r>
      <rPr>
        <b/>
        <sz val="10"/>
        <color rgb="FF000000"/>
        <rFont val="Calibri"/>
        <family val="2"/>
      </rPr>
      <t>0</t>
    </r>
    <r>
      <rPr>
        <sz val="10"/>
        <color rgb="FF000000"/>
        <rFont val="Calibri"/>
        <family val="2"/>
      </rPr>
      <t xml:space="preserve"> - None. Migrants only benefit from general support. If there is targeted support for migrants, it is only through voluntary initiatives. </t>
    </r>
  </si>
  <si>
    <t xml:space="preserve">Article L.131-1 Education Code : education is compulsory for every child from the age of three instead of six - including for undocumented children. Furthermore, starting from September 2020, 16-year olds will be required to attend a training until they reach 18 (apprenticeship, vocational training, civic service...) without distinction of nationality
Article L.111-1 Education Code as modified by the Law No 2019-791 on the right to education for all child without distinction 
 </t>
  </si>
  <si>
    <r>
      <rPr>
        <b/>
        <sz val="10"/>
        <color rgb="FF000000"/>
        <rFont val="Calibri"/>
        <family val="2"/>
      </rPr>
      <t>Reminder of Circulars No 2012-143 of 2 october 2012 (BOEN n°37 of 11 october 2012</t>
    </r>
    <r>
      <rPr>
        <sz val="10"/>
        <color rgb="FF000000"/>
        <rFont val="Calibri"/>
        <family val="2"/>
      </rPr>
      <t>): "If the language knowledge of the student, notably in terms of understanding and writing, remains insufficient, the student must be able to benefit from assistance and resources adapted to their needs to progress and attain a sufficient level compatible with the demands of teachers in mainstream classrooms."</t>
    </r>
  </si>
  <si>
    <t xml:space="preserve">Reminder of there is no legal requirements for courses to use established second-language learning standards. Yet, some school districts require the use of standards at their own level.
- Teachers do not need to be specialised and certified in second-language learning standards. At primary level, all teachers after bachelor's degree language or modern literature can be assigned to an UPE2A class, but a priority is given to teachers having a certification in “French second-language learning” (FLS) or a profesional Master's degree or a university degree (DU) in “French foreign language” (FLE). Those who do not have this certification may receive a training during their mission, depending on each school districts. At secondary level, every professor graduated in French literature can teach French as a second-language. In practice, teachers specialised in FLE are prioritised in most school districts. 
- Curriculum standards are not monitored by a State body. An evaluation should yet be done by the professors during the school year, and a support tool has been designed to enable the assessment of allophone students progresses during their training. </t>
  </si>
  <si>
    <t xml:space="preserve">No measures existing </t>
  </si>
  <si>
    <t>Reminder : the phrase "intercultural education" is no more accepted in French formal school discourse. It disappeared in 1985 (after a report written by Jacques Berque). The present government is promoting the concept of "diversity" on a general level. But the ministry of National education is reluctant to use it. The approach of diversity is exclusively conceptual. As such it may be present in some subjects, like French courses and literature, or foreign language courses and civic education learning (fight against racism).</t>
  </si>
  <si>
    <t xml:space="preserve">Article L.111-1 Education Code modified by the Law No 2021-1109 but rights remain unchanged 
</t>
  </si>
  <si>
    <t xml:space="preserve">Created in 2007, the «Open the School to Parents for the Success of Children» , co-piloted and co-financed currently by the Ministry of the Interior (Directorate of Integration and Access to Nationality) and the Ministry of National Education, Youth and Sports (DGESCO), helps to improve the chances of success of children in school, by providing parents with training supported by the State (learning French, better knowledge of the functioning of the school, knowledge of the values of the Republic). In 2021, communication tools have been updated. They are : make known the system in the institutions or schools likely to host them or in the partner structures of the school (associations, local authorities, media libraries, etc.) and promote it to potentially affected parents
</t>
  </si>
  <si>
    <t xml:space="preserve">The CANOPE Network specialized in teachers training throughout their lives and mandated by the Ministry of National Education and Youth has repeated a Guide for the schooling of EANA (allophone student) in 2021 called "the promoting multilingualism and making the most of cultural diversity". in this Guide, the CANOPE Newtork promotes discovery, dialogue and intercultural exchange by organizing various activies and in offering suggestions. But it's not formally integrated in pre-service professionnal development training
</t>
  </si>
  <si>
    <t xml:space="preserve">In 2022, the CASNAV offers resources for the accompaniment of allophone children in kindergartens. It also proposes the creation of a tutoring, between a kindergarten student of pre-primary and an allophone  student in pre-primary to help him integrate and learn the French language. </t>
  </si>
  <si>
    <t xml:space="preserve">Since 2023, the project AIMES+ created by MEnS network and 14 establishments engaged aims to support and strentghen the quality of passerelle-training for exiled students with language courses in french (FLE) and french for university purposes (FOU). They also develop many extra-academic activities and workshops to promote the inclusion of these students. 
</t>
  </si>
  <si>
    <t>Evaluation, foresight and performance Directorat - Information Note No 23.23, June 2023 : During the 2021-2022 school year, 77,435 youth with educational needs individuals in the area of learning French as a second language were enrolled in elementary, middle or high school. That’s 12,871 more students than in 2020-2021. To these newly arrived and educated allophone students 1,343 young people supported by a mission to combat early school leaving (MLDS) and 294 youth awaiting assignment. Eight new allophones arrived and educated in ten were already educated before their arrival in France and nine out of ten receive language support, mostly in units teaching for immigrant pupils (UPE2A)</t>
  </si>
  <si>
    <t xml:space="preserve">Evaluation, foresight and performance Directorat - Information Note No 23.23, June 2023 : During the 2021-2022 school year, 77,435 youth with educational needs individuals in the area of learning French as a second language were enrolled in elementary, middle or high school. That’s 12,871 more students than in 2020-2021. To these newly arrived and educated allophone students 1,343 young people supported by a mission to combat early school leaving and 294 youth awaiting assignment. Eight new allophones arrived and educated in ten were already educated before their arrival in France and nine out of ten receive language support, mostly in units teaching for immigrant pupils (UPE2A). Since 2013, the mission to combat early school leaving set up by the governement aims to pr'event school dropout, facilitate the access to a diploma but aims to hel and securre training paths ffor all students (and allophone students, new arrivals). Also, it supports allophone students in learning the french language. </t>
  </si>
  <si>
    <t xml:space="preserve">Since september 2023, Condorcet Campus and PAUSE Network have created "l'Université en Exil" (UXIL) allowing students and researchers in exil to give seminars in english, in french and spanish on their research projects to enable them to start teaching 
</t>
  </si>
  <si>
    <r>
      <rPr>
        <sz val="10"/>
        <color rgb="FF000000"/>
        <rFont val="Calibri"/>
        <family val="2"/>
      </rPr>
      <t xml:space="preserve">Consultation of foreign residents on national level:
</t>
    </r>
    <r>
      <rPr>
        <b/>
        <sz val="10"/>
        <color rgb="FF000000"/>
        <rFont val="Calibri"/>
        <family val="2"/>
      </rPr>
      <t>Regular consultation</t>
    </r>
    <r>
      <rPr>
        <sz val="10"/>
        <color rgb="FF000000"/>
        <rFont val="Calibri"/>
        <family val="2"/>
      </rPr>
      <t xml:space="preserve">: consultation of immigrant population or of immigrant associations is structurally organised for policies which are relevant for foreign residents
</t>
    </r>
    <r>
      <rPr>
        <b/>
        <sz val="10"/>
        <color rgb="FF000000"/>
        <rFont val="Calibri"/>
        <family val="2"/>
      </rPr>
      <t>Ad-hoc consultation</t>
    </r>
    <r>
      <rPr>
        <sz val="10"/>
        <color rgb="FF000000"/>
        <rFont val="Calibri"/>
        <family val="2"/>
      </rPr>
      <t>: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t>
    </r>
  </si>
  <si>
    <r>
      <rPr>
        <b/>
        <sz val="10"/>
        <color rgb="FF000000"/>
        <rFont val="Calibri"/>
        <family val="2"/>
      </rPr>
      <t>0</t>
    </r>
    <r>
      <rPr>
        <sz val="10"/>
        <color rgb="FF000000"/>
        <rFont val="Calibri"/>
        <family val="2"/>
      </rPr>
      <t xml:space="preserve"> - No right to vote in local elections for foreign or non-EU citizens
</t>
    </r>
    <r>
      <rPr>
        <b/>
        <sz val="10"/>
        <color rgb="FF000000"/>
        <rFont val="Calibri"/>
        <family val="2"/>
      </rPr>
      <t>25</t>
    </r>
    <r>
      <rPr>
        <sz val="10"/>
        <color rgb="FF000000"/>
        <rFont val="Calibri"/>
        <family val="2"/>
      </rPr>
      <t xml:space="preserve"> - Local right to vote but with major restrictions (more than five years of residence, reciprocity, other special conditions or special registration procedure, or only in certain municipalities)
</t>
    </r>
    <r>
      <rPr>
        <b/>
        <sz val="10"/>
        <color rgb="FF000000"/>
        <rFont val="Calibri"/>
        <family val="2"/>
      </rPr>
      <t>50</t>
    </r>
    <r>
      <rPr>
        <sz val="10"/>
        <color rgb="FF000000"/>
        <rFont val="Calibri"/>
        <family val="2"/>
      </rPr>
      <t xml:space="preserve"> - Local right to vote (no restrictions: Equal rights as nationals or requirement of less than or equal to five years of residence) and  no or restricted right to stand in local elections
</t>
    </r>
    <r>
      <rPr>
        <b/>
        <sz val="10"/>
        <color rgb="FF000000"/>
        <rFont val="Calibri"/>
        <family val="2"/>
      </rPr>
      <t>75</t>
    </r>
    <r>
      <rPr>
        <sz val="10"/>
        <color rgb="FF000000"/>
        <rFont val="Calibri"/>
        <family val="2"/>
      </rPr>
      <t xml:space="preserve"> - Local right to vote (no restrictions) and unrestrictered right to stand in local elections
</t>
    </r>
    <r>
      <rPr>
        <b/>
        <sz val="10"/>
        <color rgb="FF000000"/>
        <rFont val="Calibri"/>
        <family val="2"/>
      </rPr>
      <t xml:space="preserve">100 </t>
    </r>
    <r>
      <rPr>
        <sz val="10"/>
        <color rgb="FF000000"/>
        <rFont val="Calibri"/>
        <family val="2"/>
      </rPr>
      <t>- National right to vote (no restrictions): Equal rights as nationals after certain period of residence</t>
    </r>
  </si>
  <si>
    <r>
      <rPr>
        <b/>
        <sz val="10"/>
        <color rgb="FF000000"/>
        <rFont val="Calibri"/>
        <family val="2"/>
      </rPr>
      <t>100</t>
    </r>
    <r>
      <rPr>
        <sz val="10"/>
        <color rgb="FF000000"/>
        <rFont val="Calibri"/>
        <family val="2"/>
      </rPr>
      <t xml:space="preserve"> - Equal access with nationals (no restrictions imposed by government)
</t>
    </r>
    <r>
      <rPr>
        <b/>
        <sz val="10"/>
        <color rgb="FF000000"/>
        <rFont val="Calibri"/>
        <family val="2"/>
      </rPr>
      <t>50</t>
    </r>
    <r>
      <rPr>
        <sz val="10"/>
        <color rgb="FF000000"/>
        <rFont val="Calibri"/>
        <family val="2"/>
      </rPr>
      <t xml:space="preserve"> - Restricted access to internal elected positions
</t>
    </r>
    <r>
      <rPr>
        <b/>
        <sz val="10"/>
        <color rgb="FF000000"/>
        <rFont val="Calibri"/>
        <family val="2"/>
      </rPr>
      <t>0</t>
    </r>
    <r>
      <rPr>
        <sz val="10"/>
        <color rgb="FF000000"/>
        <rFont val="Calibri"/>
        <family val="2"/>
      </rPr>
      <t xml:space="preserve"> - Other official/legal restrictions appl</t>
    </r>
  </si>
  <si>
    <r>
      <rPr>
        <b/>
        <sz val="10"/>
        <color rgb="FF000000"/>
        <rFont val="Calibri"/>
        <family val="2"/>
      </rPr>
      <t>100</t>
    </r>
    <r>
      <rPr>
        <sz val="10"/>
        <color rgb="FF000000"/>
        <rFont val="Calibri"/>
        <family val="2"/>
      </rPr>
      <t xml:space="preserve"> - Regular consultation, together with a) anf b) 
</t>
    </r>
    <r>
      <rPr>
        <b/>
        <sz val="10"/>
        <color rgb="FF000000"/>
        <rFont val="Calibri"/>
        <family val="2"/>
      </rPr>
      <t>75</t>
    </r>
    <r>
      <rPr>
        <sz val="10"/>
        <color rgb="FF000000"/>
        <rFont val="Calibri"/>
        <family val="2"/>
      </rPr>
      <t xml:space="preserve"> -  Regular consultation, with members elected or appointed by foreign residents or associations (with or without state intervention)
</t>
    </r>
    <r>
      <rPr>
        <b/>
        <sz val="10"/>
        <color rgb="FF000000"/>
        <rFont val="Calibri"/>
        <family val="2"/>
      </rPr>
      <t>50</t>
    </r>
    <r>
      <rPr>
        <sz val="10"/>
        <color rgb="FF000000"/>
        <rFont val="Calibri"/>
        <family val="2"/>
      </rPr>
      <t xml:space="preserve"> - Regular consultation of foreign residents on national level, with members selected/appointed by state only
</t>
    </r>
    <r>
      <rPr>
        <b/>
        <sz val="10"/>
        <color rgb="FF000000"/>
        <rFont val="Calibri"/>
        <family val="2"/>
      </rPr>
      <t>25</t>
    </r>
    <r>
      <rPr>
        <sz val="10"/>
        <color rgb="FF000000"/>
        <rFont val="Calibri"/>
        <family val="2"/>
      </rPr>
      <t xml:space="preserve">  - ad-hoc consultation of foreign residents on national level
</t>
    </r>
    <r>
      <rPr>
        <b/>
        <sz val="10"/>
        <color rgb="FF000000"/>
        <rFont val="Calibri"/>
        <family val="2"/>
      </rPr>
      <t xml:space="preserve">0 </t>
    </r>
    <r>
      <rPr>
        <sz val="10"/>
        <color rgb="FF000000"/>
        <rFont val="Calibri"/>
        <family val="2"/>
      </rPr>
      <t>- No consultation at the national level</t>
    </r>
  </si>
  <si>
    <r>
      <rPr>
        <b/>
        <sz val="10"/>
        <color rgb="FF000000"/>
        <rFont val="Calibri"/>
        <family val="2"/>
      </rPr>
      <t xml:space="preserve">100 </t>
    </r>
    <r>
      <rPr>
        <sz val="10"/>
        <color rgb="FF000000"/>
        <rFont val="Calibri"/>
        <family val="2"/>
      </rPr>
      <t xml:space="preserve">- Policy of information  by state targeted at migrant on individual basis (through individualised meeting or one-stop-shop)
</t>
    </r>
    <r>
      <rPr>
        <b/>
        <sz val="10"/>
        <color rgb="FF000000"/>
        <rFont val="Calibri"/>
        <family val="2"/>
      </rPr>
      <t xml:space="preserve">50 </t>
    </r>
    <r>
      <rPr>
        <sz val="10"/>
        <color rgb="FF000000"/>
        <rFont val="Calibri"/>
        <family val="2"/>
      </rPr>
      <t xml:space="preserve">- Policy of information on general basis  (through individual campaigns in certain regions, brochures, websites updated on a regular basis)
</t>
    </r>
    <r>
      <rPr>
        <b/>
        <sz val="10"/>
        <color rgb="FF000000"/>
        <rFont val="Calibri"/>
        <family val="2"/>
      </rPr>
      <t>0</t>
    </r>
    <r>
      <rPr>
        <sz val="10"/>
        <color rgb="FF000000"/>
        <rFont val="Calibri"/>
        <family val="2"/>
      </rPr>
      <t xml:space="preserve"> - No active policy of information in the last year</t>
    </r>
  </si>
  <si>
    <r>
      <rPr>
        <b/>
        <sz val="10"/>
        <color rgb="FF000000"/>
        <rFont val="Calibri"/>
        <family val="2"/>
      </rPr>
      <t>100</t>
    </r>
    <r>
      <rPr>
        <sz val="10"/>
        <color rgb="FF000000"/>
        <rFont val="Calibri"/>
        <family val="2"/>
      </rPr>
      <t xml:space="preserve"> - Funding or support (in kind) for immigrant organisations involved in consultation and advice at national level without further conditions than being a partner in talks 
</t>
    </r>
    <r>
      <rPr>
        <b/>
        <sz val="10"/>
        <color rgb="FF000000"/>
        <rFont val="Calibri"/>
        <family val="2"/>
      </rPr>
      <t>50</t>
    </r>
    <r>
      <rPr>
        <sz val="10"/>
        <color rgb="FF000000"/>
        <rFont val="Calibri"/>
        <family val="2"/>
      </rPr>
      <t xml:space="preserve"> - Funding or support (in kind) dependent on criteria set by the state (beyond being a partner in consultation and different than for non-immigrant groups) 
</t>
    </r>
    <r>
      <rPr>
        <b/>
        <sz val="10"/>
        <color rgb="FF000000"/>
        <rFont val="Calibri"/>
        <family val="2"/>
      </rPr>
      <t>0</t>
    </r>
    <r>
      <rPr>
        <sz val="10"/>
        <color rgb="FF000000"/>
        <rFont val="Calibri"/>
        <family val="2"/>
      </rPr>
      <t xml:space="preserve"> - No support funding</t>
    </r>
  </si>
  <si>
    <t xml:space="preserve">Since the entry into force of the National Strategy for the reception and integration of refugees on June 5th, 2018, some ad-hoc consultation of BIPs exists - but is not structurally organised. The Interministerial Delegation for the reception and integration of refugees (DiAir), responsible for overseeing the implementation of the National Strategy, organises each year several working groups with refugees, institutional and civil society organisations representatives on integration topics. 
The Diair also organises an annual meeting called "Agora" with the participation of all actors involved in the reception and integration of refugees, including beneficiaries of international protection themselves. 
No such mechanism applies to other TCNs.                                                                                                                                                                                                                                                                                                                                                                                                                                                                                                                                                                                                                                                                                                                                                                                                                                                                                                                                                                                                                                                                         </t>
  </si>
  <si>
    <t>There is a policy of information on political rights at national level, but non targeted at migrants.</t>
  </si>
  <si>
    <r>
      <rPr>
        <sz val="10"/>
        <color rgb="FF000000"/>
        <rFont val="Calibri"/>
        <family val="2"/>
      </rPr>
      <t xml:space="preserve">Previous questionnaire for France (2019) indicated 100, and the situation has not changed : there is public funding for migrant-led organisations under the same conditions than national organisations, but not specifically for national immigrant bodies, considering there is no body recognised as such at national level. 
Depending on the meaning of the question, it can either be </t>
    </r>
    <r>
      <rPr>
        <b/>
        <sz val="10"/>
        <color rgb="FF000000"/>
        <rFont val="Calibri"/>
        <family val="2"/>
      </rPr>
      <t>100 or 0</t>
    </r>
    <r>
      <rPr>
        <sz val="10"/>
        <color rgb="FF000000"/>
        <rFont val="Calibri"/>
        <family val="2"/>
      </rPr>
      <t>.</t>
    </r>
  </si>
  <si>
    <t>In 2021, the Diair (interministerial delegation for the integration of refugees) created an Academy for the participation of refugees in partnership with the UNHCR. The Academy delivers training sessions for refugees (public speaking, understanding French institutions and civil society organisations) and promotes their participation to decision-making processes in associations, foundations or institutions through their integration to management boards.
However, the participation of refugees to management boards is not compulsory for any administration, foundation or NGO, and therefore not systematic.
There is no such mechanism for other TCN.</t>
  </si>
  <si>
    <r>
      <rPr>
        <b/>
        <sz val="10"/>
        <color rgb="FF000000"/>
        <rFont val="Calibri"/>
        <family val="2"/>
      </rPr>
      <t>100 -</t>
    </r>
    <r>
      <rPr>
        <sz val="10"/>
        <color rgb="FF000000"/>
        <rFont val="Calibri"/>
        <family val="2"/>
      </rPr>
      <t xml:space="preserve"> &lt; 5 years 
</t>
    </r>
    <r>
      <rPr>
        <b/>
        <sz val="10"/>
        <color rgb="FF000000"/>
        <rFont val="Calibri"/>
        <family val="2"/>
      </rPr>
      <t>50</t>
    </r>
    <r>
      <rPr>
        <sz val="10"/>
        <color rgb="FF000000"/>
        <rFont val="Calibri"/>
        <family val="2"/>
      </rPr>
      <t xml:space="preserve"> - 5 years
</t>
    </r>
    <r>
      <rPr>
        <b/>
        <sz val="10"/>
        <color rgb="FF000000"/>
        <rFont val="Calibri"/>
        <family val="2"/>
      </rPr>
      <t>0</t>
    </r>
    <r>
      <rPr>
        <sz val="10"/>
        <color rgb="FF000000"/>
        <rFont val="Calibri"/>
        <family val="2"/>
      </rPr>
      <t xml:space="preserve"> - &gt; 5 years or no legal entitlement to permanent residence for ordinary residents</t>
    </r>
  </si>
  <si>
    <r>
      <rPr>
        <b/>
        <sz val="10"/>
        <color rgb="FF000000"/>
        <rFont val="Calibri"/>
        <family val="2"/>
      </rPr>
      <t>100</t>
    </r>
    <r>
      <rPr>
        <sz val="10"/>
        <color rgb="FF000000"/>
        <rFont val="Calibri"/>
        <family val="2"/>
      </rPr>
      <t xml:space="preserve"> - No Requirement OR Voluntary course/information (please specify which) 
</t>
    </r>
    <r>
      <rPr>
        <b/>
        <sz val="10"/>
        <color rgb="FF000000"/>
        <rFont val="Calibri"/>
        <family val="2"/>
      </rPr>
      <t>50</t>
    </r>
    <r>
      <rPr>
        <sz val="10"/>
        <color rgb="FF000000"/>
        <rFont val="Calibri"/>
        <family val="2"/>
      </rPr>
      <t xml:space="preserve"> - Requirement to take a language course
</t>
    </r>
    <r>
      <rPr>
        <b/>
        <sz val="10"/>
        <color rgb="FF000000"/>
        <rFont val="Calibri"/>
        <family val="2"/>
      </rPr>
      <t>0</t>
    </r>
    <r>
      <rPr>
        <sz val="10"/>
        <color rgb="FF000000"/>
        <rFont val="Calibri"/>
        <family val="2"/>
      </rPr>
      <t xml:space="preserve"> - Requirement includes language test/assessment</t>
    </r>
  </si>
  <si>
    <t xml:space="preserve">Reminder of article L. 314-8 CESEDA : Non EU-immigrants who can justify an regular uninterrupted residence of at least five years obtain a permanent residence by obtaining a "resident card" (carte de résident) called "long term resident-EU" of 10 years. This permanent residence allows to travel without visa in EU but doesn't allows the right to work in other country. But it's important to know that there are others permanent residence called "carte de résident" without mention but are gived for some and specific residence permit in first application (child of french or refugee for example) or after 3 years of regular residence (french spouse or parent of french child for example) and it's not a generalty. Refugees and bénéficiaries of susbsidiary protection (after 4 years) obtain this permanent residence of 10 years without the mention "long term resident EU" of 10 years. It's also possible to obtain after many years of regular residence (more 5 years) a permanence residence without duration, called "carte de résident permanent" in renewal of these two previous resident cards. But the permanent residence with a resident card "long term resident EU" is the general principle. </t>
  </si>
  <si>
    <t>Reminder of : Article L.111-1 Social Security Code : Social security benefits with equal access like nationals : it covers costs of sickness, maternity, paternity, family expenses and the law No 2020-992 of 7 august 2020 adds costs related to autonomy for nationals and permanent resident. Article R.111-2 
Article L.512-1 and D.512-1 Social Security Code : Family benefits with equal access like nationals. 
Article L.311-7 Social Security Code : Retirement benefits with equal access like nationals
Article L.821-1 Social Security Code : Adult with disabilities' allowance with equal access like nationals
Article L.5411-4 Labour Code : Unemployment allowances with equal access like nationals
Article L.262-2 Social Security Code : Income of active solidarity (RSA) with equal access like nationals</t>
  </si>
  <si>
    <r>
      <rPr>
        <b/>
        <sz val="10"/>
        <color rgb="FF000000"/>
        <rFont val="Calibri"/>
        <family val="2"/>
      </rPr>
      <t>Article L.426-17 CESEDA</t>
    </r>
    <r>
      <rPr>
        <sz val="10"/>
        <color rgb="FF000000"/>
        <rFont val="Calibri"/>
        <family val="2"/>
      </rPr>
      <t xml:space="preserve"> (New codification - Order No 2020-1733, 16 december 2020 entry into force on the 1st  of may 2021) : the principle is that all n</t>
    </r>
    <r>
      <rPr>
        <b/>
        <sz val="10"/>
        <color rgb="FF000000"/>
        <rFont val="Calibri"/>
        <family val="2"/>
      </rPr>
      <t xml:space="preserve">on EU-immigrant who can justify an regular uninterrupted residence of at least five years obtain a permanent residence. The person obtains in french a "carte de résident" (resident card) marked "long term resident EU" of 10 years, with some exceptions. </t>
    </r>
  </si>
  <si>
    <t xml:space="preserve">Article L.413-7 CESEDA : The obtaining of permanent residence "long term resident EU" is subject to the republican integration in the french society and in particular of the knowledges of the french language. Article R.413-5 CESEDA : Diplomas or certifications attesting to proficenciy in french with a level of at least A2 (European level). 
</t>
  </si>
  <si>
    <t xml:space="preserve">Article L.426-17 CESEDA (New codification) : Non EU-immigrants who can justify an interupted regular residence of at least five years and stable, regular and sufficient resources to support themselves and have sickness insurance obtain a permanent resident "long terme-EU" for 10 years. Based on Directive 2003/109/EC - status of non EU-nationals who are long-term residents : Non-EU nationals must prove they have stable and regular resources to support themselves and their family and have sickness insurance, to avoid becoming a burden for the Member State. Excepted for other permanent residence. 
</t>
  </si>
  <si>
    <t xml:space="preserve">Article L.426-17 CESEDA : obtaining a permanent residence called "long term resident EU" for 10 years. Article L.426-4 CESEDA  for the renewable into an other permanent residence existing : open-ended residence
</t>
  </si>
  <si>
    <r>
      <rPr>
        <b/>
        <sz val="10"/>
        <color rgb="FF000000"/>
        <rFont val="Calibri"/>
        <family val="2"/>
      </rPr>
      <t xml:space="preserve">Article L.433-7 CESEDA : All person who has a regular residence </t>
    </r>
    <r>
      <rPr>
        <b/>
        <u/>
        <sz val="10"/>
        <color rgb="FF000000"/>
        <rFont val="Calibri"/>
        <family val="2"/>
      </rPr>
      <t>may apply</t>
    </r>
    <r>
      <rPr>
        <b/>
        <sz val="10"/>
        <color rgb="FF000000"/>
        <rFont val="Calibri"/>
        <family val="2"/>
      </rPr>
      <t xml:space="preserve"> for a permanent residency permit : the residence permit "long-term resident EU" after five years or other permanent residence according to conditions indicated into the law like indicated previously. The renewable is upon application with documents indicated to Annexe 10 CESEDA 
</t>
    </r>
  </si>
  <si>
    <t xml:space="preserve">Article L.411-5 CESEDA : The permanent resident who has a permanent residence in France with a residence permit "long term resident EU" and has resided outside the french territory but inside a member State for 6 consecutive years shall expire. The permanent resident who has this same residence permit and has resided for 3 years outside the territory of Member States shall expire. For the permanent resident who has a permanent residence (excepted with a long-term EU and a residence without duration) for some situations (spouse french for examle) who has left french territory and has resided in other country more than 3 consecutive years lost the permanent residence. </t>
  </si>
  <si>
    <t xml:space="preserve">Law No 2024-42 of 26 january 2024 entry into force on 28 january 2024 but requirements remain unchanged
</t>
  </si>
  <si>
    <t xml:space="preserve">Law No 2024-42 of 26 january 2024 to control immigration and improve integration creates french test and requires a level at least equivalent to level B1 (entry into force on 1 january 2026 maximum), excepted for beneficiaries of international protection and their family members
</t>
  </si>
  <si>
    <t xml:space="preserve">Entry into force of the Law No 2024-42 of 26 january 2024 on 28 january 2024  but requirements remain inchanged 
</t>
  </si>
  <si>
    <t xml:space="preserve">Entry into force of the Law No 2024-42 of 26 january 2024 on 28 january 2024 but requirements remain inchanged 
</t>
  </si>
  <si>
    <t xml:space="preserve">Same : But Entry into force of the Law No 2024-42 of 26 january 2024 on 28 january 2024  (article L.433-2 CESEDA) All residence permit allowing residence permanence for 10 years are renewable without verification of conditons to meet but it's necessary to apply for obtaining a new permanent residence (Documents indicated into Annexe 10 CESEDA) 
</t>
  </si>
  <si>
    <t xml:space="preserve">New Law No 2024-42 of 26 january 2024 entry into force on 28 january creates the article L433-3-1 CESEDA : the renewable is also subject to habitual residence condition.  So, if the non EU-immigrant has transfered in France the center of his private and family interest and that he stays in France for at least 6 months during a calendar year during three last years. </t>
  </si>
  <si>
    <t>Average of naturalization requirements</t>
  </si>
  <si>
    <r>
      <rPr>
        <b/>
        <sz val="10"/>
        <color rgb="FF000000"/>
        <rFont val="Calibri"/>
        <family val="2"/>
      </rPr>
      <t>100</t>
    </r>
    <r>
      <rPr>
        <sz val="10"/>
        <color rgb="FF000000"/>
        <rFont val="Calibri"/>
        <family val="2"/>
      </rPr>
      <t xml:space="preserve"> - Automatic at birth – unconditional
</t>
    </r>
    <r>
      <rPr>
        <b/>
        <sz val="10"/>
        <color rgb="FF000000"/>
        <rFont val="Calibri"/>
        <family val="2"/>
      </rPr>
      <t>67 -</t>
    </r>
    <r>
      <rPr>
        <sz val="10"/>
        <color rgb="FF000000"/>
        <rFont val="Calibri"/>
        <family val="2"/>
      </rPr>
      <t xml:space="preserve"> Automatic, but attached to conditions related to the parents’ status or to other requirements (e.g., age of majority)
</t>
    </r>
    <r>
      <rPr>
        <b/>
        <sz val="10"/>
        <color rgb="FF000000"/>
        <rFont val="Calibri"/>
        <family val="2"/>
      </rPr>
      <t>33</t>
    </r>
    <r>
      <rPr>
        <sz val="10"/>
        <color rgb="FF000000"/>
        <rFont val="Calibri"/>
        <family val="2"/>
      </rPr>
      <t xml:space="preserve"> - Upon simple application or declaration after birth
</t>
    </r>
    <r>
      <rPr>
        <b/>
        <sz val="10"/>
        <color rgb="FF000000"/>
        <rFont val="Calibri"/>
        <family val="2"/>
      </rPr>
      <t xml:space="preserve">0 - </t>
    </r>
    <r>
      <rPr>
        <sz val="10"/>
        <color rgb="FF000000"/>
        <rFont val="Calibri"/>
        <family val="2"/>
      </rPr>
      <t xml:space="preserve">naturalization procedure (facilitated or not) </t>
    </r>
  </si>
  <si>
    <r>
      <rPr>
        <b/>
        <sz val="10"/>
        <color rgb="FF000000"/>
        <rFont val="Calibri"/>
        <family val="2"/>
      </rPr>
      <t>100</t>
    </r>
    <r>
      <rPr>
        <sz val="10"/>
        <color rgb="FF000000"/>
        <rFont val="Calibri"/>
        <family val="2"/>
      </rPr>
      <t xml:space="preserve"> - No Assessment OR A1 or less set as standard (please specify which)
</t>
    </r>
    <r>
      <rPr>
        <b/>
        <sz val="10"/>
        <color rgb="FF000000"/>
        <rFont val="Calibri"/>
        <family val="2"/>
      </rPr>
      <t>50</t>
    </r>
    <r>
      <rPr>
        <sz val="10"/>
        <color rgb="FF000000"/>
        <rFont val="Calibri"/>
        <family val="2"/>
      </rPr>
      <t xml:space="preserve"> - A2 set as standard
</t>
    </r>
    <r>
      <rPr>
        <b/>
        <sz val="10"/>
        <color rgb="FF000000"/>
        <rFont val="Calibri"/>
        <family val="2"/>
      </rPr>
      <t>0</t>
    </r>
    <r>
      <rPr>
        <sz val="10"/>
        <color rgb="FF000000"/>
        <rFont val="Calibri"/>
        <family val="2"/>
      </rPr>
      <t xml:space="preserve"> - B1 or higher set as standard. OR no standards, based on administrative discretion.(please specify which)</t>
    </r>
  </si>
  <si>
    <r>
      <rPr>
        <b/>
        <sz val="10"/>
        <color rgb="FF000000"/>
        <rFont val="Calibri"/>
        <family val="2"/>
      </rPr>
      <t>100</t>
    </r>
    <r>
      <rPr>
        <sz val="10"/>
        <color rgb="FF000000"/>
        <rFont val="Calibri"/>
        <family val="2"/>
      </rPr>
      <t xml:space="preserve"> - No Requirement OR Voluntary provision of information (please specify which)
</t>
    </r>
    <r>
      <rPr>
        <b/>
        <sz val="10"/>
        <color rgb="FF000000"/>
        <rFont val="Calibri"/>
        <family val="2"/>
      </rPr>
      <t>50</t>
    </r>
    <r>
      <rPr>
        <sz val="10"/>
        <color rgb="FF000000"/>
        <rFont val="Calibri"/>
        <family val="2"/>
      </rPr>
      <t xml:space="preserve"> - Requirement to complete a course
</t>
    </r>
    <r>
      <rPr>
        <b/>
        <sz val="10"/>
        <color rgb="FF000000"/>
        <rFont val="Calibri"/>
        <family val="2"/>
      </rPr>
      <t xml:space="preserve">0 </t>
    </r>
    <r>
      <rPr>
        <sz val="10"/>
        <color rgb="FF000000"/>
        <rFont val="Calibri"/>
        <family val="2"/>
      </rPr>
      <t>- Requirement to pass an integration test/assessment</t>
    </r>
  </si>
  <si>
    <r>
      <rPr>
        <b/>
        <sz val="10"/>
        <color rgb="FF000000"/>
        <rFont val="Calibri"/>
        <family val="2"/>
      </rPr>
      <t>100</t>
    </r>
    <r>
      <rPr>
        <sz val="10"/>
        <color rgb="FF000000"/>
        <rFont val="Calibri"/>
        <family val="2"/>
      </rPr>
      <t xml:space="preserve"> - None 
</t>
    </r>
    <r>
      <rPr>
        <b/>
        <sz val="10"/>
        <color rgb="FF000000"/>
        <rFont val="Calibri"/>
        <family val="2"/>
      </rPr>
      <t>50</t>
    </r>
    <r>
      <rPr>
        <sz val="10"/>
        <color rgb="FF000000"/>
        <rFont val="Calibri"/>
        <family val="2"/>
      </rPr>
      <t xml:space="preserve"> - Minimum income (e.g. acknowledged level of poverty threshold)/no income source is excluded
</t>
    </r>
    <r>
      <rPr>
        <b/>
        <sz val="10"/>
        <color rgb="FF000000"/>
        <rFont val="Calibri"/>
        <family val="2"/>
      </rPr>
      <t>0</t>
    </r>
    <r>
      <rPr>
        <sz val="10"/>
        <color rgb="FF000000"/>
        <rFont val="Calibri"/>
        <family val="2"/>
      </rPr>
      <t xml:space="preserve"> - Additional requirements (e.g. employment, stable and sufficient resources, higher levels of income)</t>
    </r>
  </si>
  <si>
    <r>
      <rPr>
        <b/>
        <sz val="10"/>
        <color rgb="FF000000"/>
        <rFont val="Calibri"/>
        <family val="2"/>
      </rPr>
      <t xml:space="preserve">100 </t>
    </r>
    <r>
      <rPr>
        <sz val="10"/>
        <color rgb="FF000000"/>
        <rFont val="Calibri"/>
        <family val="2"/>
      </rPr>
      <t xml:space="preserve">- Crimes with sentences of imprisonment for ≥ 5 years OR Use of qualifying period instead of refusal
</t>
    </r>
    <r>
      <rPr>
        <b/>
        <sz val="10"/>
        <color rgb="FF000000"/>
        <rFont val="Calibri"/>
        <family val="2"/>
      </rPr>
      <t>50</t>
    </r>
    <r>
      <rPr>
        <sz val="10"/>
        <color rgb="FF000000"/>
        <rFont val="Calibri"/>
        <family val="2"/>
      </rPr>
      <t xml:space="preserve"> - Crimes with sentences of imprisonment for &lt; 5 years
</t>
    </r>
    <r>
      <rPr>
        <b/>
        <sz val="10"/>
        <color rgb="FF000000"/>
        <rFont val="Calibri"/>
        <family val="2"/>
      </rPr>
      <t xml:space="preserve">0 </t>
    </r>
    <r>
      <rPr>
        <sz val="10"/>
        <color rgb="FF000000"/>
        <rFont val="Calibri"/>
        <family val="2"/>
      </rPr>
      <t>- For other offences (e.g. misdemeanours, minor offenses, pending criminal procedure)</t>
    </r>
  </si>
  <si>
    <r>
      <rPr>
        <b/>
        <sz val="10"/>
        <color rgb="FF000000"/>
        <rFont val="Calibri"/>
        <family val="2"/>
      </rPr>
      <t xml:space="preserve">100 </t>
    </r>
    <r>
      <rPr>
        <sz val="10"/>
        <color rgb="FF000000"/>
        <rFont val="Calibri"/>
        <family val="2"/>
      </rPr>
      <t xml:space="preserve">- No requirement for anyone
</t>
    </r>
    <r>
      <rPr>
        <b/>
        <sz val="10"/>
        <color rgb="FF000000"/>
        <rFont val="Calibri"/>
        <family val="2"/>
      </rPr>
      <t xml:space="preserve">50 </t>
    </r>
    <r>
      <rPr>
        <sz val="10"/>
        <color rgb="FF000000"/>
        <rFont val="Calibri"/>
        <family val="2"/>
      </rPr>
      <t xml:space="preserve">- Yes, but with multiple substantive exemptions: a. On humanitarian grounds (e.g. for refugees, stateless); b. On accessibility grounds (e.g. cost, distance, impossibility))
</t>
    </r>
    <r>
      <rPr>
        <b/>
        <sz val="10"/>
        <color rgb="FF000000"/>
        <rFont val="Calibri"/>
        <family val="2"/>
      </rPr>
      <t xml:space="preserve">0 </t>
    </r>
    <r>
      <rPr>
        <sz val="10"/>
        <color rgb="FF000000"/>
        <rFont val="Calibri"/>
        <family val="2"/>
      </rPr>
      <t>- Yes, and no substantive exceptions (beyond humanitarian reasons, e.g., exemptions only for spouses, citizens of certain countries /person not being able to renounce origin country citizenship)</t>
    </r>
  </si>
  <si>
    <t>Civil code, article 21-17</t>
  </si>
  <si>
    <t xml:space="preserve">Civil code, article 19-3 (double jus soli) and articles (21-7 to 21-11) Civil code. </t>
  </si>
  <si>
    <t>Article 21-24 of the Civil Code combined with article 37 of decree no. 93-1362 of 30 December 1993. level B1</t>
  </si>
  <si>
    <t>There is an assimilation test. Article 21-24 of the civil code combined with article 37 of the 1993 decree</t>
  </si>
  <si>
    <t>Does not result from a law or a decree but from current practice known to the prefecture. Requires permanent contract + minimum wage + no trial period + no excessively long periods of unemployment + no students.</t>
  </si>
  <si>
    <t xml:space="preserve">Civil code, Article 21-27: naturalisation applications are rejected for those who:                                                                                       
 -  have been condemned in France to a sentence of imprisonment for at least six months without reprieve, 
- have been sentenced for a crime or an offense constituting a violation of the fundamental interests of the Nation; 
- have been convicted of an act of terrorism </t>
  </si>
  <si>
    <t>amendment of article 21-24 of the Civil Code by the Immigration Act, which adds the B2 level (the decree will have to be amended subsequently to incorporate this amendment)</t>
  </si>
  <si>
    <t xml:space="preserve">Prohibition in the law includes direct and/or indirect discrimination, and/or harassment and/or instruction to discriminate on grounds of:
a) race and ethnicity                                
b) religion and belief                                    
c) nationality                                                                                                                                                                                                                                                                          
C means that nationality/citizenship is a protected ground in national law or established through case law.  If discrimination is prohibited only for national origin only, please do not chose C. </t>
  </si>
  <si>
    <r>
      <rPr>
        <b/>
        <sz val="10"/>
        <color rgb="FF000000"/>
        <rFont val="Calibri"/>
        <family val="2"/>
      </rPr>
      <t>100</t>
    </r>
    <r>
      <rPr>
        <sz val="10"/>
        <color rgb="FF000000"/>
        <rFont val="Calibri"/>
        <family val="2"/>
      </rPr>
      <t xml:space="preserve"> - All three grounds
</t>
    </r>
    <r>
      <rPr>
        <b/>
        <sz val="10"/>
        <color rgb="FF000000"/>
        <rFont val="Calibri"/>
        <family val="2"/>
      </rPr>
      <t>50</t>
    </r>
    <r>
      <rPr>
        <sz val="10"/>
        <color rgb="FF000000"/>
        <rFont val="Calibri"/>
        <family val="2"/>
      </rPr>
      <t xml:space="preserve"> - Two grounds (please specify which ones)
</t>
    </r>
    <r>
      <rPr>
        <b/>
        <sz val="10"/>
        <color rgb="FF000000"/>
        <rFont val="Calibri"/>
        <family val="2"/>
      </rPr>
      <t>0</t>
    </r>
    <r>
      <rPr>
        <sz val="10"/>
        <color rgb="FF000000"/>
        <rFont val="Calibri"/>
        <family val="2"/>
      </rPr>
      <t xml:space="preserve"> - Ground a, none, or only based on international standards or constitution, subject to judicial interpretation</t>
    </r>
  </si>
  <si>
    <r>
      <rPr>
        <b/>
        <sz val="10"/>
        <color rgb="FF000000"/>
        <rFont val="Calibri"/>
        <family val="2"/>
      </rPr>
      <t>100</t>
    </r>
    <r>
      <rPr>
        <sz val="10"/>
        <color rgb="FF000000"/>
        <rFont val="Calibri"/>
        <family val="2"/>
      </rPr>
      <t xml:space="preserve"> - All three grounds
</t>
    </r>
    <r>
      <rPr>
        <b/>
        <sz val="10"/>
        <color rgb="FF000000"/>
        <rFont val="Calibri"/>
        <family val="2"/>
      </rPr>
      <t>50</t>
    </r>
    <r>
      <rPr>
        <sz val="10"/>
        <color rgb="FF000000"/>
        <rFont val="Calibri"/>
        <family val="2"/>
      </rPr>
      <t xml:space="preserve"> - Two grounds
</t>
    </r>
    <r>
      <rPr>
        <b/>
        <sz val="10"/>
        <color rgb="FF000000"/>
        <rFont val="Calibri"/>
        <family val="2"/>
      </rPr>
      <t xml:space="preserve">0 </t>
    </r>
    <r>
      <rPr>
        <sz val="10"/>
        <color rgb="FF000000"/>
        <rFont val="Calibri"/>
        <family val="2"/>
      </rPr>
      <t>- Ground a, none, or only based on international standards or constitution, subject to judicial interpretation</t>
    </r>
  </si>
  <si>
    <r>
      <rPr>
        <b/>
        <sz val="10"/>
        <color rgb="FF000000"/>
        <rFont val="Calibri"/>
        <family val="2"/>
      </rPr>
      <t>0</t>
    </r>
    <r>
      <rPr>
        <sz val="10"/>
        <color rgb="FF000000"/>
        <rFont val="Calibri"/>
        <family val="2"/>
      </rPr>
      <t xml:space="preserve"> - None
</t>
    </r>
    <r>
      <rPr>
        <b/>
        <sz val="10"/>
        <color rgb="FF000000"/>
        <rFont val="Calibri"/>
        <family val="2"/>
      </rPr>
      <t>25</t>
    </r>
    <r>
      <rPr>
        <sz val="10"/>
        <color rgb="FF000000"/>
        <rFont val="Calibri"/>
        <family val="2"/>
      </rPr>
      <t xml:space="preserve"> - One of these 
</t>
    </r>
    <r>
      <rPr>
        <b/>
        <sz val="10"/>
        <color rgb="FF000000"/>
        <rFont val="Calibri"/>
        <family val="2"/>
      </rPr>
      <t>50</t>
    </r>
    <r>
      <rPr>
        <sz val="10"/>
        <color rgb="FF000000"/>
        <rFont val="Calibri"/>
        <family val="2"/>
      </rPr>
      <t xml:space="preserve"> - Two of these
</t>
    </r>
    <r>
      <rPr>
        <b/>
        <sz val="10"/>
        <color rgb="FF000000"/>
        <rFont val="Calibri"/>
        <family val="2"/>
      </rPr>
      <t xml:space="preserve">75 - </t>
    </r>
    <r>
      <rPr>
        <sz val="10"/>
        <color rgb="FF000000"/>
        <rFont val="Calibri"/>
        <family val="2"/>
      </rPr>
      <t xml:space="preserve">Three of these
</t>
    </r>
    <r>
      <rPr>
        <b/>
        <sz val="10"/>
        <color rgb="FF000000"/>
        <rFont val="Calibri"/>
        <family val="2"/>
      </rPr>
      <t>100</t>
    </r>
    <r>
      <rPr>
        <sz val="10"/>
        <color rgb="FF000000"/>
        <rFont val="Calibri"/>
        <family val="2"/>
      </rPr>
      <t xml:space="preserve"> - All four of these </t>
    </r>
  </si>
  <si>
    <r>
      <rPr>
        <b/>
        <sz val="10"/>
        <color rgb="FF000000"/>
        <rFont val="Calibri"/>
        <family val="2"/>
      </rPr>
      <t>100</t>
    </r>
    <r>
      <rPr>
        <sz val="10"/>
        <color rgb="FF000000"/>
        <rFont val="Calibri"/>
        <family val="2"/>
      </rPr>
      <t xml:space="preserve"> - All three grounds
</t>
    </r>
    <r>
      <rPr>
        <b/>
        <sz val="10"/>
        <color rgb="FF000000"/>
        <rFont val="Calibri"/>
        <family val="2"/>
      </rPr>
      <t>50</t>
    </r>
    <r>
      <rPr>
        <sz val="10"/>
        <color rgb="FF000000"/>
        <rFont val="Calibri"/>
        <family val="2"/>
      </rPr>
      <t xml:space="preserve"> - Two grounds
</t>
    </r>
    <r>
      <rPr>
        <b/>
        <sz val="10"/>
        <color rgb="FF000000"/>
        <rFont val="Calibri"/>
        <family val="2"/>
      </rPr>
      <t>0</t>
    </r>
    <r>
      <rPr>
        <sz val="10"/>
        <color rgb="FF000000"/>
        <rFont val="Calibri"/>
        <family val="2"/>
      </rPr>
      <t xml:space="preserve"> - Ground A </t>
    </r>
  </si>
  <si>
    <r>
      <rPr>
        <b/>
        <sz val="10"/>
        <color rgb="FF000000"/>
        <rFont val="Calibri"/>
        <family val="2"/>
      </rPr>
      <t xml:space="preserve">0 - </t>
    </r>
    <r>
      <rPr>
        <sz val="10"/>
        <color rgb="FF000000"/>
        <rFont val="Calibri"/>
        <family val="2"/>
      </rPr>
      <t xml:space="preserve">No specialized Body
</t>
    </r>
    <r>
      <rPr>
        <b/>
        <sz val="10"/>
        <color rgb="FF000000"/>
        <rFont val="Calibri"/>
        <family val="2"/>
      </rPr>
      <t>33</t>
    </r>
    <r>
      <rPr>
        <sz val="10"/>
        <color rgb="FF000000"/>
        <rFont val="Calibri"/>
        <family val="2"/>
      </rPr>
      <t xml:space="preserve"> - One of these
</t>
    </r>
    <r>
      <rPr>
        <b/>
        <sz val="10"/>
        <color rgb="FF000000"/>
        <rFont val="Calibri"/>
        <family val="2"/>
      </rPr>
      <t>67</t>
    </r>
    <r>
      <rPr>
        <sz val="10"/>
        <color rgb="FF000000"/>
        <rFont val="Calibri"/>
        <family val="2"/>
      </rPr>
      <t xml:space="preserve"> - Two of these
</t>
    </r>
    <r>
      <rPr>
        <b/>
        <sz val="10"/>
        <color rgb="FF000000"/>
        <rFont val="Calibri"/>
        <family val="2"/>
      </rPr>
      <t>100</t>
    </r>
    <r>
      <rPr>
        <sz val="10"/>
        <color rgb="FF000000"/>
        <rFont val="Calibri"/>
        <family val="2"/>
      </rPr>
      <t xml:space="preserve"> - Three of these </t>
    </r>
  </si>
  <si>
    <r>
      <rPr>
        <b/>
        <sz val="10"/>
        <color rgb="FF000000"/>
        <rFont val="Calibri"/>
        <family val="2"/>
      </rPr>
      <t xml:space="preserve">100 </t>
    </r>
    <r>
      <rPr>
        <sz val="10"/>
        <color rgb="FF000000"/>
        <rFont val="Calibri"/>
        <family val="2"/>
      </rPr>
      <t xml:space="preserve">- Both of these 
</t>
    </r>
    <r>
      <rPr>
        <b/>
        <sz val="10"/>
        <color rgb="FF000000"/>
        <rFont val="Calibri"/>
        <family val="2"/>
      </rPr>
      <t xml:space="preserve">50 </t>
    </r>
    <r>
      <rPr>
        <sz val="10"/>
        <color rgb="FF000000"/>
        <rFont val="Calibri"/>
        <family val="2"/>
      </rPr>
      <t xml:space="preserve">- Only A 
</t>
    </r>
    <r>
      <rPr>
        <b/>
        <sz val="10"/>
        <color rgb="FF000000"/>
        <rFont val="Calibri"/>
        <family val="2"/>
      </rPr>
      <t xml:space="preserve">0 </t>
    </r>
    <r>
      <rPr>
        <sz val="10"/>
        <color rgb="FF000000"/>
        <rFont val="Calibri"/>
        <family val="2"/>
      </rPr>
      <t>- None of these</t>
    </r>
  </si>
  <si>
    <r>
      <rPr>
        <b/>
        <sz val="10"/>
        <color rgb="FF000000"/>
        <rFont val="Calibri"/>
        <family val="2"/>
      </rPr>
      <t>Law No. 2008-496</t>
    </r>
    <r>
      <rPr>
        <sz val="10"/>
        <color rgb="FF000000"/>
        <rFont val="Calibri"/>
        <family val="2"/>
      </rPr>
      <t xml:space="preserve"> contains various provisions adapting to Community law in the field of anti-discrimination,   defined the grounds upon which discrimination can be based (including alleged race, origin, religion, and sexual orientation, nationality). 
However, nationality is often assimilated to origin when the law does not provide for restrictions based on nationality. In many penal cases the criteria of nationality has been held to be a form of direct discrimination based on origin, as the penal code refers to discrimination based on the link with a nation. However, in civil cases the Court of Cassation has treated discrimination based on nationality as a source of apparent indirect discrimination that allows for justification on the part of the employer: in Cass. Soc., n° 03-47720, 09/11/2005, Soc ESRF c/ M. X., confirmed in another matter against ESRF on 17 April, 2008 (Soc. 819 FS-P+B). The definition of the scope of the protection against discrimination at Article 2 of the Law no 2008-496, eliminates the larger definition that appeared at Article 19 of the Law no 2004-1496 (Law creating the HALDE) and the first law of transposition of the Directives, Law of 16 November 2001, that included national origin. The resulting protection regarding the scope of Directive 2000/43 does not explicitly cover national origin except in Article 225-1 of the Penal Code and Article 1132-1 of the Labour Code. 
</t>
    </r>
  </si>
  <si>
    <r>
      <rPr>
        <b/>
        <sz val="10"/>
        <color rgb="FF000000"/>
        <rFont val="Calibri"/>
        <family val="2"/>
      </rPr>
      <t>Law no. 2008-496</t>
    </r>
    <r>
      <rPr>
        <sz val="10"/>
        <color rgb="FF000000"/>
        <rFont val="Calibri"/>
        <family val="2"/>
      </rPr>
      <t xml:space="preserve"> completed transposition by providing protection for race, origin and sex. However, Constitutional law provides for protection on the ground of religion and public law provides for equal protection on the ground of nationality suject to legal residence in the country.
</t>
    </r>
    <r>
      <rPr>
        <b/>
        <sz val="10"/>
        <color rgb="FF000000"/>
        <rFont val="Calibri"/>
        <family val="2"/>
      </rPr>
      <t>Articles L.111-2-2; L311-2 and L.434-20</t>
    </r>
    <r>
      <rPr>
        <sz val="10"/>
        <color rgb="FF000000"/>
        <rFont val="Calibri"/>
        <family val="2"/>
      </rPr>
      <t xml:space="preserve"> of the Social security code : no nationality criteria for granting social protection, only residency condition. </t>
    </r>
  </si>
  <si>
    <r>
      <rPr>
        <b/>
        <sz val="10"/>
        <color rgb="FF000000"/>
        <rFont val="Calibri"/>
        <family val="2"/>
      </rPr>
      <t xml:space="preserve">Law No.2008-496, Article 2(1°) : </t>
    </r>
    <r>
      <rPr>
        <sz val="10"/>
        <color rgb="FF000000"/>
        <rFont val="Calibri"/>
        <family val="2"/>
      </rPr>
      <t xml:space="preserve">Any discrimination direct or indirect, based on an ethnicity or a race is forbidden in terms of social protection, health, social benefits, education, access to and supply of public goods and services. 
Grounds a), b) and c) are covered by </t>
    </r>
    <r>
      <rPr>
        <b/>
        <sz val="10"/>
        <color rgb="FF000000"/>
        <rFont val="Calibri"/>
        <family val="2"/>
      </rPr>
      <t xml:space="preserve">article 225-2 of the Penal Code and by Law no 2002-72 </t>
    </r>
    <r>
      <rPr>
        <sz val="10"/>
        <color rgb="FF000000"/>
        <rFont val="Calibri"/>
        <family val="2"/>
      </rPr>
      <t>as it relates to the prohibition of direct and indirect discrimination in access to housing.</t>
    </r>
  </si>
  <si>
    <r>
      <rPr>
        <b/>
        <sz val="10"/>
        <color rgb="FF000000"/>
        <rFont val="Calibri"/>
        <family val="2"/>
      </rPr>
      <t xml:space="preserve">Article 225-2  - Penal Code </t>
    </r>
    <r>
      <rPr>
        <sz val="10"/>
        <color rgb="FF000000"/>
        <rFont val="Calibri"/>
        <family val="2"/>
      </rPr>
      <t>stipulates that discrimination as defined in articles 225-1 to 225-1-2 of the Penal Code, committed against a natural or legal person, is punishable by three years' imprisonment and a fine of 45,000 euros" under certain circumstances in relation to acess to employment and services. in addition, when refusal of supplying a good or service takes place in a space open to the public or with the aim of preventing access to it, the penalties are increased to five years' imprisonment and a fine of 75,000 euros.
Shift in burden of proof in procedures  - Law no 2008-496 repealled article 19 of Law no 2004-1496 and completed transposition by providing a definition of direct and indirect discrimination in article 1, applicable to all texts on discrimination. On 30 October, 2009 - the Conseil d'Etat has issued a judgment providing for the shift in the burden of proof in all administrative procedures relating to discrimination law.
Range of sanctions - e),f),g) are available before the penal courts only which excludes indirect discrimination</t>
    </r>
  </si>
  <si>
    <r>
      <rPr>
        <b/>
        <sz val="10"/>
        <color rgb="FF000000"/>
        <rFont val="Calibri"/>
        <family val="2"/>
      </rPr>
      <t xml:space="preserve">Cf. Organic Law No.2011-333 </t>
    </r>
    <r>
      <rPr>
        <sz val="10"/>
        <color rgb="FF000000"/>
        <rFont val="Calibri"/>
        <family val="2"/>
      </rPr>
      <t xml:space="preserve">establishes the Défenseur des droits (Human Rights Defender), its missions, mandate and regulations. The Défenseur des droits is an independent administrative authority responsible for ensuring that citizens' rights and freedoms are respected.
</t>
    </r>
    <r>
      <rPr>
        <b/>
        <sz val="10"/>
        <color rgb="FF000000"/>
        <rFont val="Calibri"/>
        <family val="2"/>
      </rPr>
      <t xml:space="preserve">
The Interministerial Commission to combat Racism and Anti-Semitism (Délégation interministérielle à la lutte contre le racisme et l'antisémitisme, DILCRAH) </t>
    </r>
    <r>
      <rPr>
        <sz val="10"/>
        <color rgb="FF000000"/>
        <rFont val="Calibri"/>
        <family val="2"/>
      </rPr>
      <t xml:space="preserve">was created in 2012. The role of this body is to design, coordinate and lead the French government’s anti-discrimination policy under the authority of the Prime Minister, notably through the development of specific national plans. DILCRAH works in a cross-cutting way with the various ministries, including education, justice, culture and urban policy. </t>
    </r>
    <r>
      <rPr>
        <b/>
        <sz val="10"/>
        <color rgb="FF000000"/>
        <rFont val="Calibri"/>
        <family val="2"/>
      </rPr>
      <t>The Operational Committees for the Fight against Racism, Anti-Semitism and Anti-LGBTQIA+ Hatred (Comités Opérationnels de Lutte Contre le Racisme et l’Antisémitisme et la Haine anti-LGBTQIA+, CORAH)</t>
    </r>
    <r>
      <rPr>
        <sz val="10"/>
        <color rgb="FF000000"/>
        <rFont val="Calibri"/>
        <family val="2"/>
      </rPr>
      <t xml:space="preserve"> act as relays for DILCRAH. They facilitate exchanges between the various government services and the implementation of departmental anti-discrimination action plans.</t>
    </r>
  </si>
  <si>
    <r>
      <rPr>
        <b/>
        <sz val="10"/>
        <color rgb="FF000000"/>
        <rFont val="Calibri"/>
        <family val="2"/>
      </rPr>
      <t>Cf. Organic Law No.2011-333 Article 5</t>
    </r>
    <r>
      <rPr>
        <sz val="10"/>
        <color rgb="FF000000"/>
        <rFont val="Calibri"/>
        <family val="2"/>
      </rPr>
      <t xml:space="preserve">  about the mandate of the Défenseur des droits.</t>
    </r>
  </si>
  <si>
    <t>The law itself does not cover positive measures as such. Nevertheless, policies and action plans are encouraged by the DILCRAH and foresee a number of actions to combat discrimination. For instance, the 2023-2026
National Plan Combating Racism, Antisemitism and Discrimination Linked to Origin sets five strategic themes: identify, measure,
educate and inform, sanction, and support. 
These action plans are encouraging but present several limitations in their implementation and monitoring. Indeed, data collection regarding discrimination at local and national level remains a big challenge both at the institutional and operational level. Hence, while measures to monitor and collect data are included in the action plans, public policies and legal frameworks their implementation is not carried systematically and / or remains partial.</t>
  </si>
  <si>
    <r>
      <rPr>
        <b/>
        <sz val="10"/>
        <color rgb="FF000000"/>
        <rFont val="Calibri"/>
        <family val="2"/>
      </rPr>
      <t xml:space="preserve">Law n°2021-1109  - art. 58 </t>
    </r>
    <r>
      <rPr>
        <sz val="10"/>
        <color rgb="FF000000"/>
        <rFont val="Calibri"/>
        <family val="2"/>
      </rPr>
      <t xml:space="preserve">modified code of education. The principle of non-discrimination is preserved by </t>
    </r>
    <r>
      <rPr>
        <b/>
        <sz val="10"/>
        <color rgb="FF000000"/>
        <rFont val="Calibri"/>
        <family val="2"/>
      </rPr>
      <t xml:space="preserve">Article L111-1 of the code of education: </t>
    </r>
    <r>
      <rPr>
        <sz val="10"/>
        <color rgb="FF000000"/>
        <rFont val="Calibri"/>
        <family val="2"/>
      </rPr>
      <t xml:space="preserve">"The public education service ensures inclusive schooling for all children, without distinction."
</t>
    </r>
  </si>
  <si>
    <t xml:space="preserve"> 
</t>
  </si>
  <si>
    <t>Article L1132-1 of the Labour code as modified by law no. 2022-401 of 21 March 2022 aimed at improving the protection of whistleblowers.</t>
  </si>
  <si>
    <r>
      <rPr>
        <b/>
        <sz val="10"/>
        <color rgb="FF000000"/>
        <rFont val="Calibri"/>
        <family val="2"/>
      </rPr>
      <t>Article L1110-3 of the social protection code modified by law n.2022-295 (art.5):</t>
    </r>
    <r>
      <rPr>
        <sz val="10"/>
        <color rgb="FF000000"/>
        <rFont val="Calibri"/>
        <family val="2"/>
      </rPr>
      <t xml:space="preserve">  added "refusing to issue emergency contrraception"  to the prohibition for health workers to refuse to treat someone on one of the grounds referred to in the first paragraph of article 225-1 or article 225-1-1 of the penal code</t>
    </r>
  </si>
  <si>
    <r>
      <rPr>
        <b/>
        <sz val="10"/>
        <color rgb="FF000000"/>
        <rFont val="Calibri"/>
        <family val="2"/>
      </rPr>
      <t xml:space="preserve">Organic Law No.2011-333 - Art 4 (5) was modified by law no.2022-400 (art.1) </t>
    </r>
    <r>
      <rPr>
        <sz val="10"/>
        <color rgb="FF000000"/>
        <rFont val="Calibri"/>
        <family val="2"/>
      </rPr>
      <t xml:space="preserve">by adding "to inform and advise" as part of the Défenseurs des Droits' missions </t>
    </r>
  </si>
  <si>
    <r>
      <rPr>
        <b/>
        <sz val="10"/>
        <color rgb="FF000000"/>
        <rFont val="Calibri"/>
        <family val="2"/>
      </rPr>
      <t>100</t>
    </r>
    <r>
      <rPr>
        <sz val="10"/>
        <color rgb="FF000000"/>
        <rFont val="Calibri"/>
        <family val="2"/>
      </rPr>
      <t xml:space="preserve"> -  Inclusion is unconditional
</t>
    </r>
    <r>
      <rPr>
        <b/>
        <sz val="10"/>
        <color rgb="FF000000"/>
        <rFont val="Calibri"/>
        <family val="2"/>
      </rPr>
      <t>50</t>
    </r>
    <r>
      <rPr>
        <sz val="10"/>
        <color rgb="FF000000"/>
        <rFont val="Calibri"/>
        <family val="2"/>
      </rPr>
      <t xml:space="preserve"> - Some conditions for inclusion
</t>
    </r>
    <r>
      <rPr>
        <b/>
        <sz val="10"/>
        <color rgb="FF000000"/>
        <rFont val="Calibri"/>
        <family val="2"/>
      </rPr>
      <t>0</t>
    </r>
    <r>
      <rPr>
        <sz val="10"/>
        <color rgb="FF000000"/>
        <rFont val="Calibri"/>
        <family val="2"/>
      </rPr>
      <t xml:space="preserve"> - No inclusion (costs must be paid in full by the user or by a commercial insurance policy)</t>
    </r>
  </si>
  <si>
    <r>
      <rPr>
        <b/>
        <sz val="10"/>
        <color rgb="FF000000"/>
        <rFont val="Calibri"/>
        <family val="2"/>
      </rPr>
      <t>100</t>
    </r>
    <r>
      <rPr>
        <sz val="10"/>
        <color rgb="FF000000"/>
        <rFont val="Calibri"/>
        <family val="2"/>
      </rPr>
      <t xml:space="preserve"> - Neither
50 - A or B (please specify)
0 - A and B</t>
    </r>
  </si>
  <si>
    <r>
      <rPr>
        <b/>
        <sz val="10"/>
        <color rgb="FF000000"/>
        <rFont val="Calibri"/>
        <family val="2"/>
      </rPr>
      <t xml:space="preserve">100 </t>
    </r>
    <r>
      <rPr>
        <sz val="10"/>
        <color rgb="FF000000"/>
        <rFont val="Calibri"/>
        <family val="2"/>
      </rPr>
      <t xml:space="preserve">-  Inclusion is unconditional
</t>
    </r>
    <r>
      <rPr>
        <b/>
        <sz val="10"/>
        <color rgb="FF000000"/>
        <rFont val="Calibri"/>
        <family val="2"/>
      </rPr>
      <t>50</t>
    </r>
    <r>
      <rPr>
        <sz val="10"/>
        <color rgb="FF000000"/>
        <rFont val="Calibri"/>
        <family val="2"/>
      </rPr>
      <t xml:space="preserve"> - Some conditions for inclusion
</t>
    </r>
    <r>
      <rPr>
        <b/>
        <sz val="10"/>
        <color rgb="FF000000"/>
        <rFont val="Calibri"/>
        <family val="2"/>
      </rPr>
      <t>0</t>
    </r>
    <r>
      <rPr>
        <sz val="10"/>
        <color rgb="FF000000"/>
        <rFont val="Calibri"/>
        <family val="2"/>
      </rPr>
      <t xml:space="preserve"> - No inclusion (costs must be paid in full by the user or by a commercial insurance policy)</t>
    </r>
  </si>
  <si>
    <r>
      <rPr>
        <b/>
        <sz val="10"/>
        <color rgb="FF000000"/>
        <rFont val="Calibri"/>
        <family val="2"/>
      </rPr>
      <t xml:space="preserve">100 - </t>
    </r>
    <r>
      <rPr>
        <sz val="10"/>
        <color rgb="FF000000"/>
        <rFont val="Calibri"/>
        <family val="2"/>
      </rPr>
      <t xml:space="preserve">All three groups
</t>
    </r>
    <r>
      <rPr>
        <b/>
        <sz val="10"/>
        <color rgb="FF000000"/>
        <rFont val="Calibri"/>
        <family val="2"/>
      </rPr>
      <t xml:space="preserve">67 - </t>
    </r>
    <r>
      <rPr>
        <sz val="10"/>
        <color rgb="FF000000"/>
        <rFont val="Calibri"/>
        <family val="2"/>
      </rPr>
      <t xml:space="preserve">Two groups (please specify) 
</t>
    </r>
    <r>
      <rPr>
        <b/>
        <sz val="10"/>
        <color rgb="FF000000"/>
        <rFont val="Calibri"/>
        <family val="2"/>
      </rPr>
      <t xml:space="preserve">33 - </t>
    </r>
    <r>
      <rPr>
        <sz val="10"/>
        <color rgb="FF000000"/>
        <rFont val="Calibri"/>
        <family val="2"/>
      </rPr>
      <t xml:space="preserve">One group   (please specify) 
</t>
    </r>
    <r>
      <rPr>
        <b/>
        <sz val="10"/>
        <color rgb="FF000000"/>
        <rFont val="Calibri"/>
        <family val="2"/>
      </rPr>
      <t xml:space="preserve">0 - </t>
    </r>
    <r>
      <rPr>
        <sz val="10"/>
        <color rgb="FF000000"/>
        <rFont val="Calibri"/>
        <family val="2"/>
      </rPr>
      <t xml:space="preserve">None
</t>
    </r>
  </si>
  <si>
    <r>
      <rPr>
        <b/>
        <sz val="10"/>
        <color rgb="FF000000"/>
        <rFont val="Calibri"/>
        <family val="2"/>
      </rPr>
      <t xml:space="preserve">100 </t>
    </r>
    <r>
      <rPr>
        <sz val="10"/>
        <color rgb="FF000000"/>
        <rFont val="Calibri"/>
        <family val="2"/>
      </rPr>
      <t xml:space="preserve">- Interpreters are available free of charge to patients
</t>
    </r>
    <r>
      <rPr>
        <b/>
        <sz val="10"/>
        <color rgb="FF000000"/>
        <rFont val="Calibri"/>
        <family val="2"/>
      </rPr>
      <t>50</t>
    </r>
    <r>
      <rPr>
        <sz val="10"/>
        <color rgb="FF000000"/>
        <rFont val="Calibri"/>
        <family val="2"/>
      </rPr>
      <t xml:space="preserve"> - Interpreters are available but patients must pay all (or a substantial part) of the costs
</t>
    </r>
    <r>
      <rPr>
        <b/>
        <sz val="10"/>
        <color rgb="FF000000"/>
        <rFont val="Calibri"/>
        <family val="2"/>
      </rPr>
      <t>0</t>
    </r>
    <r>
      <rPr>
        <sz val="10"/>
        <color rgb="FF000000"/>
        <rFont val="Calibri"/>
        <family val="2"/>
      </rPr>
      <t xml:space="preserve"> - No interpretation services available</t>
    </r>
  </si>
  <si>
    <r>
      <rPr>
        <b/>
        <sz val="10"/>
        <color rgb="FF000000"/>
        <rFont val="Calibri"/>
        <family val="2"/>
      </rPr>
      <t>100</t>
    </r>
    <r>
      <rPr>
        <sz val="10"/>
        <color rgb="FF000000"/>
        <rFont val="Calibri"/>
        <family val="2"/>
      </rPr>
      <t xml:space="preserve"> - 3-5 of these (please specify)
</t>
    </r>
    <r>
      <rPr>
        <b/>
        <sz val="10"/>
        <color rgb="FF000000"/>
        <rFont val="Calibri"/>
        <family val="2"/>
      </rPr>
      <t>50</t>
    </r>
    <r>
      <rPr>
        <sz val="10"/>
        <color rgb="FF000000"/>
        <rFont val="Calibri"/>
        <family val="2"/>
      </rPr>
      <t xml:space="preserve"> - 1-2 of these (please specify)
</t>
    </r>
    <r>
      <rPr>
        <b/>
        <sz val="10"/>
        <color rgb="FF000000"/>
        <rFont val="Calibri"/>
        <family val="2"/>
      </rPr>
      <t>0</t>
    </r>
    <r>
      <rPr>
        <sz val="10"/>
        <color rgb="FF000000"/>
        <rFont val="Calibri"/>
        <family val="2"/>
      </rPr>
      <t xml:space="preserve"> - None of these </t>
    </r>
  </si>
  <si>
    <r>
      <rPr>
        <b/>
        <sz val="10"/>
        <color rgb="FF000000"/>
        <rFont val="Calibri"/>
        <family val="2"/>
      </rPr>
      <t>100</t>
    </r>
    <r>
      <rPr>
        <sz val="10"/>
        <color rgb="FF000000"/>
        <rFont val="Calibri"/>
        <family val="2"/>
      </rPr>
      <t xml:space="preserve"> - 3-4 of these (please specify)
</t>
    </r>
    <r>
      <rPr>
        <b/>
        <sz val="10"/>
        <color rgb="FF000000"/>
        <rFont val="Calibri"/>
        <family val="2"/>
      </rPr>
      <t>50</t>
    </r>
    <r>
      <rPr>
        <sz val="10"/>
        <color rgb="FF000000"/>
        <rFont val="Calibri"/>
        <family val="2"/>
      </rPr>
      <t xml:space="preserve"> - 1-2 of these (please specify)
</t>
    </r>
    <r>
      <rPr>
        <b/>
        <sz val="10"/>
        <color rgb="FF000000"/>
        <rFont val="Calibri"/>
        <family val="2"/>
      </rPr>
      <t>0</t>
    </r>
    <r>
      <rPr>
        <sz val="10"/>
        <color rgb="FF000000"/>
        <rFont val="Calibri"/>
        <family val="2"/>
      </rPr>
      <t xml:space="preserve"> - None of these topics </t>
    </r>
  </si>
  <si>
    <t>Legal change : Décret n° 2019-621 du 21 juin 2019 relatif à la protection complémentaire en matière de santé prévue à l'article L. 861-1 du code de la sécurité sociale - Légifrance (legifrance.gouv.fr). The PUMa (Protection universelle maladie) covers legal migrants and can be granted under certain conditions after a waiting time (délai de carence) of three months. 
Length of stay condition: 3 months of stable and regular residence on the French territory (then 6 months per year for renewal).
No income condition. 
Households with low income can apply for the CSS (complémentaire santé solidaire) to cover upfront payment of health professionals, pharmacy mecicines and medical devices. 
Uninsured migrants (without healthcare coverage) can benefit from urgent care. In order to do so, they can go to healthcare access slots (PASS, permanences d’accès aux soins) situated in most hospitals. A large number of PASS provide primary care, and sometimes secondary care in order to meet immediate needs. Medication can also be supplied free of charge. 
Uninsured migrants can still access hospital emergency services. Besides, hospitals can provide care to uninsured individuals when they consider their life is at stake.</t>
  </si>
  <si>
    <t xml:space="preserve">Rights to healthcare coverage (Protection universelle maladie PUMa) are granted on the basis of a residence permit (“carte de séjour”) as decided by the Prefecture (State representative in each region). Residence permits can be granted from 3 months and up to 10 years. When residence permit renewal is denied, it can lead to interruption of healthcare coverage. For instance, if the Prefecture rejects the renewal, previously legal migrants have to undergo a new process to apply for the AME (Aide médicale d’Etat) which may leave them without healthcare coverage for the time of examination.
Additional documentation may be abusively required in some public insurance local facilities, but it remains a local practice (documented by NGOs and social workers in the Paris region). </t>
  </si>
  <si>
    <t>Legal change : Décret n° 2019-621 du 21 juin 2019 relatif à la protection complémentaire en matière de santé prévue à l'article L. 861-1 du code de la sécurité sociale - Légifrance (legifrance.gouv.fr). The PUMa (Protection universelle maladie) covers asylum seekers and can be granted under a length of stay condition: three months of presence on the territory (except in special circumstances). 
No other access condition. 
Households with low income can apply for the CSS (complémentaire santé solidaire) to cover upfront payment of health professionals, pharmacy mecicines and medical devices. 
Uninsured migrants (without healthcare coverage) can benefit from urgent care. In order to do so, they can go to healthcare access slots (PASS, permanences d’accès aux soins) situated in most hospitals. A large number of PASS provide primary care, and sometimes secondary care in order to meet immediate needs. Medication can also be supplied free of charge. 
Uninsured migrants can still access hospital emergency services. Besides, hospitals can provide care to uninsured individuals when they consider their life is at stake.</t>
  </si>
  <si>
    <t>If the asylum request is rejected, the status of the person shifts to irregular, enabling them to apply to the AME (Aide médicale d'Etat). During the time of examination of the application, the person remains de facto without healthcare coverage.</t>
  </si>
  <si>
    <t>The AME (Aide médicale d’Etat) covers undocumented migrants and can be granted for one year under certain conditions. With the AME, individuals do not have to pay for upfront payments and public deductibles. 
The AME is applicable in mainland France and overseas but not in Mayotte.  The AME can be granted to dependants (one adult can apply in his/her name and in the name of his/her spouse and children). Certain medical expenses are not covered (IV, some prothesis…)
Conditions for granting: The person does not have any residence permit since 3 months, except for minors who are covered unconditionally. 
Length of stay condition: more than 3 months of stable and regular residence on the French territory. 
Income condition: maximum 9719 euros over the last 12 months for a single person (in mainland France / France métropolitaine). 
AME is granted on a voluntary basis (eligible individuals have to apply) and therefore subject to non-take up.
There is a waiting time (for examination of the application) of 2 months.
AME does not provide a chip id card (so called “Carte Vitale”) but a paper document. It has been argued that payment to professionals takes longer in this case, leading some of them to refuse to provide treatments.
Undocumented migrants can benefit from urgent care. In order to do so, they can go to healthcare access slots (PASS, permanences d’accès aux soins) situated in most hospitals. A large number of PASS provide primary care, and sometimes secondary care in order to meet immediate needs. Medication can also be supplied free of charge. 
Uninsured migrants without AME coverage can still access hospital emergency services. Besides, hospitals can provide care to undocumented, uninsured individuals when they consider their life is at stake.</t>
  </si>
  <si>
    <t xml:space="preserve">A. Proof of residence and proof of low income can both be difficult to provide. Evidence shows that administrative complexity and credentials represent a serious barrier in access to AME (aide médicale d’Etat).
Additional documentation may be unjustifiably required in some public insurance local facilities, but it remains a local practice. This has been documented by NGOs and social workers in the Paris region, but there is no recent evidence for such practices. </t>
  </si>
  <si>
    <t xml:space="preserve">Anyone can access the official website of French administration (Service-public.fr), which contains two specific guides :
1. What is the universal health protection (Puma, Protection universelle maladie) ? This concerns legal migrants and asylum seekers. 
2. What is the State medical aid (AME aide médicale d’Etat). This concerns undocumented migrants </t>
  </si>
  <si>
    <t>Anyone can access information on the official website "Santé Publique France"</t>
  </si>
  <si>
    <t xml:space="preserve">Migrant persons can ask for professional interpretating services. Health organisations (hospitals, health centres, vaccination clinics, screening centres…) and migrant support associations use professional medico-social interpreter associations (interpretation “in vivo” on the phone). Some of them are free but persons have to ask a social worker for more information. There is no generalized national solution, and health structures have very variable capacity for interpreting. Small structures rarely use it. </t>
  </si>
  <si>
    <t>There is no generalised national initiative</t>
  </si>
  <si>
    <t>The expert had scored this as 0. but according to the previous evaluation, "Immigrant health and access to healthcare has hardly been addressed in public health research, but in 2016 the National research Agency set up a specific scientific tender on refugees and migrants. ". Since the project was set up in 2016, 100 can be justified for 2020 as well.</t>
  </si>
  <si>
    <t xml:space="preserve">The use of ethnic and racial data is prohibited in principle, but exceptions are permitted for a legitimate purpose, in the public interest, etc. Such use is therefore possible, but on a case-by-case basis after an authorisation. </t>
  </si>
  <si>
    <t>Reform of the AME (Aide médicale d'Etat) introducing the fact that certain non-emergency treatments are covered only after 9 months.</t>
  </si>
  <si>
    <t>In 2021, a public file has been published on the official website "Santé Publique France" on the overall health of migrants in vulnerable situations. 
Different resources and documents dedicated to migrant populations : 
-	Bilingual health handbooks to support health professionals or social workers in contact with migrant populations. Binlingual in English, Spanish, Arabic, Russian, Portuguese, Chinese, Bengali, Turkish, Dari Urdu… 
-	Communication and dialogue tools for health professionals and social workers (posters, leaflets, flyers, brochures…)</t>
  </si>
  <si>
    <t>In 2021, bilingual health handbooks have been made available to support health professionals or social workers in contact with migrant populations. Binlingual in English, Spanish, Arabic, Russian, Portuguese, Chinese, Bengali, Turkish, Dari Urdu… The handbooks are handed out individually and free of charge by the professionals to migrant persons. They are organised into three main sections: access to care and prevention / health / useful information.
There is a specific communication campaign aimed at migrants from sub-Saharan Africa (Africa radio, HIV campaigns...)</t>
  </si>
  <si>
    <t>In 2021, the official website « Santé Publique France » published a file entitled « Migrants in vulnerable situations and health”. This is about global health of migrants, i.e. including the determinants of health, the environment, the socio-economic situation, access to employment, healthcare and prevention, as well as life paths, trauma and mental health.</t>
  </si>
  <si>
    <t>A reform of the AME (aide médicale d'Etat) has been announced by the government, by regulatory means</t>
  </si>
  <si>
    <t>The minsitry of health funded a qualitative study about the mental health of asylum seekers led by "France terre d'asile" and the "Institut Convergences Migrations"</t>
  </si>
  <si>
    <t xml:space="preserve"> Β) - Job counseling is offered in the form of individual counseling sessions. Information is provided, such as contact with prospective employers and information on employee rights, hiring processes and available training programs – in Migrant Integration Centers, Community Centers of the Municipalities, Local Public Employment Services (KPA2) of OAED. The OAED organization helps combat poverty, helps unemployed individuals find jobs while providing employers with educated and trained personnel.
-Project HELIOS of International Organization for Migration since 2019, addresses beneficiaries of international protection. The program offers individual counseling sessions, employment opportunities, enhancement of job readiness, access to professional certifications and networking with employees. See: https://migration.gov.gr/en/migration-policy/integration/draseis-koinonikis-entaxis-se-ethniko-epipedo/epaggelmatiki-symvoyleytiki/</t>
  </si>
  <si>
    <t>Only those who are insured and pay social security benefits have access to social security. It is very difficult for the migrants to cover the requirements and receive unemployment benefits or old age pension, so these are not related to the type of residence permit, but to the pathway of paying the social security related to employment. For each type of social benefit, the criteria differ, but it is important for the applicant that he/she must have permanent residence in Greece to be eligible. 
https://migration.gov.gr/en/migration-policy/integration/draseis-koinonikis-entaxis-se-ethniko-epipedo/oikonomika-voithimata/</t>
  </si>
  <si>
    <t>The L. 4957/2022, Art.297-316 defines the public institution in charge for the recognition of the academic qualifications and the rest of the conditions.
Applications for the recognition of academic qualifications should be lodged through electronic platform and the procedure is accessible for those who have got a tax number in Greece</t>
  </si>
  <si>
    <t>Note: There is an exception in the law for the parents of children under 18 years old who have the Greek nationality according to which a residence permit is granted to their parents (Art.87, Law 4251/2014), but still as the law does not cover all the cases, the score here will remain 0</t>
  </si>
  <si>
    <t>Art.90, par. 1, Law 5038/2023</t>
  </si>
  <si>
    <t xml:space="preserve">1. Policies and implemented measures of the Ministry of Education for the inclusion of refugee students in schools . 2. Analytical information as regards to all levels of education provided online by refugee.info Greece in eight languages - https://greece.refugee.info/en-us/sections/4768116668311 ; https://www.minedu.gov.gr/tothema-prosfigiko-m , https://www.teach4integration.gr/mother-tongue-materials/ </t>
  </si>
  <si>
    <t>Certain schools (mostly in primary education) have intensive language learning classes according to the needs</t>
  </si>
  <si>
    <t>The ministry has the funding but not the capacity, so it uses UNICEF or UNHCR to implement these programs in collaboration. homework. The expert would describe this as systematic support for children. The state operates through other organisations which are already in place. An example of this is the non-formal educational program "All Children in Education", an initiative of the Ministry of Migration and Asylum, which is implemented in collaboration with UNICEF Greece. The ACE program supports access to education for the children of refugee, immigrant and asylum seeker families residing in Ministry of Migration and Asylum accommodation facilities, both in urban centers as well as at points of first entry. It has been successfully
implemented in Greece since September 2021. Check also here for the cooperation between the Ministry of Migration and IOM, financed by the DG HOME: https://greece.iom.int/supporting-greek-authorities-managing-national-reception-system-asylum-seekers-and-vulnerable-migrants-smshttps://migration.gov.gr/en/ace/</t>
  </si>
  <si>
    <t xml:space="preserve"> Special measures to support the Ukrainian refugee children  - https://www.minedu.gov.gr/oukraniki-ekpaideftiki-koinotita </t>
  </si>
  <si>
    <t>Level B2 required</t>
  </si>
  <si>
    <t>According to Par.7, Art.90. L.4251/2014 (Note: here I would distinguish between the duration of the residence permit and the status duration, because the permit is the document itself and the status is the essence)</t>
  </si>
  <si>
    <t>Upon application, Art. 91, L.4251/2014</t>
  </si>
  <si>
    <t xml:space="preserve">Art.93, L.4251/2014 </t>
  </si>
  <si>
    <t>Art. 97, L.4251/2014</t>
  </si>
  <si>
    <t>L. 5038/2023, Art. 2</t>
  </si>
  <si>
    <t xml:space="preserve"> According to par.7, Art. 145, L. 5038/2023, the status of the long-term resident is permanent, with an exception the reasons for revocation or loss of long-term resident status which are defined in Article 148. Nevertheless, according to the Article 146 on the duration and renewal of a long-term resident's residence permit (Article 8 of Directive 2003/109), par. 1. the residence permit of the long-term resident ("M1" type residence permit) is valid for five (5) years and is renewed for five (5) years each time, without the need of meeting the conditions of Article 144. Following this logic, I will score 100, as the duration of the status is indefinite.</t>
  </si>
  <si>
    <t xml:space="preserve"> Art.146, L. 5038/2023</t>
  </si>
  <si>
    <t xml:space="preserve">Art. 148, par. 1, Law 5038/2023 </t>
  </si>
  <si>
    <t>Art. 152, L. 5038/2023</t>
  </si>
  <si>
    <t>Yes, the score must remain 0, as the required time of legal stay before applying for citizenship for certain categories of foreigners is 12 years.</t>
  </si>
  <si>
    <t xml:space="preserve">Greek Citizenship Code, Art. 1  The children receive the citizenship, but they should lodge an application and it is explicitly written in the Citizenship Code “upon declaration and application, due to birth and attending school in Greece”. 
Article 9 Law 4735/2020 in force on 12/10/2020. Acquisition of Greek citizenship by children of a naturalized person: The child of a foreigner who is naturalized, becomes a Greek citizen without any other wording, under the condition that on the date when the parent receives the citizenship, the child is a minor, unmarried and resides permanently in the country. https://ministryofjustice.gr/wp-content/uploads/2019/10/%CE%9A%CF%8E%CE%B4%CE%B9%CE%BA%CE%B1%CF%82-%CE%95%CE%BB%CE%BB%CE%B7%CE%BD%CE%B9%CE%BA%CE%AE%CF%82-%CE%99%CE%B8%CE%B1%CE%B3%CE%AD%CE%BD%CE%B5%CE%B9%CE%B1%CF%82.pdf 
</t>
  </si>
  <si>
    <t>L 4735/2020, Art.6 – Paragraph 1. The foreigner who wishes to be naturalized as a Greek is invited to participate in a written test, in order to certify that the conditions of paragraphs a and b of article 5A are met. A condition for participation in the written test is the payment of an examination fee of one hundred and fifty (150) euros. For this certification, the foreigner must successfully respond to Greek language exams at a level equivalent to B1 in the understanding and production of spoken and written language, as well as an examination of knowledge of elements of Greek history and geography, Greek culture and the country's political institutions.
Paragraph 4 - From the obligation to obtain the Certificate of Knowledge Proficiency for Naturalization (Π.Ε.Γ.Π.) those who have successfully attended a high school in Greece that follows the compulsory Greek education program are exempt. Also exempt are those who have graduated from a Greek language program at a Greek university or have obtained a master's degree from a Greek language program at a Greek university or have prepared a doctoral thesis in Greek at a Greek university.</t>
  </si>
  <si>
    <t>In order to verify the sufficient income of the applicant, the total declared income is first taken into account as stated in the annual tax declaration and which includes the following:
- Income from salary/wages, pension
- Income from business and agricultural activity
- Income from investments (interest on deposits, dividends from companies listed on the Greek Stock Exchange)
- Rights
- Income from leasing or granting the use of land or real estate. https://www.ypes.gr/wp-content/uploads/2022/02/eggr6929-egk81-20220204.pdf
However, for the verification of sufficient income, amounts filled in in other codes are taken into account in addition to the total declared income</t>
  </si>
  <si>
    <t xml:space="preserve">L 3284/2004, Art 5, par. 1b      Misdemeanours and minor offenses are not mentioned in the law or circulars as deterrents of granting citizenship, neither are mentioned the pending criminal procedures. (NOTE: In this sense as the Law 3284/2004 was voted 20 years ago ). </t>
  </si>
  <si>
    <t>No such requirements</t>
  </si>
  <si>
    <t>Law 4443/2016 published in State gazette N 232/Α/9-12-2016, adopts and incorporates the Council Directive 2000/43/EC 
of 29 June 2000 as regards to the principle of equal treatment between persons irrespective of racial or ethnic origin. Covers a) and b), excludes c)</t>
  </si>
  <si>
    <t xml:space="preserve">  L 4443/2016, Art 3, Par. 2</t>
  </si>
  <si>
    <t>Law 4285/2014, amending Law 927/1979 (A 139) and adapting it to the framework decision 2008/913 of November 28, 2008, to combat certain forms and manifestations of racism and xenophobia through criminal law (L 328) and other provisions. L.4443/2016 on equal treatment, Incorporation of Directive 2012/29/EU on the Protection of Victims of Crime, including Victims of Racist Crimes (Law 4478/2017), Article 81A - Criminal Code - A crime with racial characteristics, Article 361 B of the Criminal Code, the law provides the possibility of compensation for the victims (under conditions) by the Hellenic Compensation Authority (law 3811/2009). With Law 4478/2017, the Directive 2012/29/EU on the protection of crime victims was incorporated into the national legislation, providing additional protection measures, among others, to victims of racist crimes. Victims and witnesses of crimes of racist violence, who are not citizens of EU member states, may be granted a residence permit for humanitarian reasons in accordance with art. 19A of Law 4251/2014, as amended by Law 4332/2015</t>
  </si>
  <si>
    <t>Law 4356/2015, Chapter 2, Establishment of National council against racism and intolerance</t>
  </si>
  <si>
    <t>L 4443/2016, Art. 8</t>
  </si>
  <si>
    <t>L 4443/2016</t>
  </si>
  <si>
    <t>Legal migrants are covered, and from the moment they have residence permit they have access to all the benefits that Greeks have.</t>
  </si>
  <si>
    <t xml:space="preserve"> For asylum seekers in Greece since 2020, the Asylum Service provides a Full Registration Card, on which PAAYPA (insurance number) is indicated. As long as they remain a full registration card holder, PAAYPA remains valid, giving them free access to health care. https://greece.refugee.info/en-us/articles/4985624835479 
Benefits that they have as a result of the National Insurance:
-	Access to private doctors who are associated with the National Insurance System (EOPYY). There is an online list of medical specialities in detail on the EOPY webpage.
-	75% coverage of medical check-ups at private diagnostics centres.
-	Partial coverage at medical pair of eyeglasses.
-	Partial coverage at Physiotherapy Sessions, at Occupational Therapy Sessions and Speech Therapy Sessions.
In Greece, asylum seekers obtain a specific number named PAAYPA (Provisional Social Security and Health Care Number) indicated on their asylum card that provides access at Hospitals, Primary Medical Care (P.E.D.Y.), Health Centers, Local Health Units (T.O.M.Y.), at free medical check-ups and medicine.
Once an asylum seeker has been officially recognized as a refugee or granted subsidiary protection, he/she can acquire a permanent Social Security Number (A.M.K.A.) from the administrative services of E.F.K.A (Ε.Φ.Κ.Α), that gives him/her access to the same above-mentioned medical provisions . The asylum seekers receive the card immediately with registration.
</t>
  </si>
  <si>
    <t>Since someone is registered as an asylum seeker or as a refugee, access to health care system is guaranteed.</t>
  </si>
  <si>
    <t xml:space="preserve">The Law covers certain groups who are uninsured: - children under 18 years old, handicapped with 67% or those who need to be hospitalized, pregnant women, etc. (Art.33, Law 4368/2016), migrants in limbo, irregular migrants with an order of postponement of removal. </t>
  </si>
  <si>
    <t xml:space="preserve"> Α. Migrants are involved in service delivery (e.g. through the employment of ‘cultural mediators’). </t>
  </si>
  <si>
    <t xml:space="preserve">Some NGOs work and some ad hoc support for refugees only, but no whole organization approach </t>
  </si>
  <si>
    <t xml:space="preserve"> For the needs of medical care, access to health services, the labor market and social security, applicants for international protection are assigned a Temporary Alien’s Insurance and Health Care Number (P.A.A.Y.P.A.). The P.A.A.Y.P.A. is granted at the same time as the number written on the card of the applicant for international protection issued by the Asylum Service, corresponds to it and remains active throughout the examination of the application for international protection. The holder of the P.A.A.Y.P.A. has access to health services based on the provisions of article 33 of Law 4368/2016 (A' 21). In case of rejection of the application for international protection for any of the reasons mentioned in this Code, and which does not have a suspensive nature, the P.A.AY.Y.P.A. is automatically deactivated and the beneficiary ceases to have access to the above services. Exceptionally, when the rejection decision of the application for international protection concerns an unaccompanied minor, the P.A.A.Y.P.A. remains active until the execution of the return decision or the unaccompanied minor reaches the age of majority, who still has access to the above services (L 4939/2022, Art. 59)</t>
  </si>
  <si>
    <t>only (a), and parents only</t>
  </si>
  <si>
    <t>No requirement</t>
  </si>
  <si>
    <t xml:space="preserve">Access only for those with residence permit issued for longer than 3 months </t>
  </si>
  <si>
    <t>There are some exceptions though, 2 years for Blue Card holders, and at least 5 years in any EU MS with Blue Card.</t>
  </si>
  <si>
    <t>It is the document, that expires and needs to be renewed.</t>
  </si>
  <si>
    <t>This reflects the most favourable permanent or long-term residence status in the country. There are some exceptions though, 2 years for Blue Card holders, and at least 5 years in any EU MS with Blue Card.</t>
  </si>
  <si>
    <t>Only for the sake of consistency, the law hasn't changed since 2011, and the change then concerned the term 'nationality', which was changed to 'belonging to a nationality'. The 'any other grounds' argument may stand though. The text referred in the older Mipex table, is the original (Bulletin) version of the law.</t>
  </si>
  <si>
    <t>In 2020, the Parliament passed a law abolishing the previously independent Equal Treatment Authority as of 1 January 2021, and its tasks and competences were transferred to the Commissioner for Fundamental Rights (Ombudsman)in 2021. It exists now as a directorate-general of the office: https://www.ajbh.hu/web/ajbh-en/equal-treatment.   From the antidiscrimination report: "The abolition of the Equal Treatment Authority and the transfer of its mandate and powers to the Ombudsman organisationally ‘downgrade’ the issue of non-discrimination by vesting a multi-focus body with the task of combating discrimination instead of the Authority, for which it was the single focus and mandate. This has thus decreased the level of protection against discrimination in Hungary. In the author’s view, this means a potential violation of the non-regression clause of Directive 2000/43. The termination of Authority’ regional referee network (providing assistance to victims of discrimination in formulating their complaints) after the transfer of the mandate could negatively impact the equality body’s ability to provide independent assistance to victims of discrimination. The developments so far seem to justify the concerns. The Council of Europe examined the merger and expressed concerns over a number of issues, including the understaffing of the unit responsible for the equality mandate, and the Ombudsman’s failure to appoint  either a Director General for Equal Treatment or a Deputy Director General. "    Beacuse of the downgrading of the Authority a score of 50 was assigned, see Poland case for comparison.</t>
  </si>
  <si>
    <t>Competences of the Ombudsman: the equality body is entrusted with all the powers required by the Racial Equality Directive. It may/shall among other things: (i) conduct complaint-based or ex officio investigations to establish whether the principle of equal treatment has been violated, and, if necessary, apply sanctions on the basis of the investigation; (ii) initiate lawsuits with a view to protecting the rights of persons and groups whose rights have been violated; (iii) make proposals concerning governmental decisions and legislation pertaining to equal treatment; (iv) regularly inform the public about the situation concerning the enforcement; of equal treatment; (vi) provide information to those concerned and offer assistance in acting against the violation of the principle of equal treatment.</t>
  </si>
  <si>
    <t>inclusion is based on social indication: if that is established by the Asylum Authrority, costs of basic health care are covered.</t>
  </si>
  <si>
    <t>B) Assessment is needed</t>
  </si>
  <si>
    <t>Only for the sake of consistency with previous scores: would give '0' based on my own assessment, and also on the previous argument: if the state pays instead of the patient, it doesn't mean that teh patient is no longer in debt, only not toward the medical provider but toward the state.</t>
  </si>
  <si>
    <t>Only for the sake of consistency, in light of the assessment of 147a, this score is not applicable.</t>
  </si>
  <si>
    <t>The previous scores were given on the basis of a small and particular research project funded by AMIF in 2012. The project ended</t>
  </si>
  <si>
    <t>See 2023 for general comment</t>
  </si>
  <si>
    <t xml:space="preserve">General comment on indicator: Posts in the Irish Civil Service are generally open to suitably qualified candidates who are nationals of an EU Member State, including Ireland, or the European Economic Area (EEA).  Such individuals have the right under the EU Treaties to reside and take up employment in any EEA Member State.  Non-EEA citizens do not benefit from these rights and do not automatically qualify to compete for these roles.Section 36 of the Employment Equality Act, 1998 - 2015 provides that in relation the holding of office under or in the service of the State, to include Civil Service employment, the requirement in relation to citizenship is lawful (and this may extend to residence requirements and proficiency in Irish language also). From time to time, professional or specialist posts the civil service are advertised where, reflecting specific requirements for particular expertise or skills, a more flexible approach is taken and the rules of the competition state that applications from non-EEA citizens are welcome. However, any such candidates are advised that even if successful at interview, an appointment to the post would be contingent on the securing of a work permit. </t>
  </si>
  <si>
    <t>See 2023 for general comment.</t>
  </si>
  <si>
    <t>Employment Permits Bill 2022 published but not directly relevant. See 2023 for general comment.</t>
  </si>
  <si>
    <t xml:space="preserve">Access to labour market is regulated by Employment Permits Acts 2006-2014 (as amended). The law does not provide immediate access to the labour market unless this is granted by the Minister for Justice as part of the 'terms and conditions' of residence permisison issued to a foreign national on a discretionary basis under the Immigration Act 2004 (as amended) or to persons granted international protection under the International Protection Act 2015. </t>
  </si>
  <si>
    <t>No specific legislation in Ireland. Unless a person has been granted permission to come to Ireland under a specific inward investment programme, only foreign nationals granted residence permission  at the discretion of the Minister for Justice with 'terms and conditions' allowing for self-employment may be self- employed.</t>
  </si>
  <si>
    <t xml:space="preserve">Aside from EU/EEA nationals, typically only Stamp 4 residence permit holders (granted at discretion of Minister for Justice and which allows for full access to labour market (employment and self-employment) enjoy free access to the labour marker and may be eligible to access some public employment (jobseekers) services. A jobseeker must fulfil habitual residence conditions. Migrant Integration Strategy 2017-2020 not revised / updated. </t>
  </si>
  <si>
    <t xml:space="preserve">Equal access to higher level and vocational training is provided for refugees and certain categories of Stamp 4 residence permit holders.There are residence, nationality and income criteria to be fulfilled by applicants. Financial support is regulated by the Student Support Act 2011, as revised and updated by the Student Support Regulations enacted thereunder every year. Under current rules, only certain categories of third country national are eligible on fulfilment of certain conditions. Most third country nationals do not enjoy access to a permanent residence status unless they qualify for same under the EU Citizenship Directive.  In order to receive funding, an applicant must have been resident in the Irish State or the EU/EEA/Swiss Federation for three of the last five years. If a student has been living in EU/EEA/Swiss Federation but not in the Irish State for three of the last five years, they are deemed a tuition student. A tuition student, if deemed eligible, will only receive the fee portion of the Student Grant and will not receive any maintenance payments. </t>
  </si>
  <si>
    <t xml:space="preserve">This is regulated by the Qualifications and Quality Assurance (Education and Training)(Amendment) Act 2019. National Framework of Qualifications is established and maintained by the National Qualification Authority of Ireland (now Quality and Qualifications Ireland (QQI)). Individuals may have to deal directly with regulatory body for specific professions. There is no clear process regarding application for recognition of qualifications. </t>
  </si>
  <si>
    <t>As detailed in MIPEX 2019, comments relate to b) - programmes to encourage hiring of TCNs. The Irish Human Rights and Equality Act 2014, section 42 introduced a 'public sector duty'. All public bodies in Ireland have responsibility to promote equality, prevent discrimination and protect the human rights of their employees, customers, service users and everyone affected by their policies and plans.The Irish Human Rights and Equality Commission has a mandate to give guidance to, and encourage, public bodies in developing policies and good practice in relation to human rights and equality. Where the Commission considers that there is evidence of a failure by a public body to perform its functions in line with the Public Sector Equality and Human Rights Duty it may invite a public body to carry out a review, or to prepare and implement an action plan related to the performance of its functions, or both. Private and public sector employers increasingly have diversity and inclusion policies, including, for example, the Public Appointment Service with responsibility for recruiting across the civil service, includng health, child protection and police services and State Boards.  The Irish police force had a Diversity and Integration Strategy 2019-2021 and had a campaign, in six languages, to promote recruitment amongst ethnic minorities. Similarly, Tusla the national Child and Family Agency ran a campaign to increase the number of carers from different family, cultural, religious, social and linguistic backgrounds to reflect the diversity of  minors coming into care.</t>
  </si>
  <si>
    <t>There are no specific legislative measures. As set out in previous MIPEX questionnaire, in 2019, following a campaign led by TCN spouses of employment permit holders, the Department of Enterprise liberalised access to the labour market for family members (specifically spouses) who previously were not permitted to access the labour market easily. Since 6 March 2019, a spouse or de facto partner of a Critical Skill Employment Permit holder no longer needs an employment permit and is permitted restricted access to the labour market in employment capacity following registration with the Immigration Service. This was not specifically introduced as a targeted measure for women but many women were affected by the previous restriction on access to the labour market. There are no specific youth measures, and generally children of migrant workers are issued 'dependent' residence permits only which does not allow access to the labour market at all even on completion of secondary education or during third-level, regardless of established length of residence in Ireland, unless this is granted on a discretionary basis by the Minister for Justice in response to an individual application for a change in 'terms and conditions' of residence permission.</t>
  </si>
  <si>
    <t>The Social Welfare and Pensions Act 2014 (as amended) introduced the 'habitual residence' condition. For all social welfare payments in Ireland, applicants must satisfy the rules for each scheme to qualify and must also be 'habitually resident' in Ireland to qualify for the payment. Only Stamp 4 residence permit holders have equal access regardless of the lengh of the residence permit. This does not include many persons who are granted residence permission following a family reunion application (except for refugees and parents/spouses of Irish citizens). Certain exemptions from HRC may apply for family payments. Even family members of EU/EEA citizens do not enjoy equal access, a matter which is currently the subject of litigation before the CJEU by way of reference from the Irish Court of Appeal in Case C-488/21.</t>
  </si>
  <si>
    <t>n/a</t>
  </si>
  <si>
    <t xml:space="preserve">No specific legislation enacted but the Irish Government opened the Afghan Admissions Programme by way of humanitarian response to the situation in Afghanistan from August 2021. It enabled Irish citizens/Afghan residents to apply to sponsor certain categories of family members but subject to fulfilment of financial and other sponsorship requirements. </t>
  </si>
  <si>
    <t xml:space="preserve">No specific legislation enacted during 2019-2023. There is no 'ordinary' legal resident sponsor. The requirements vary depending on the specific category of legal resident. For example, there is no residence requirement for refugees or critical skills employment permits; however, there is a minimum one year residence requirement for general employment permit holders. For other TCH residents, including parents of Irish citizen children, or persons granted discretionary permission to reside, there are no specific residence requirements but there is also no specific entitlement to family reunification. Applications are assessed with reference to policy criteria set out in the INIS Policy document on non-EEA Family Reunification and are granted on a discretionary basis.  </t>
  </si>
  <si>
    <t xml:space="preserve">No legislation and no language requirements set out in INIS Policy Document. </t>
  </si>
  <si>
    <t xml:space="preserve">No legislation and no relevant requirements set out in INIS Policy Document. </t>
  </si>
  <si>
    <t xml:space="preserve">No legislation and no administrative requirements. </t>
  </si>
  <si>
    <t>No legislation and no administrative requirements.</t>
  </si>
  <si>
    <t xml:space="preserve">Only international protection status holders have a legal entitlement to family reunification with certain family members (spouse/civil partner and minor unmarried biological children, or if an unaccompanied minor, their parent/s and their parents' minor unmarried biological children. There are no income requirements in these cases. Per INIS Policy Document, for all other 'sponsors' there are income requirements which vary depending on the category of sponsor and/or the category of family member being sponsored. However, the Minister has criteria to waive income requirements on humanitarian basis. </t>
  </si>
  <si>
    <t>No accommodation requirements set out in legislation for international protection sponsors. The INIS Policy Document does make specific requirements; however, under certain schemes, e.g. Afghan Admission Programme certain requirements may be set out and/or in practice there is evidence that the Minister had regard to available accommodation (or lack thereof) and reference may be made to same in decision-making when providing reasons for refusing to grant an application.</t>
  </si>
  <si>
    <t xml:space="preserve">There is only legislation governing duration of permit issued to international protection status holders family permits. For all other categories, there are no statutory provisions. However, in practice, family members are generally issued a permit that is either equal in duration to the sponsor, or for at least 1 year and renewable on fulfilment of conditions. </t>
  </si>
  <si>
    <t xml:space="preserve">No legislative provisions. However, in accordance with general provisions of the Immigration Act 2004, all foreign nationals are under statutory provision to notify the Minister of Justice regarding material changes in circumstances, including changes in family relationships, that may affect the residence permission first granted. The MInister has discretion whether or not to renew residence permission if there are changes in circumstances. There are no clearly stated statutory criteria or entitlements to remain in the State following changes in circumstances, including family breakdown on grounds of domestic violence, although the INIS does provide some guidance in domestic violence cases. However,  even such cases are decided on a discretionary basis. It is a general 'term and condition' of residence permission that foreign nationals comply with residence requirements (including permitted periods of absence from the country), make efforts to become employed (if permitted) and not to be a burden on the state, to comply with Irish law generally and to be of 'good character', etc. </t>
  </si>
  <si>
    <t xml:space="preserve">General comment for indicator: In respect of 'join family'visa applications, the Minister will usually consider these factors but there is no legislation mandating the Minister to do so. In respect of situations where family life is established in the State and the Minister is considering withdrawing a residence permission and perhaps requiring a person to leave the country as part of a deportation process, the Minister is required to have regard to the provisions of section 3, Immigration Act 1999 and to have regard to matters including those set out at a-d above, as well as ECHR oligations, etc. </t>
  </si>
  <si>
    <t xml:space="preserve">There are no statutory provisions in Irish law providing a right of access to an autonomous residence permit even after a period of long-stay, unless and until Irish citizenship is granted. There is no published guidance regarding the residence permission to be granted to children of sponsors who are currently required to register for immigration purposes at age 16, including long-stay child dependents or at reaching age of majority or school-leaving. Often such children are only granted Stamp 3 residence permission (dependent) which does not provide a right of access to the labour market or qualify for SUSI higher education grants. Changes in 'terms and conditions' may be granted on individual applicaiton on a discretionary basis. </t>
  </si>
  <si>
    <t xml:space="preserve">See 2023 for general comment. </t>
  </si>
  <si>
    <t xml:space="preserve">Migrant Integration Strategy expired and has not been updated since. </t>
  </si>
  <si>
    <t xml:space="preserve">Migrant Intergration Strategy expired in 2020 and has not been updated since. Action 26 stated that 'proactive efforts will be made to attract migrants into teaching positions, including raising awareness of the 
Irish language aptitude test and adaptation period for primary teaching.' </t>
  </si>
  <si>
    <t>Decision made on the basis of 2019 document, mentioned in the previous evaluation</t>
  </si>
  <si>
    <t>As of september 2021 the translations are not available on the government website mentioned in the comments of previous evaluation. So the score is reduced to 0 from 2022 onwards.</t>
  </si>
  <si>
    <t>See general comment below. In 2022 specifically, in repsonse to Russian invasion in Ukraine and following the introduction of Temporary Protection, the Ukrainian Teachers in Ireland programme was introduced. This introductory course is aimed at teachers from Ukraine currently living in Ireland who are registered with the Teaching Council and working in Irish schools, or hoping to do so shortly. It will provide an overview of the Irish education system to help build additional knowledge, skills and confidence to enhance their professional growth.The course will commenced in November 2022 to run throughout December. Depending on the participants’ circumstances, content will be offered in-person at MIE, online or blended. The course was funded by the European Commission under the Asylum, Migration and Integration Fund 2014-2020, through the Department of Children, Equality, Disability, Integration and Youth. There was no fee for participants and assistance for travel could be offered when in person sessions take place.</t>
  </si>
  <si>
    <t>As detailed in MIPEX 2019, there are no specific measures mandated by law per se, although some third level institutions have appointed Diversity and Inclusion or Equality officers to develop policies and there are other initiatives such as Trinity Access Programme to widen access and particpation for underrepresented groups. These may be to address staff gender balance on staff and class barriers to access, as opposed to specific measures targeting ethnic minorities and migrants. Some universities have been awarded University of Sanctuary status in recognition of initiatives welcoming refugees and asylum seekers into the university community. The criteria for access to SUSI Scheme (financial support) are reviewed annually and changes may be introduced that may improve access for disadvantaged students but these are not necessarily targeted to increase migrant access. The Refugee Access Programme is part of the City of Dublin ETB’s Separated Children Service which prepares newly arrived separated children seeking asylum and other young people from refugee backgrounds for mainstream school and life in Ireland. The programme is from 12-20 weeks.</t>
  </si>
  <si>
    <t>There are no specific requirements or measures regarding a-c; typically official information is available in English or Irish (Gaelige) languages only. With respect to asylum seekers and refugees, some NGOs, e.g. Irish Refugee Council, try to support access through voluntary administration of donations to assist with costs.   There are also NGO and University of Santuary iniatives to support access to third level and/or campaigns to increase access to third level.</t>
  </si>
  <si>
    <t>Compulsory education only. The Department of Education and Skills (DES) provides additional educational resources for pupils who are learning English as an additional language (EAL) in primary and post-primary schools. Full details are set out in DES circuclar 0053/27 and resources available for EAL support are set out by the National Council for Curriculum and Assessment (NCCA), as well as DES circular 0018/2020. It only provides for basic allocation of EAL teaching resources to schools, and individual schools may apply for additional resources if there is a high concentration of pupils requiring language supports, which is described as  least 20% of the total enrolment of the school is made up of pupils that require EAL (English as an additional language) support (pupils with less than B1 (Level 3) proficiency).  At non-compulsory level (pre-school, called ECCE), a new Access and Inclusion Model (AIM) was introduced in June 2016 for children starting ECCE in September 2016. AIM supports a child-centred model, involving seven levels of progressive support, moving from universal to targeted support, based on the needs of the child and the pre-school provider. The model offers tailored, practical supports based on need. Levels 1 – 3 of the model involve a suite of universal supports which are designed to promote and support an inclusive culture within pre-school settings by means of educational and capacity-building initiatives for providers and practitioners. Where a pre-school service provider, in partnership with a parent, considers that some further additional support may be necessary to meet the needs of a particular child, they can apply for one or more additional targeted supports under levels 4 – 7 of the model. Additional targeted supports could take the form of expert early childhood care and educational advice and mentoring (level 4), specialised equipment, appliances and minor alterations (level 5), therapeutic supports (level 6) or additional capitation to fund extra assistance in the ECCE pre-school room (level 7). There is no reference to language supports in the AIM model.</t>
  </si>
  <si>
    <t>There is no mandated national curriculum. The primary  objective of EAL is to support a student to develop sufficient proficiency so as to participate and progress in the mainstream classroom</t>
  </si>
  <si>
    <t xml:space="preserve">General comment to this indicator: There are some resources that schools may use such as the Up and Away Programme  (published in 2006 and not updated since) or Aistear. However, schools are not mandated to use particular resources and there is no standardised testing, although there are some assessment kits to monitor and record progress.  See the published guidance of the NCCA available at09/09/2023 https://ncca.ie/en/primary/primary-developments/language/english-as-an-additional-language-in-primary-schools/ </t>
  </si>
  <si>
    <t xml:space="preserve">General comment: The Intercultural Education Strategy 2010-2015 was not revised or updated after 2015. The National Integration Strategy 2017-2020 identified certain actions to be taken regarding education (e.g. to explore free fees initiative, keep adequacy of language supports under review but contained no specific targets or funding requirements, etc.) and has not been updated since 2020. </t>
  </si>
  <si>
    <t xml:space="preserve">Intercultural education is not standalone subject in the national  curriculum. This is not to say that there are no opportuninties within the curriculum (including SESE (geography, history)or SPHE (social education) or Art or Religion for cultural diversity or appreciation to be incorporated. It is also the case that many schools do actively celebrate and promote cultural diversity within their school/community and/or engage in outreach with migrant communities, etc. The Irish National Teachers Organistion (INTO) has published guidelines for schools on best practice for equal participation and outcomes in education of children of ethnic minorities. See also Primary Curriculum Framework 2023: https://www.gov.ie/en/publication/0db24-primary-curriculum-framework/ </t>
  </si>
  <si>
    <t>Since 2016, although no specific campaign, the Migrant Teacher Project was introduced and aims to increase the participation of Immigrant Internationally Educated Teachers (IIETs) in the Irish primary and post-primary education sectors. Established by Marino Institute of Education with the support of National Integration Funding, the project provides information, advice and training to teachers who have qualified outside of Ireland, to help them to continue their profession in Irish primary and post-primary schools.The Project also provides a Bridging Programme to further enhance teachers' professional development and qualifications, and their opportunities for securing employment in Irish schools. This project is currently supported The Migrant Teacher Project is co-financed by the Department of Education and the European Commission under the Asylum, Migration and Integration Fund 2014-2020, through the Department of Children, Equality, Disability, Integration.</t>
  </si>
  <si>
    <t>The curriculum for primary and post-primary education courses usually include inclusive edcuation modules, which typically refers to Special Education Needs (Disability) but may also include multicultural education. It may only comprise approximately 5% of credits over a two year post-primary  course.</t>
  </si>
  <si>
    <r>
      <t xml:space="preserve">Consultation of foreign residents on national level:
</t>
    </r>
    <r>
      <rPr>
        <b/>
        <sz val="10"/>
        <color rgb="FF000000"/>
        <rFont val="Calibri"/>
        <family val="2"/>
      </rPr>
      <t>Regular consultation</t>
    </r>
    <r>
      <rPr>
        <sz val="10"/>
        <color rgb="FF000000"/>
        <rFont val="Calibri"/>
        <family val="2"/>
      </rPr>
      <t xml:space="preserve">: consultation of immigrant population or of immigrant associations is structurally organised for policies which are relevant for foreign residents
</t>
    </r>
    <r>
      <rPr>
        <b/>
        <sz val="10"/>
        <color rgb="FF000000"/>
        <rFont val="Calibri"/>
        <family val="2"/>
      </rPr>
      <t>Ad-hoc consultation</t>
    </r>
    <r>
      <rPr>
        <sz val="10"/>
        <color rgb="FF000000"/>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</si>
  <si>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rPr>
        <b/>
        <sz val="10"/>
        <color rgb="FF000000"/>
        <rFont val="Calibri"/>
        <family val="2"/>
      </rPr>
      <t>100</t>
    </r>
    <r>
      <rPr>
        <sz val="10"/>
        <color rgb="FF000000"/>
        <rFont val="Calibri"/>
        <family val="2"/>
      </rPr>
      <t xml:space="preserve"> - Regular consultation, together with a) anf b) 
</t>
    </r>
    <r>
      <rPr>
        <b/>
        <sz val="10"/>
        <color rgb="FF000000"/>
        <rFont val="Calibri"/>
        <family val="2"/>
      </rPr>
      <t>75</t>
    </r>
    <r>
      <rPr>
        <sz val="10"/>
        <color rgb="FF000000"/>
        <rFont val="Calibri"/>
        <family val="2"/>
      </rPr>
      <t xml:space="preserve"> -  Regular consultation, with members elected or appointed by foreign residents or associations (with or without state intervention)
</t>
    </r>
    <r>
      <rPr>
        <b/>
        <sz val="10"/>
        <color rgb="FF000000"/>
        <rFont val="Calibri"/>
        <family val="2"/>
      </rPr>
      <t>50</t>
    </r>
    <r>
      <rPr>
        <sz val="10"/>
        <color rgb="FF000000"/>
        <rFont val="Calibri"/>
        <family val="2"/>
      </rPr>
      <t xml:space="preserve"> - Regular consultation of foreign residents on national level, with members selected/appointed by state only
</t>
    </r>
    <r>
      <rPr>
        <b/>
        <sz val="10"/>
        <color rgb="FF000000"/>
        <rFont val="Calibri"/>
        <family val="2"/>
      </rPr>
      <t>25</t>
    </r>
    <r>
      <rPr>
        <sz val="10"/>
        <color rgb="FF000000"/>
        <rFont val="Calibri"/>
        <family val="2"/>
      </rPr>
      <t xml:space="preserve">  - ad-hoc consultation of foreign residents on national level
</t>
    </r>
    <r>
      <rPr>
        <b/>
        <sz val="10"/>
        <color rgb="FF000000"/>
        <rFont val="Calibri"/>
        <family val="2"/>
      </rPr>
      <t xml:space="preserve">0 </t>
    </r>
    <r>
      <rPr>
        <sz val="10"/>
        <color rgb="FF000000"/>
        <rFont val="Calibri"/>
        <family val="2"/>
      </rPr>
      <t xml:space="preserve">- No consultation at the national level
</t>
    </r>
  </si>
  <si>
    <t>Migrant Integration Strategy 2017-2020 promised funding for political participation and Communities Integration Fund (500K) to local community-based groups. The strategy was continued in 2021, but not in 2022 and 2023, which can explain the score change. There is no regular funding stream for political participation available for immigrant organizations, but the government sometimes makes available, by request, once-off funds (we are funded by the Department of Housing, Local Government and Heritage to develop actions in this area). We contacted the Department of Housing, Local Government and Heritage and put forward a proposal. It is also possible to apply for projects related to political participation through AMIF or other integration-related grants, but these do not focus exclusively on political participation.</t>
  </si>
  <si>
    <t xml:space="preserve">Migrant Integration Strategy 2017-2020 expired. Section 2 Action Plan, Action 11 stated that a statutory scheme for Long Term Residency will be introduced. No legislation was progressed under the Strategy and has not been since either. </t>
  </si>
  <si>
    <t xml:space="preserve">General comment re. indicator and overall strand: There is no 'permanent residence' for non-EEA nationals in Ireland. There is a Long-Term Residency Scheme, which only some TCNs may apply for (usually general employment permit holders) after 5 years. It is discretionary. If granted, a Stamp 4 residence permit is granted for a period of five years. Dependent spouses of employment permit holders may also apply. However, they are not granted Stamp 4 or an autonomous permit. It is a Stamp 3 dependent permit for five years that maintains restrictions on access ot labour market. There is another scheme Without Condition As to Time, which some TCNs may be eligible to apply for after 8 years. It is also discretionary. If granted, the permission is granted for remaining duration of the holders's passport and must then be re-applied for. Stricly the scores across all indicators could be 0 as there is no permanent residence but I have scored indicators according the requirements of the long term residence scheme. </t>
  </si>
  <si>
    <t>Please refer to general comment at ea80 as strictly there is no permanent residence status.</t>
  </si>
  <si>
    <t xml:space="preserve">Please refer to general comment Please refer to general comment at ea80 as strictly there is no permanent residence status. Re this speciifc indicated published guidance re long term residence scheme for eligible applicants does not explictly refer to economic resources requirement/threshold. However it is a requirement to be in employment. As the administrative scheme is effectively only open to general employment permit holders, this means there is an unstated income requiement of min. €27-64k p/a, as these are the income thresholds for employment permits. </t>
  </si>
  <si>
    <t xml:space="preserve">General comment on this specific indicator: The holder does not need to re-apply but does need to renew registration with immigration authorities and in principle it could be refused or revoked but there is no legislation or published guidance in this regard. </t>
  </si>
  <si>
    <t>General comment on indicator: All TCNs must notify immigration officers if they will be absent for longer than 1 month. It is standard requirement of residence permission that it must be 'continuous'. Periods of absence are permitted for holidays, work related travel etc and longer periods may be permitted for 'extenuating reasons', These are not defined in law and no guidance is published regarding max. permitted periods of absence from the State.</t>
  </si>
  <si>
    <t>Average of  naturalisation requirements</t>
  </si>
  <si>
    <t xml:space="preserve">For most applications, foreign nationals must fulfil 5 years residence conditions but this may be reduced to 3 in cases of refugees/stateless persons, spouses/civil partners of Irish nationals and, as of August 2023, children born in Ireland. </t>
  </si>
  <si>
    <t xml:space="preserve">Birthright citizenship is automatically provided for children on fulfiment of conditions relating to parents' residence status prior to birth, or by way of future naturalisation application on a discretionary basis when the birth right criteria are not met. </t>
  </si>
  <si>
    <t xml:space="preserve">There are no language proficiency tests for any applicants. The previous Migrant Integration Strategy 2017 - 2020 stated at Action point 11 that the introduction of civic and language tests will be considered for citizenship applicants. This was not progressed. </t>
  </si>
  <si>
    <t xml:space="preserve">There are no such requirements. The Migrant Integration Strategy 2017 - 2020 at action point 11 stated tha the introduction of civic and language tests will be considered for citizenship applicants. This was not progressed. </t>
  </si>
  <si>
    <r>
      <t xml:space="preserve">General comment on this indicator: There are no explicitly stated income or financial requirements in the statutory eligibilty requirements. However, applicants must provide comprehensive financial information, tax and employment documents over five year period prior to application. There are no published guidelines regarding what the relevant criteria, if any, are and whether waivers may apply in hardship cases. In practice, applicants generally must be financially self sufficient and not dependent on state funds. There are reported instances that applications have been refused for being in receipt of social assistance, including disablitly payments. However, applicants may also be succesful despite social assistance dependence, e.g. refugees. The decision in all cases is discretionary and the process lacks transparency. </t>
    </r>
    <r>
      <rPr>
        <b/>
        <sz val="10"/>
        <rFont val="Calibri"/>
        <family val="2"/>
      </rPr>
      <t xml:space="preserve">You may wish to adjust the score upwards depending on your strict interpretation of criteria. </t>
    </r>
  </si>
  <si>
    <t xml:space="preserve">General comment on indicator: The statutory eligibility criteria for applicants includes 'good character' requirements. These are not further defined and no further guidance is provided other than by way of judicial decisions where legal challenges have been brought in the courts by way of judicial review proceedings (there is no appeal process). Applicants are rquired to disclose any relevant inforrmation and a comprehensive background check is undertaken including with the Irish police. Applicants in practice are refuse for any criminal record or misemeanours, although a subsequent application may overlook the same records depending on severity. </t>
  </si>
  <si>
    <t xml:space="preserve">General comment on indicator: Applicants must swear an oath of loyalty and fidelity to the State but there is no restriction regarding dual nationality. Naturalised Irish citizens are not required to hold a residence permit and may have a 'without condition' endorsement entered into any other passport held for another country to show that they are also a dual national, if they wish to have one issued to them. </t>
  </si>
  <si>
    <t>General comment as per previous MIPEX 2019: General comment on indicator: the equality legislation prohibits discrimination in the provision of accommodation services against people who are in receipt of rent supplement, housing assistance, or social welfare payments. Services provided by the State (such as the Health Service Executive, local authorities, and so on) are covered but there are some exemptions.
The main exemption is that anything required to be done by another Irish law or EU law cannot be regarded as discrimination under the Equal Status Acts.
For example, it is not discrimination to refuse a social welfare payment to a person if that person is excluded from entitlement to the payment or benefit under social welfare law.</t>
  </si>
  <si>
    <t>General comment as per MIPEX 2019:  The legislation also allows for different treatment for housing accommodation provided by or on behalf of the Minister for Justice and Equality on various grounds and also on the grounds of gender and nationality.</t>
  </si>
  <si>
    <t>See 2023 for general comments</t>
  </si>
  <si>
    <t>See 2023 for general comments.</t>
  </si>
  <si>
    <t xml:space="preserve">See previous MIPEX questionnaire for overall background to access to medical care in Ireland for own nationals and foreign nationals. There are 'ordinary' residence requirements to be entitled to a medical card, as well as other conditions (income requirements) etc., and special provision for certain ages, illnesses, etc. If a person is not eligible for a medical card, they may nonetheless qualify for a GP visit card based on income. The income bands were widened in September 2023 and will be widened again in November. </t>
  </si>
  <si>
    <t xml:space="preserve">Please refer to MIPEX 2019 for full response. </t>
  </si>
  <si>
    <t xml:space="preserve">See MIPEX 2019. However, MIPEX 2019 did not note the statutory right to healthcare for protection applicants as provided for by Regulation 18, Reception Conditions Regulations 2018, which transposed the EU Reception Conditions Directive. Notwithstanding asylum seekers general eligibility for medical cards, reports of the Office of the Ombudsman re. Direct Provision (reception system in Ireland) notes complaints received annually re medical cards, especially delay in accessing same. </t>
  </si>
  <si>
    <t>See MIPEX 2019. Most complaints re access to medical cards relate to administrative delay rather that inability to comply with requirements, etc. Left at 50 as per previous questionnaire though to signal there have been no legal changes regarding entitlements etc. since 2019 and to reflect that access is not always entirely straightforward (delays) and does not cover all treatments that may be needed.</t>
  </si>
  <si>
    <r>
      <t xml:space="preserve">See MIPEX 2019, which comments refer to specific things that undocumented migrants may access. </t>
    </r>
    <r>
      <rPr>
        <b/>
        <sz val="10"/>
        <rFont val="Calibri"/>
        <family val="2"/>
      </rPr>
      <t xml:space="preserve">However it refers to Immigration Residence and Protection Bill 2010, which was never enacted. The matters referred to there are not set out in Irish law. In practice, however, undocumented migrants may avail of some medical services such as accident/emergency / public maternity services, etc. Undocumented migrants were also able to access certain things like covid pandemic vaccination programme, etc. and they may gain access to other treatments through Safety Net, which allows for treatment where a medical card ordinarily would not be availble.  As such I did not change the scoring but it cannot be said that undocumented migrants enjoy general health coverage on like basis with citizens or legally resident foreign nationals. </t>
    </r>
  </si>
  <si>
    <t xml:space="preserve">General comment: This is 0 as while there is some provision for accessing medical treatment (see 147a comments) there is no general provision of access to healthcare. </t>
  </si>
  <si>
    <t xml:space="preserve">General comment: Score in 2019 was 100. However, I read this question to mean is there State provided information regarding all three groups (legal residents, asylum seekers and undocumented). Official published information typically relates to A and B. It may be inferred from same that undocumented migrants do not qualify etc. but there is very limited infomration available regarding the legal entitlements of undocumented to access medical care, a notable exception being infomration that was published during covid pandemic confirming access to pandemic vaccination programme. However, as information is published by some NGOs, including Safety Net, you may wish to revise this upwards again to 100. None of the organisations listed in MIPEX 2019 are statutory (state) organisations. </t>
  </si>
  <si>
    <t>Again note comments in 152c.</t>
  </si>
  <si>
    <t>See all previous comments in MIPEX 2019. There is no legal requirement to provide qualified interpretation services and provision may be quite ad hoc, especially at primary level (GP, community). Also interpretations services are not regulated in Ireland and quality is not consistent. Finally the second Intercultural Health Strategy 2018-2023 notes many of the issues that arise, including informal reliance on family/friends, or Google Translate, etc. and makes recommendations at p.104: https://www.hse.ie/eng/about/who/primarycare/socialinclusion/intercultural-health/intercultural-health-strategy.pdf I have a general concern that the 'positive scoring' across sub indicators in this strand may suggest that there is more equality in terms of health outcomes for migrants, which is not always the case. See, for example, ESRI research (2022) regarding inequalities in mortality in Ireland: https://www.esri.ie/publications/unequal-chances-inequalities-in-mortality-in-ireland - this found, for example, stillbirth and infant death rates are up to two times higher among African-born mothers giving birth here than among mothers born in Ireland.</t>
  </si>
  <si>
    <t>General comment on this sub-indicator: the score mirrors the previous MIPEX score and is based on the engagement with migrant and NGOs active in the field of ethnic minority health that were consulted with to develop the Intercultural Health Strategy 2018-2023. Otherwise limited information available regarding specific actions for each year of survey.</t>
  </si>
  <si>
    <t>E.g. A new collaboration between University of Limerick and the Department of Health will involve refugees and migrants directly in the development of public health policy. The Refugee and Migrant Health Partnership is funded by the Department of Health and is designed to involve refugees and migrants directly in the development of public health policy and will also fund bursaries for related teaching programmes and scholarships. https://www.ul.ie/news/university-of-limerick-and-department-of-health-to-collaborate-on-migrant-and-refugee-health?utm_source=chatgpt.com</t>
  </si>
  <si>
    <t>General comment: See Intercultural Health Strategy 2018-2023. However, note, the strategy is ending and there are no published evaluations re implementation to date. The scoring is based on previous scoring and reflective of general commitment on part of stakeholders, in particular HSE Social Inclusion Office to build inclusive approach as reflected in national strategy documents.</t>
  </si>
  <si>
    <t>5) “European Law 2013” – Legge n. 97/2013
Date of adoption: 6/8/2013
Date of entry into force: 4/9/2013
A non-EU citizen with a long term permit (EU permit for long term residents) can be a civil servant at the same conditions of an EU citizen.</t>
  </si>
  <si>
    <t>The citizenship income so-called "reddito di cittadinanza" is reserved only for foreigners with 10 years of regular stay in Italy. This income entails the possibility of benefiting from some particular job applications brokered by state employment services.</t>
  </si>
  <si>
    <t>Art. 39, d.lgs. 286/98</t>
  </si>
  <si>
    <t>Artt. 48-50 D.P.R. 394/99.  Equal treatment only for non-EU long-term residents.</t>
  </si>
  <si>
    <t>There are no general rules/laws/provisions, but only individual projects/local funding that concern small groups of people. Since August 2015, Fami ad hoc projects 2014-2020 concerning integration have taken on progressive importance.</t>
  </si>
  <si>
    <t>There are no general rules/laws/provisions, but only individual projects/local funding that concern small groups of people. Since August 2015, Fami ad hoc projects 2014-2020 concerning integration - in some cases with particular target focused on young people or women - have taken on progressive importance.</t>
  </si>
  <si>
    <t>According to Decreto legislativo n. 109/2012, migrants are in general entitled to the same unemployment benefits as nationals.</t>
  </si>
  <si>
    <t>The citizenship income so-called "reddito di cittadinanza" shut down until the end of 2023, but at 30th June was into force. (And, anyway, the lost of this "reddito di cittadinanza" measure don't change the score.)</t>
  </si>
  <si>
    <t>D.lgs. 5/2007 changed the art. 28, d.lgs. 286/98 provision prescribing that eligibility for family reunion is accorded to legal residents TCN holding a permit for at least 1 year.</t>
  </si>
  <si>
    <t>D.lgs. 160/2008 modified previous law in the sense of allowing family reunions between parents and sons at the condition parents have not any other sons in their country of origin, or if they are older than 65 in the case that the sons living in their country of origin cannot look after them for serious and documented health problems; and adult children (that is, over 18 y.o.) only in the case they cannot look after themselves for some serious health problem causing total invalidity.</t>
  </si>
  <si>
    <t>From August 2015, Italian courses funded under the 2014-2020 FAMI (AMIF). Even after 2020 the FAMI (AMIF) projects continued.</t>
  </si>
  <si>
    <t>According to the regulation n. 179/2011 (date of adoption: 14/9/2011, date of entry into force:  10/3/2012) every newcomer must sign an integration agreement agreement, if he/she is sixteen years old or more. The permit to stay for non-EU new migrants in general is linked to this agreement and a commitment to achieve the A2 level of knowledge of the Italian language and to follow an information session about life in Italy. The non-fulfilment of the agreement may lead to non-renewal of the permit.</t>
  </si>
  <si>
    <t xml:space="preserve">Non-EU new migrants have to follow an information session about life in Italy. </t>
  </si>
  <si>
    <t>The D.Lgs. 286/98 sets as a requirement a minimum income deriving from lawful sources not lower than the amount of the social allowance (increased by 50% of the amount of the social allowance for each family member to be reunited).</t>
  </si>
  <si>
    <t>Law 94/2009 changed the art. 29, co. 3, lett. a), d.lgs. 286/98 prescribing that the sponsor has to provide an accomodation meeting not only the general health standards, but even the suitability of property conditions according to town offices judgement (including square footage standards).</t>
  </si>
  <si>
    <t>Art. 30, co. 3, d.lgs 286/98.</t>
  </si>
  <si>
    <t>Art. 5, co. 5, d.lgs. 286/98, as emended by d.lgs. 5/2007. The revocation or non-renewal of the residence permit is adopted when the requirements are no longer present or fraud is detected or there are dangers to safety. However, the law itself says that it is necessary to take into account the needs to protect family and social ties.</t>
  </si>
  <si>
    <t>Just a), b) and c).</t>
  </si>
  <si>
    <t xml:space="preserve"> The basic rule is art. 38 law decree 286 of July 25, 1998: "All foreign pupils are required to attend school ad have the right to education..." According to the Decree of the President of the Republic DPR 394/1999, 31rst of August 1999, which is a Decree of implement of Law 40/1998, concerning immigration, foreign minors who are present in the national territory have the right to education, in the forms and ways foreseen for Italian citizens, indipendently from their position in relationship to their stay. As the Italians, they have to accomplish with compulsory education. This is stated in article 45 of the Decree, school enrolment. Usually, all children have access to pre-primary school (only in the biggest cities there are some problems but in fact almost all children attend primary school). Most migrant pupils are enrolled in technical-vocational high schools. The Guidelines for the access and the integration of foreign pupils suggest  that the schools pay special attention to migrant pupils that risk to drop out and  eventually guide them towards the CTP-  Centri Territoriali Permanenti (O.M. n. 455/97) for vocational education. Undocumented -older than 18- have no access to higher education.  Only regular migrants can enrol into higher education. </t>
  </si>
  <si>
    <t>There are no specific measures to encourage migrant pupils to enter higher education.</t>
  </si>
  <si>
    <t>There are so-called Open Days in all school orders that explain how the various schools work, but they are all mainstream and nothing specifically geared to the foreign population or to the population with migrant background. In 2023, moreover, thanks to PNRR, the figure of the Mentor also arose within the institutional Students Orientation ("Orientamento Studenti") in higher school entry, but it is still a mainstream guidance; if there is ad hoc information for foreigners or people with migrant backgrounds  it is only via specific or volunteer-based projects on this issue. Finally, there are online platforms for enrollment, sometimes even translated into foreigners language, but they are neither specific nor informative but only meet the need for school enrollment.</t>
  </si>
  <si>
    <t xml:space="preserve">The guidelines for the access and integration of foreign pupils (MIUR 2006) just mention that the schools should organise the appointment with the family -see point 44. The guidelines insist on the importance of the appointement with the families, but they do not specify if this appointment should include instruction programmes about the country and its education system. In practice, there is a great variety according to the schools. On the basis of the Circular of the Ministry of Education –MIUR- n. 2 MIURAOODGOS prot. n. 101/R.U.U Rome, 8th of January 2010: Indications and recommendations for the integration of pupils without the Italian citizenship, schools should activate –since 2010/2011- initiatives of linguistic alphabetisation: however, these initiatives should be activated on the basis of the funding established by the Law 440/97 – that established a Fund for a richer and larger offer of education opportunities, assuring the same level to all schools (also in terms of personnel). The alphabetisation courses for immigrant pupils are funded with resources that should have been consecrated to improve the school offer. In the italian educational system separate classrooms didn't exist.
</t>
  </si>
  <si>
    <t xml:space="preserve">The Circular of the Ministry of Education –MIUR- n. 2 MIURAOODGOS prot. n. 101/R.U.U Rome, 8th of January 2010: Indications and recommendations for the integration of pupils without the Italian citizenship, schools should activate –since 2010/2011- initiatives of linguistic alphabetisation: there is no further clarification. T  On the contrary, the Guidelines for  the access and integration of foreign pupils –Linee guida per l’accoglienza e l’integrazione degli alunni stranieri- Ufficio per l’integrazione degli alunni stranieri  (MIUR 2006) made a distinction between communicative literacy and academic literacy. 
</t>
  </si>
  <si>
    <t xml:space="preserve">The Circular of the Ministry of Education –MIUR- n. 2 MIURAOODGOS prot. n. 101/R.U.U Rome, 8th of January 2010: Indications and recommendations for the integration of pupils without the Italian citizenship, schools should activate –since 2010/2011- initiatives of linguistic alphabetisation: there is a list of the activities that could be organized- but there is no reference to quality measures. However, more and more often practices are required to certify teachers of Italian L2.
</t>
  </si>
  <si>
    <t xml:space="preserve">There are ministerial communications (MIUR) focused on students with Special Educational Needs – it is not exclusively for immigrant students, but some immigrant students with particular difficulties. It appears the idea to use some strategies, in past used for invalid students, for immigrants students with specific problems too. After a recognition, in each school, of students with specific problems, it’s necessary to create for each student a personalized educational plan with compensative measures. </t>
  </si>
  <si>
    <t>Intercultural education is a value promoted by the school across the individual teachings, not as an autonomous matter. The Ministry Circular No. 205 of 1990 defines intercultural education as the crucial instrument for the integration of foreign pupils. Law 40/1998 (law decree 286 of July 25, 1998) considers schools as the core place where intercultural education and appreciation of cultural diversity should be promoted. Intercultural education is also mentioned by the Guidelines of 2006: "Intercultural education rejects the logic of assimilation and the construction of closed ethnic communities. It is oriented to promote exchange, dialogue, reciprocal enrichment in the frame of the living together of the differences".</t>
  </si>
  <si>
    <t>November 2014: Municipal Council of Milan has extended the right to vote for the municipal referendum to adult citizens from countries outside the European Union, on the condition to be residents of the City of Milan at the time of the referendum calling and to have a long-term EU residence permit. Other municipalities have the same regulation.</t>
  </si>
  <si>
    <t>Art. 42, co. 4, lett. b), d.lgs. 286/98 prescribe that among the participants are representatives of foreigners appointed by foreign associations in Italy who get a wider recognition. This recognition seems to be depending upon the State choice. In 2007 the Council established by law was established, but does not carry out continuous activity.</t>
  </si>
  <si>
    <t>Art. 9, d.lgs. 286/98. Actually, it's not properly a matter of being resident, because the eligibility is based upon the fact to keep on having a permit in the previous 5 years (which is not exactly the same thing of being resident for the previous 5 years).</t>
  </si>
  <si>
    <t>According to the regulation n. 179 every newcomer must sign an integration agreement if he/she is sixteen years old or more. The permit to stay for non-EU new migrants in general is linked to this agreement and a commitment to achieve the A2 level of knowledge of the Italian language and to follow an information session about life in Italy. The non-fulfilment of the agreement may lead to non-renewal of the permit.</t>
  </si>
  <si>
    <t>Art. 9, c. 1, d.lgs. 286/98 as modified by d.lgs. 3/2007, requires an income which has to be at least equal to social assistance. Resource requirements for family reunion are only in the case that the apply for long term residence permit is made also for family members.</t>
  </si>
  <si>
    <t>No time limit. Is provided only an automatic update every 5 years, but without re-evaluation of the requirements.</t>
  </si>
  <si>
    <t>Long time residence permit has no time limit, so there's no need to renew it.</t>
  </si>
  <si>
    <t>art. 9, c. 7 d, d.lgs. 286/98 prescribes at maximum 12 month consecutive period if destination is external to EU States and 6 years if it's outside Italy but within EU State territory.</t>
  </si>
  <si>
    <t xml:space="preserve">
The citizenship income so-called "reddito di cittadinanza" is acknowledged to those persons who have a permanent resident provided that they also have 10 years of prior residence in Italy too, of which the last two years are on an ongoing basis.</t>
  </si>
  <si>
    <t>For the acquisition of citizenship for a long stay are required 10 years of continuous residence, except in the case of refugees and stateless persons (5 years, ex art. 9 comma 1 letter e) of Law 91/1992.</t>
  </si>
  <si>
    <t xml:space="preserve">In application of the norms that aim to avert statelessness, in Italy the ius soli is applied in exceptional circumstances. It applies, as a residual norm, in three cases that certainly do not concern most of those born to foreign parents: (i) by birth on the Italian territory by unknown parents; (ii) by birth on the Italian territory by stateless parents; (iii) by birth on the Italian territory by foreign parents unable to transmit their citizenship to the subject according to the law of the state of origin.
</t>
  </si>
  <si>
    <t>Article 9.1 of Law 91/1992 introduced with Decree Law no. 113/2018 (which entered into force in 2019) provided the need for a knowledge of the Italian language not lower than B1 level.</t>
  </si>
  <si>
    <t>Traditionally in Italy no test was required by national law but undertaken in practice: civic integration level was assessed during an interview by the police (Questura) and used as grounds for rejection by the Ministry of Interior, even though neither are mentioned in the law, application forms, or informational materials for applicants. Since 2013 this practice has been suspended through the circular 12220 of 5th April 2013.</t>
  </si>
  <si>
    <t>According to Circular K60.1 of 5th January 2017, a family income above the exemption threshold for participation in public health costs is required.</t>
  </si>
  <si>
    <t>Law provision prescribes that ground for rejection is crimes with sentences of emprisonment for 3 years, but also reasons of threat to national security (which is a very discretional judgement power in State's hands).</t>
  </si>
  <si>
    <t>In the past there was the practice of administrative offices to request the renounce, but the law does not provide for it and even the practice is now outdated.</t>
  </si>
  <si>
    <t>Specialised Equality body has been established with a mandate to combat discrimination on the grounds of:                                                                                                              a) race and ethnicity                                  
b) religion and belief                               
c) nationality                                                                     Note: If there is no dedicated specialised equality body, then answer with option 3 to Q137-140 and skip to Q 141</t>
  </si>
  <si>
    <t xml:space="preserve"> Law 6 June 2008, n. 101 amended Legislative Decree 9 July 2003,  n.215 (the act which has implemented Directive 2000/43) following the infringment procedure n.  2005/2358 started by the Commission. The changes  refer to: the definition of harrassment (that is now now closer to the Community  definition), provisions on  vicitimization (formerly not mentioned by  the Decree) the burden of proof (see section 6.3) Nationality is protected under Article 43 of the Legislative Decree No. 286 Consolidated Text of Provisions on the Regulation and the Condition of Foreign Citizens of 25 July 1998 as last amended in 2011.</t>
  </si>
  <si>
    <t>"The school community embraces linguistic and cultural differences as a value to be founded on mutual respect, exchange between cultures and tolerance; to this goal it promotes and encourages initiatives aimed at welcoming, protecting culture and the language of origin and to the realization of common intercultural activities" (Article 38, paragraph 3 of Legislative Decree 286/98). "The Regions, also through other local bodies, promote cultural programs for the different national groups, also through courses held in high schools or university institutes" (Article 38, paragraph 6 of Legislative Decree 286/98).</t>
  </si>
  <si>
    <t>As regards housing, it is argued by many commentators and NGOs that new legislative and administrative provisions can be  seen as  cases of institutional discrimination (direct or indirect) based on nationality.The examples provided by relevant literature are : Law n 125/08 states that renting a house to an irregular immigrant will lead to confiscation of the apartment and a jail term of up to three years. L  94/09 provides that registration in the municipal registry of residents will be on condition that the apartment or house meets a given health standard, a condition which will disproportionately affect non Italian citizens. It aso provide that in order to register a new born in the municipal registry or to marry a non Italian citizen must show a valid permit of residency.</t>
  </si>
  <si>
    <t>Law 6 June 2008, n. 101 amended Legislative Decrees n.215/03  (on race and nationality) and 216/03 (on religion, belief, age, disability, sexual orientation).  But in fact the new provisions on the burden of proof are really innovative only as far as  race and ethnic discrimination cases are concerned, while  for the other grounds the changes in the text of the law did not change the substance of the standard of proof , which has remained untouched. As for the first two grounds (race and ethnicity) , now the new rule provides that the factual evidence must be "accurate and non contradictory", while the third requirement (serious) has been repealed. This means that the standard of proof required to the plaintiff is now  tha one of presenting a prima facie evidence, expecially statistics discrimination evidences.</t>
  </si>
  <si>
    <t>The Office for racial Discrimination (Unar) is not an independent body,  established and managed by the Government (Minister Of Equal Opportunities, Department of Equal Opportunities). UNAR has been established by decree 215/2003 for the purpose of trasnposing directive 43/2000 whom it comes to equality agencies. It has been established in a form which gives no independence at all from the governement (it is indeed an office of the Prime Minister's Department.</t>
  </si>
  <si>
    <t xml:space="preserve">potentially 33 (legal advice)? In line with previous evaluation? </t>
  </si>
  <si>
    <t>Urgent and essential health care services are guaranteed (art. 35 of d.lgs. 286/98), but it is not possible to register undocumented migrants within the national system of health care coverage (SSN, Servizio Sanitario Nazionale).</t>
  </si>
  <si>
    <t>Any discretion or documentary difficulty is excluded / is not required, but because registration with the national system of health care coverage SSN is excluded upstream.</t>
  </si>
  <si>
    <t xml:space="preserve">Nothing changed. All 3. https://italy.refugee.info/en-us/articles/5388954753175 </t>
  </si>
  <si>
    <t>Nothing changed. All 3.</t>
  </si>
  <si>
    <t>In fact, in territory with few inhabitants and/or migrants, interpreters are not always available and/or not for all languages.</t>
  </si>
  <si>
    <t>A and B</t>
  </si>
  <si>
    <t>All of them</t>
  </si>
  <si>
    <t>No changes. See 2019 comments.  In addition see: https://orbi.uliege.be/bitstream/2268/288552/1/DF31-Perna.pdf For what concerns provision, each region shall identify the most  appropriate ways to guarantee healthcare access to UMs in its territory, reflecting the decentralised nature of the SSN. Consequently, great heterogeneity exists across the national territory. Finally, in terms of financing, treatments provided to UMs shall be reimbursed to regions by the central government, while the organisation of healthcare (including, eg, mediation services, medical staff and material resources for primary care) lies on each region’s budget. Migrants should participate in the costs of treatments received but, as in the case of Italian citizens, they may be exempted from co-payments for health reasons (eg, chronic disease, severe pathology) or economic reasons (economic indigence).</t>
  </si>
  <si>
    <t xml:space="preserve">A, C and certain categories of B (the foreigner who has the right to reinstate citizenship of the RL; who is a person of Lithuanian descent; family reunification; the foreigner has been placed under guardianship/curatorship or has been appointed as guardian/curator; the foreigner has been granted subsidiary protection in the RL; the foreigner has been granted temporary protection in the RL; a foreigner has been enrolled in a higher education and research institution under a study programme(s) or doctoral studies; a foreigner who is pursuing a course of study in a foreign  state and has concluded a traineeship agreement with the host entity in the same area as his studies;  the foreigner intends to take up highly qualified employment, etc.). All the categories of foreigners who are not obliged to obtain work permit are foreseen under the Art. 58 of the Law on Legal Status of Aliens. </t>
  </si>
  <si>
    <t>According to the Law on the Civil Service (No XIII-1370) one of the requirements for recruitment to the civil service is citizenship of the Republic of Lithuania. However, some positions in civil service do not require being a civil servant, e.g. economic or technical functions, that are also open for TCNs. (Source: https://portalas.vtd.lt/lt/apie-valstybes-tarnyba-857.html)</t>
  </si>
  <si>
    <t>A, C and certain categories of B (Law on Employment: The labour market services and the employment support measures are applied for TCNs who are exempted from the obligation to acquire work permit in the RL, ressetled persons)</t>
  </si>
  <si>
    <t>Law on Education: TCNs who hold temporary or permanent residence permit have an access to higher education study programmes or vocational training programmes that result in the acquisition of the first qualification.</t>
  </si>
  <si>
    <t>The Centre for Quality Assessment in Higher Education is responsible for recognition of foreign qualifications giving access to higher education and higher education qualifications for the purposes of further study and/or employment in Lithuania. The procedure of academic qualifications recognition is the same as for nationals, but in some cases additional documents might be required from the country of origin (e.g., legalising or certifying with an Apostille the originals of the educational credentials). In addition, all documents issued in languages other than English, Russian, or Lithuanian should be supplemented with an official translation. The procedure is free of charge.</t>
  </si>
  <si>
    <t xml:space="preserve">Access to social security depends of the type of social guarantees and the residence permit TCNs hold. Individuals who possess temporary residence permit are eligible to social assistance, unemployment benefits, maternity leave (with certain exceptions) and family benefits (with certain exceptions). Individuals who possess permanent residence permit are eligible to receive unemployment benefits, maternity leave, family benefits, social assisstance and state social insurance pensions (old age pensions; lost working capacity; surviving spouses' and orphans'). </t>
  </si>
  <si>
    <t>A, C and certain categories of B</t>
  </si>
  <si>
    <t xml:space="preserve">A, C and certain categories of B </t>
  </si>
  <si>
    <t>Amendments of the Law on Employment 30-06-2022: The labour market services and the employment support measures are applied for TCNs who hold residence permit in RL; resettled persons and persons who are entitled to receive temporary protection.</t>
  </si>
  <si>
    <t xml:space="preserve">Partly B: Since 2022 Public Employment Service organises free language programme. Programme is available for TCNs who have a residence permit in Lithuania for at least one year. However, from the description it sounds that is more generic language course than job specific language training. (Source: https://uzt.lt/en/lithuanian-language-courses/341). </t>
  </si>
  <si>
    <t>Requirement to be resided in RL for the preceding two years, be in possession of a temporary residence permit valid for at least one year and have reasonable prospects of obtaining the right to permanently reside in the RL</t>
  </si>
  <si>
    <t>Direct relatives in the ascending line who have been dependent for at least one year and are unable to use the support of other family members residing in a foreign state.</t>
  </si>
  <si>
    <t>The requirement is to have sufficient resources to cover subsistence costs and/or receive regular income which is sufficient for the duration of the TCN's residence in the RL.</t>
  </si>
  <si>
    <t>The residential area per each adult person who has declared the place of residence at it should be not less than 7 square metres.</t>
  </si>
  <si>
    <r>
      <t xml:space="preserve">In the case of family reunification, a person shall be issued a temporary residence permit for the </t>
    </r>
    <r>
      <rPr>
        <b/>
        <sz val="10"/>
        <rFont val="Calibri"/>
        <family val="2"/>
      </rPr>
      <t>same period as the period for which the temporary residence permit has been issued to the sponsor</t>
    </r>
    <r>
      <rPr>
        <sz val="10"/>
        <rFont val="Calibri"/>
        <family val="2"/>
      </rPr>
      <t xml:space="preserve">. A foreigner who by virtue of family reunification joins the sponsor in possession of a permanent residence permit or joins a citizen of the RL shall be issued a </t>
    </r>
    <r>
      <rPr>
        <b/>
        <sz val="10"/>
        <rFont val="Calibri"/>
        <family val="2"/>
      </rPr>
      <t>temporary residence permit for a period of 1 year or renewed for a period of 2 years</t>
    </r>
    <r>
      <rPr>
        <sz val="10"/>
        <rFont val="Calibri"/>
        <family val="2"/>
      </rPr>
      <t xml:space="preserve">. </t>
    </r>
  </si>
  <si>
    <t>All elements</t>
  </si>
  <si>
    <t>None of them</t>
  </si>
  <si>
    <t>Family members can be granted autonomous temporary residence if they fulfill any of the conditions for getting a residence permit on other grounds (e.g. work or study - for the relevant period). Even if they do not fulfill any of the conditions related to the purpose of the stay, after 5 years of continuous legal residence in Lithuania they can be granted an autonomous permanent residence permit.</t>
  </si>
  <si>
    <r>
      <t xml:space="preserve">Amendments of the Law of Legal Status of Aliens: In the case a person shall be issued a temporary residence permit </t>
    </r>
    <r>
      <rPr>
        <b/>
        <sz val="10"/>
        <rFont val="Calibri"/>
        <family val="2"/>
      </rPr>
      <t>for the same period as the period for which the temporary residence permit has been issued to the sponsor</t>
    </r>
    <r>
      <rPr>
        <sz val="10"/>
        <rFont val="Calibri"/>
        <family val="2"/>
      </rPr>
      <t>. A foreigner who by virtue of family reunification joins the sponsor in possession of a permanent residence permit or joins a citizen of the RL shall be issued a temporary residence permit for a period of</t>
    </r>
    <r>
      <rPr>
        <b/>
        <sz val="10"/>
        <rFont val="Calibri"/>
        <family val="2"/>
      </rPr>
      <t xml:space="preserve"> 2 year or renewed for a period of 4 years</t>
    </r>
    <r>
      <rPr>
        <sz val="10"/>
        <rFont val="Calibri"/>
        <family val="2"/>
      </rPr>
      <t xml:space="preserve">. </t>
    </r>
  </si>
  <si>
    <t>Targeted policies to address educational situation of migrant groups:
a. Systematic provision of guidance  (e.g. teaching assistance, homework support);
b. Systematic provision of financial resources.</t>
  </si>
  <si>
    <t>Law on Education, art. 24, para 3: foreign nationals who hold temporary or permanent residence pertmit are eligble to the access to: 1) pre-primary, primary, basic and secondary education; 2) access to higher education study programmes or vocational training programmes that result in the acquisition of the first qualification.</t>
  </si>
  <si>
    <t>Partly B: The children with no proficiency in Lithuanian prior to attending general education school, have an opportunity to learn the Lithuanian language in a leveling class (20-25 hours per week, up to 15 children in the classroom) or levelling group (20 hours per week, more personalised, up to 4 children in the clasroom) to bridge the language gap. Adaptation period lasts up to 1 year. (Source: https://e-seimas.lrs.lt/portal/legalAct/lt/TAD/TAIS.261598?jfwid=q86m1vxks)</t>
  </si>
  <si>
    <t>A and partly B: There are some sources where information about the education system in Lithuania is available, mostly in English and Russian, in some cases in Ukrainian (e.g. Ministry of Education, Science and Sport (https://smsm.lrv.lt/en/education_1?lang=lt);  https://studyin.lt/about-lithuania/useful-information/; https://www.renkuosilietuva.lt/en/education/). Children with no proficiency in Lithuanian have an eligibility to adaptation period at school that can last up to 1 year.</t>
  </si>
  <si>
    <t>A: The children with no proficiency in Lithuanian prior to attending general education school, have an opportunity to learn the Lithuanian language in a leveling class (20-25 hours per week, up to 15 children in the classroom) or levelling group (20 hours per week, more personalised, up to 4 children in the clasroom) to bridge the language gap. Adaptation period lasts up to 1 year. (Source: https://e-seimas.lrs.lt/portal/legalAct/lt/TAD/TAIS.261598?jfwid=q86m1vxks)</t>
  </si>
  <si>
    <t xml:space="preserve">The children with no proficiency in Lithuanian prior to attending general education school, have an opportunity to learn the Lithuanian language in a leveling class or levelling group to bridge the language gap. Adaptation period lasts up to 1 year. In addition children receive educational support,  psychological and other learning support. They are also introduced to terms of general education subjects in Lithuanian, as well as encouraged to participate in the informal education activities at school. Source: https://e-seimas.lrs.lt/portal/legalAct/lt/TAD/TAIS.261598?jfwid=q86m1vxks </t>
  </si>
  <si>
    <t>A: Adaptation period for children with no proficiency in Lithuanian prior to attending general education school lasts up to 1 year. During this period they do receive lessons of Lithuanian language, educational,  psychological and other learning support. They are also introduced to terms of general education subjects in Lithuanian, as well as encouraged to participate in the informal education activities at school. Source: https://e-seimas.lrs.lt/portal/legalAct/lt/TAD/TAIS.261598?jfwid=q86m1vxks)</t>
  </si>
  <si>
    <t>B: Questions on intercultural education are included into the curriculum of "Ethnic culture for secondary education". Howevery, it is not clear how the topic of diversity is covered in practice.</t>
  </si>
  <si>
    <t xml:space="preserve">Topics on intercultural education are partly included into the pedagogical programs both for primary and secondary education teachers. In addition, Ministry of Education, Science and Sport coordinates the improvement of qualification of the pedagogues who work with foreign children. (Source: https://e-seimas.lrs.lt/portal/legalAct/lt/TAD/TAIS.212821/asr) </t>
  </si>
  <si>
    <t>Only foreigners with a permanent residence permit are entitled to vote in local elections. They also have a right to be elected into the Council of Municipality</t>
  </si>
  <si>
    <t>Only Lithuanian citizens and citizens of the EU MSs (who live in Lithunia more than 6 months) can have the right to be a members of political parties.</t>
  </si>
  <si>
    <t>2018-2021 Action Plan on the Integration of Foreigners into Society did not foresee any measures related to consultations with foreign residents</t>
  </si>
  <si>
    <t xml:space="preserve">The current foreign nationals’ integration strategy (adopted 20-09-2022, No A1-616) does not foresee any measures on regular consultations with foreign residents (Source: https://www.e-tar.lt/portal/lt/legalAct/6bf6a67038eb11edbc04912defe897d1/asr)	</t>
  </si>
  <si>
    <t>The requirement foreseen under the Law on Legal Status of Aliens (art. 26 para 1) is to have sufficient means of subsistence and/or receive regular income which is sufficient to stay in the country. No specific sources of income are required. The amount of subsistence is 1 minimum monthly salary per month, for a minor foreigner – 0.5 minimum monthly salary per month (Source: https://www.migracija.lt/ilgalaikis-gyvenimas)</t>
  </si>
  <si>
    <t>10 years of total residence</t>
  </si>
  <si>
    <t>Naturalization procedure</t>
  </si>
  <si>
    <t>No specific requirement on integration, however, there is a requirement to pass an exam in the fundamentals of the Constitution of the RL</t>
  </si>
  <si>
    <t>Requirement to have a legal means of subsistence</t>
  </si>
  <si>
    <t>Requirement for police clearance certificate confirming that person had not been punished for a deliberate crime which is considered as a very serious crime under the laws of the Republic of Lithuania before the entry to live in the Republic of Lithuania or the person were not punished in the Republic of Lithuania for a very serious crime, whether or not the criminal conviction has expired for these crimes.</t>
  </si>
  <si>
    <t>Substantive exemptions for citizens of other states or stateless persons holding refugee status</t>
  </si>
  <si>
    <t>A and B (In Lithuania, nationality (as in citizenship) is explicitly mentioned as a protected ground in national anti-discrimination law. Citizenship was added to the list of protected grounds in the Law on Equal Treatment in 2017 as a result of the transposition of Directive 2014/54/EU on measures facilitating the exercise of rights conferred on workers in the context of freedom of movement for workers. However, the ground of citizenship is explicitly defined as only applying to citizens of EU and EEA countries and their family members.</t>
  </si>
  <si>
    <t>A and B (In Lithuania, nationality (as in citizenship) is explicitly mentioned as a protected ground in national anti-discrimination law. Citizenship was added to the list of protected grounds in the Law on Equal Treatment in 2017 as a result of the transposition of Directive 2014/54/EU on measures facilitating the exercise of rights conferred on workers in the context of freedom of movement for workers. However, the ground of citizenship is explicitly defined as only applying to citizens of EU and EEA countries and their family members.)</t>
  </si>
  <si>
    <t>Law on Equal Treatment has a provision on the shift of the burden of proof in all judicial and administrative procedures. However, this provision is not repeated in other procedural legislation (Code of Civil Procedure). Person is eligible to compensation on financial and non-financial burden experienced due to discrimination.</t>
  </si>
  <si>
    <t>The Ombudsperson not only investigates complaints, but also “provides for objective and impartial consultations”. The Ombudsperson is not a legal aid institution, this is true, however, it does consult the victims of discrimination on legal matters in practice. The Ombudsperson for Equal Opportunities does lead its own investigations and can issued binding decisions at the end. However, in practice it does not instigate legal proceedings in its own name at courts or other institutions (it also is not obliged to do it according to the Law on Equal Treatment).</t>
  </si>
  <si>
    <t xml:space="preserve">A: </t>
  </si>
  <si>
    <t xml:space="preserve">Conditions:  compulsary health insurance; permanent residents of Lithuania </t>
  </si>
  <si>
    <t>A: Theoretically, no administrative restrictions, but practically some procedures could be applied for migrants who hold temporary residence permit. Provision of health services for migrants who hold temporary residence permit is related with employment status (health insurence warranty). The requirement for them is to be working in the RL or previously used to work in the RL for at least 6 months and are registered as unemployed with the territorial employment services.</t>
  </si>
  <si>
    <t xml:space="preserve">The Law on Health Insurance provides that all persons have the right to emergency care, even if the person has not paid the compulsory health insurance, and this also applies to undocumented migrants. According to the mentioned Law undocumented migrants as asylum-seekers after they apply for asylum, become medically insured and entitled to receive all services of emergency care, also plus primary care services and special medical services. The costs of these medical services for asylum seekers are covered with the National Budget funds in accordance with the Procedure Laid down by the Government of the Republic of Lithuania or an institution authorised by it.  Precondition for obtaining free health care coverage is also living in the Refugee Reception Centre. </t>
  </si>
  <si>
    <t xml:space="preserve">A: Theoretically, no administrative restrictions, but practically some procedures could be applied to asylum seekers. Those living in the Refugees Reception Centre are also subject to the decision of the  whether to subsidise the cost  of services beyond primary care.
</t>
  </si>
  <si>
    <t xml:space="preserve">(1) Undocumented migrants who are accommodated at the Foreigners Registration Centres are entitled to not only the emergency aid but also to the primary health care services free of charge which is provided by the medical staff working at the centre (this is one of the reasons of extra expenses for service provider – costs bear by state). 
(2) Undocumented migrants who are not accommodated at the Foreigners Registration Centres (condition for inclusion), are entitled to the free emergency aid, however, the complete primary health care services are not provided legally for this group of patients. Regulations what services should be covered are not detailed and clear enough. </t>
  </si>
  <si>
    <t>A and B: A. Theoretically, no administrative demands for documents , but practically some documments could be asked also from the undoccumented migrants. B: Undocumented migrants are subject to the decision of medical staff whether to consider a situation as an medical emergency or extent for medical consultation in specialysed care unit. Those living in the Foreigners Registration Centres are also subject to the decision of the  whether to subsidise the cost  of services beyond primary care.</t>
  </si>
  <si>
    <t>We consider that only 2 groups (legal migrants and asylum seekers) covered by  information on entitlement and use of health services at more or less reasonable extent. In general information on health entitlement for migrants is provided not on the regular basis and not very systematically. Therefore, two mentioned above groups are covered in larger extent through individual and group teaching courses.</t>
  </si>
  <si>
    <t>We consider that only 2 groups (legal migrants and asylum seekers) covered by  information on health education/promotion at more or less reasonable extent. Health education of immigrants is provided not on the regular basis and not very systematically. Therefore, two mentioned above groups are covered in larger extent through individual and group teaching courses.</t>
  </si>
  <si>
    <t>No interpretation services available</t>
  </si>
  <si>
    <t>A and B (The changing patterns of migration in Lithuania (with regard to increasing number migrants in the country) and the refuggees fleeing the war in Ukraine have an impact that more migrants are employed  in service delivery, as as well as providing information on services for certain groups of migrants, mainly targeted on certain language group)</t>
  </si>
  <si>
    <t>A: In addition, irregular migrants (including the ones who applied for asylum in the RL) are in more vulnerable position as they are dependendant on the different authorities while the decision on asylum is adopted.</t>
  </si>
  <si>
    <t xml:space="preserve">Partially C (Health care service provision was included into the research on wider extent covering service provision in 6 municipalities in Lithuania ("Enhancing the competence of municipalities in providing services to third cuntry nationals" supported by the Ministry of Social Security and Labour). </t>
  </si>
  <si>
    <t>Partially C (Health care service provision was included into the research on wider extent covering service provision in 6 municipalities in Lithuania ("Enhancing the competence of municipalities in providing services to third cuntry nationals" supported by the Ministry of Social Security and Labour). Source: https://sppd.lrv.lt/lt/veiklos-sritys/igyvendinami-projektai/projektas-savivaldybiu-kompetenciju-didinimas-teikiant-paslaugas-treciuju-saliu-pilieciams/?lang=lt)</t>
  </si>
  <si>
    <t>Partially C (Health care service provision for beneficiaries of international protection was included into the study "Asistance to refugees and their social integration" prepared by Public Audit. Source: https://www.valstybeskontrole.lt/EN/Product/24170/assistance-to-refugees-and-their-social-integration; https://www.valstybeskontrole.lt/LT/Post/17532/valstybes-kontrole-neuztenka-pabegeliams-suteikti-prieglobsti-butina-juos-labiau-itraukti-i-darbo-rinka-ir-svietimo-sis)</t>
  </si>
  <si>
    <t>Immediate access t150o labour market:
What categories of foreign residents have equal access to employment as nationals?
a. Permanent residents
b. Residents on temporary work permits  (excluding seasonal) within period of ≤ 1 year
c. Residents on family reunion permits (same as sponsor)</t>
  </si>
  <si>
    <t>no change</t>
  </si>
  <si>
    <t>Law 1.9.203 provides immediate access to labour market for family members of TCNs</t>
  </si>
  <si>
    <t>law 1.9.2023 makes it easier to hire "new" TCN = b,</t>
  </si>
  <si>
    <r>
      <rPr>
        <sz val="10"/>
        <color rgb="FF000000"/>
        <rFont val="Calibri"/>
        <family val="2"/>
      </rP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color rgb="FF000000"/>
        <rFont val="Calibri"/>
        <family val="2"/>
      </rPr>
      <t>Please specify in the comment box the exact number of months required</t>
    </r>
    <r>
      <rPr>
        <sz val="10"/>
        <color rgb="FF000000"/>
        <rFont val="Calibri"/>
        <family val="2"/>
      </rPr>
      <t>)</t>
    </r>
  </si>
  <si>
    <r>
      <rPr>
        <b/>
        <sz val="10"/>
        <color rgb="FF000000"/>
        <rFont val="Calibri"/>
        <family val="2"/>
      </rPr>
      <t>100</t>
    </r>
    <r>
      <rPr>
        <sz val="10"/>
        <color rgb="FF000000"/>
        <rFont val="Calibri"/>
        <family val="2"/>
      </rPr>
      <t xml:space="preserve"> - No residence requirement
</t>
    </r>
    <r>
      <rPr>
        <b/>
        <sz val="10"/>
        <color rgb="FF000000"/>
        <rFont val="Calibri"/>
        <family val="2"/>
      </rPr>
      <t>50</t>
    </r>
    <r>
      <rPr>
        <sz val="10"/>
        <color rgb="FF000000"/>
        <rFont val="Calibri"/>
        <family val="2"/>
      </rPr>
      <t xml:space="preserve"> - ≤  1 year
</t>
    </r>
    <r>
      <rPr>
        <b/>
        <sz val="10"/>
        <color rgb="FF000000"/>
        <rFont val="Calibri"/>
        <family val="2"/>
      </rPr>
      <t xml:space="preserve">0 </t>
    </r>
    <r>
      <rPr>
        <sz val="10"/>
        <color rgb="FF000000"/>
        <rFont val="Calibri"/>
        <family val="2"/>
      </rPr>
      <t>- &gt;1 year or no legal entitlement to family reunification for ordinary residents.</t>
    </r>
  </si>
  <si>
    <t xml:space="preserve">no change </t>
  </si>
  <si>
    <t xml:space="preserve"> Article 76  of the immigration law provides that in cases of extreme hardship such as domestic violence, an independent residence permit can be granted to the TCN spouse prior to the three years.</t>
  </si>
  <si>
    <t>idem</t>
  </si>
  <si>
    <t>the integration plan/strategy is not fully implemented</t>
  </si>
  <si>
    <t xml:space="preserve">no change, a) teaching assistance  </t>
  </si>
  <si>
    <t xml:space="preserve">no change, b) throughout  the curriculum </t>
  </si>
  <si>
    <t xml:space="preserve">no change, a) teaching assistance </t>
  </si>
  <si>
    <t xml:space="preserve">no change, means EU citizens and TCN's were part of CNE National Council of Foreigners </t>
  </si>
  <si>
    <t xml:space="preserve">no change, idem  </t>
  </si>
  <si>
    <r>
      <t xml:space="preserve">Law 28.8.2023  has abolished CNE, effect  as of 1.1.2024, replaced by a </t>
    </r>
    <r>
      <rPr>
        <b/>
        <sz val="10"/>
        <rFont val="Calibri"/>
        <family val="2"/>
      </rPr>
      <t>High Council of living together</t>
    </r>
    <r>
      <rPr>
        <sz val="10"/>
        <rFont val="Calibri"/>
        <family val="2"/>
      </rPr>
      <t xml:space="preserve"> with a mixed compostion : nationals and foreigners without any quota and elected by the 100 municipal councils of living together, themselves not elected but configured according to the respective municipal regulations </t>
    </r>
  </si>
  <si>
    <t>A2 expression, B1 comprehension</t>
  </si>
  <si>
    <t xml:space="preserve">More precise zjan 2019 </t>
  </si>
  <si>
    <t xml:space="preserve">a,b, and c </t>
  </si>
  <si>
    <t>a , b, c</t>
  </si>
  <si>
    <t>A</t>
  </si>
  <si>
    <t>B</t>
  </si>
  <si>
    <t xml:space="preserve">A and B through NGOs not through law </t>
  </si>
  <si>
    <t>health assistance through NGO's</t>
  </si>
  <si>
    <t>pilot project for Universal Coverage</t>
  </si>
  <si>
    <t>Universal Health Access as a pilote projet financed by Government</t>
  </si>
  <si>
    <t>pilot project forUniversal Coverage</t>
  </si>
  <si>
    <t xml:space="preserve">expert interviews with related NGOs indicate more restrictive implementation of the policy  </t>
  </si>
  <si>
    <t xml:space="preserve">A and B </t>
  </si>
  <si>
    <t>Generally, TCNs are able to take up self-employment provided they have sufficient language skills and a permanent residence permit. If the service they provide entails direct communication with clients, they may be tested by the State Language Centre. There are positions, such as lawyers, that require country's citizenship. TCN is able to take up self-employed activity only with a work permit, until he/she receives a permanent residence permit on any ground (e.g.after 5 years of employment with a temporary residence permit)</t>
  </si>
  <si>
    <t>Those with permanent resident status have equal access and those on temporary resident status if they have kin relation to anyone with a permanent residence status. However, language requirements tend to be a real obstacle.</t>
  </si>
  <si>
    <t>Starting June 2021, asylum seekers can access labour market if their status hasn't been decided for more than three months.</t>
  </si>
  <si>
    <t>In addition to previous years, Ukrainians with status of temporary protection have immediate access to labour market, even without knowing Latvian, As per Law on Assistance to Ukrainian Civilians.</t>
  </si>
  <si>
    <t>According to Law on Assistance to Ukrainian civilians, Ukrainians with temporary protection status can register as self-employed persons.</t>
  </si>
  <si>
    <t>Ukrainians with temporary protection status are provided with targeted information, but even they cannot access all services as the majority are provided in Latvian (i.e. Re-skilling classes etc).</t>
  </si>
  <si>
    <t>TCN are not allowed to take a position in the civil service, but many public service positions do not entail being a civil servant. Administrative or technical employment might be accessible depending on the specific institution and position. Furthermore, the work permit for a TCN specifies the sector in which they have to work.</t>
  </si>
  <si>
    <t>It has to be noted that state scholarships are only available for studies in Latvian, which might be a limiting factor to access such grants.</t>
  </si>
  <si>
    <t>Since the only targeted support is for beneficiaries of international protection (including temporary protection) and on an ad hoc basis, we decided to assign zero points for the section.</t>
  </si>
  <si>
    <t>Only permanent residents have equal access to social security. Those with temporary residence permits (unless related to holders of permanent residence status) do not have access to all State guaranteed social services (family benefits). Temporary residence permit holders are not entitled to unemployment benefits or social assistance. Family benefits are only available for permanent residents.</t>
  </si>
  <si>
    <t>Dependent parents/grandparents. The relatives in ascending line (up to the 3rd generation), but only of TCN on permanent residents permits, can aply for a temporary residence permits once a year for up to 6 months. Dependent adult children. Only for those under guardianship.</t>
  </si>
  <si>
    <t>Has to be noted that if the spouse or a child of a TCN is applying for the permanent residence status, an A2 language level has to be proven. This does not apply to subsidiaries of international protection.</t>
  </si>
  <si>
    <t>The sponsor has to demonstrate sufficient financial resources that equal minimum monthly wage (or 60% of it for children) indicating ability to materially support oneself and respective family members. This does not apply to subsidiaries of international protection.</t>
  </si>
  <si>
    <t>A document that confirms accommodation (may be a rental contract). This does not apply to subsidiaries of international protection.</t>
  </si>
  <si>
    <t>Spouses of a TCN with a permament residence status receive a permit for one year, then after reapplying for another four years and then are eligible for permanent residence status. Underage children receive the same kind of permit and time-limit as the sponsor. Other family members are eligible for a temporary residence permit no longer than 6 months and can apply for it once a year</t>
  </si>
  <si>
    <t>a), b) and d) apply (insufficient economic resources)</t>
  </si>
  <si>
    <t>If a person has had a temporary residence permit for 5 years, they can apply for a permanent residence status following the normal procedure.</t>
  </si>
  <si>
    <t xml:space="preserve">Article 3 of Law on Education explicitly stipulates that documented migrants (EU, EEA, third-country nationals), refugees and asylum seekers have the same right of access to compulsory-age education as Latvian citizens and non-citizens. Undocumented (the Law stipulates 'illegal'') migrant children have the right to stay in primary and lower secondary education for as long as they are allowed to stay in the country (Article 3, point 3). Compulsory education age for all groups is 'below 18'.  Article 4 of the Education Law stipulates that primary education is compulsory for those under 18 years old. Undocumented migrant children have the right to primary education as long as they remain in Latvia (Article 3(3) of the Education Law). Article 20(2) of the General Education Law stipulates that children in the age up to 7 years old participate in pre-primary education programmes. Article 3(1) of the Education Law states that only documented migrants have the right to pre-primary education. Article 3(1) of the Education Law stipulates that only documented migrants have the right to vocational training (undocumented migrants only have access to primary education under Article 3(3)), and higher education. </t>
  </si>
  <si>
    <t>While there are funds avialble for individual study plans and language learning, it isn't designed in a systemic manner.</t>
  </si>
  <si>
    <t xml:space="preserve">There is time-bound support provided (one to three years depending on needs) but the support from the Ministry of Education and Science is mainly ad-hoc and given only after the pupil has enrolled in the school. </t>
  </si>
  <si>
    <t>Goals may be defined in individual study plans</t>
  </si>
  <si>
    <t>While there are standard courses developed by the Latvian language agency, there is no requirement for teachers to be certified in them.</t>
  </si>
  <si>
    <t>There is some support and guidance provided  - individual plans are prepared for pupils if their number in a classroom does not exceed 10; there is a specific programme developed if their number exceeds 10. The support cannot be said to be systematic as it is mainly triggered as the need arises. Even with arrival of Ukrainians, access to funds for teachers' assistants and language learning is limited, and only used if the school administration deems it necessary</t>
  </si>
  <si>
    <r>
      <t xml:space="preserve">Intercultural education is not included in school curriculum </t>
    </r>
    <r>
      <rPr>
        <sz val="10"/>
        <color rgb="FFFF0000"/>
        <rFont val="Calibri"/>
        <family val="2"/>
      </rPr>
      <t>as a subject</t>
    </r>
    <r>
      <rPr>
        <sz val="10"/>
        <rFont val="Calibri"/>
        <family val="2"/>
      </rPr>
      <t xml:space="preserve">. Currently, a project called 'School 2030' is implemented with a new approach to learning based on competencies. One of the pillars of learning is the ability to operate in a multicultural setting and fostering empathy, tolerance and respect for others. </t>
    </r>
  </si>
  <si>
    <t>While there were some activities to include Ukrainian teachers in the workforce, it cannot be considered a systemic approach.</t>
  </si>
  <si>
    <t xml:space="preserve">There is a specific course on Intercultural Education intended for most teachers in pre-service phase focusing on intercultural communication, conflicts and racism. However, during in-service there is no compulsory requirement to study the topic and teachers may choose to do so voluntarily. </t>
  </si>
  <si>
    <t>Only citizens of Latvia can be founding members of a political party, according to Law on Political Parties; EU nationals can be members of a political party, but they cannot be in majority. Non-nationals cannot be members of political parties.</t>
  </si>
  <si>
    <r>
      <t xml:space="preserve">Information Center for Immigrants, integration.lv </t>
    </r>
    <r>
      <rPr>
        <sz val="10"/>
        <color rgb="FFFF0000"/>
        <rFont val="Calibri"/>
        <family val="2"/>
      </rPr>
      <t>(no more funded by AMIF, now funded by Society Integration fund - national funds</t>
    </r>
    <r>
      <rPr>
        <sz val="10"/>
        <rFont val="Calibri"/>
        <family val="2"/>
      </rPr>
      <t>). All these information efforts are generalized, not on political participation in particular (thus 0)</t>
    </r>
  </si>
  <si>
    <t>Migrant NGOs can apply for the same NGO funds as other NGOs in Latvia, some grants are targetted at organizations of national minorities. Not explicitly intended for consultation process.</t>
  </si>
  <si>
    <t>To apply for permanent residence, a TCN has to reside in Latvia for 5 years (60 months)</t>
  </si>
  <si>
    <t>Test of Latvian, A2.</t>
  </si>
  <si>
    <t>Legal source of income, must provide information from the employer.</t>
  </si>
  <si>
    <t>Permament residence permit has to be registered every 5 years, when its validity is extended.</t>
  </si>
  <si>
    <t>Art.36 of Immigration Law: A permanent residence permit shall be annulled if the foreigner resides continuously outside the Republic of Latvia for more than 12 months</t>
  </si>
  <si>
    <r>
      <t>This score is to reflect the changes from 2019 that children of Latvian 'non-citizens' (</t>
    </r>
    <r>
      <rPr>
        <sz val="10"/>
        <color rgb="FFFF0000"/>
        <rFont val="Calibri"/>
        <family val="2"/>
      </rPr>
      <t>stateless persons</t>
    </r>
    <r>
      <rPr>
        <sz val="10"/>
        <rFont val="Calibri"/>
        <family val="2"/>
      </rPr>
      <t>) are automatically etntitled to Latvian citizenship by birth</t>
    </r>
  </si>
  <si>
    <t>TCNs should have 5 years of permanent residence, and permanent residence can be obtained after 5 years temporary residence (uninterrupted). Citizenship Law, Art.12.</t>
  </si>
  <si>
    <t>Regulations Regarding Testing the Fluency in the Latvian Language and Knowledge of the Basic Principles of the Constitution of the Republic of Latvia, the Text of the National Anthem, the Basics of the History and Culture of Latvia: fluency in language is required</t>
  </si>
  <si>
    <t>Art.12 of Citizenship Law: applicant must have a legal source of income.</t>
  </si>
  <si>
    <t xml:space="preserve">Art.11 of Citizenship Law stipulates that: he or she has been convicted in Latvia or any other country for committing such criminal offence that is qualified as criminal offence also in Latvia during examination of an application for naturalisation. </t>
  </si>
  <si>
    <t xml:space="preserve">Recognised refugees also are not required to renounce their citizenship. Section 2, Artile 12 of Citizenship Law: If a citizen of a Member State of the European Union, a Member State of the European Free Trade Association, a Member State of the North Atlantic Treaty Organisation, the Commonwealth of Australia, the Federative Republic of Brazil, New Zealand or a citizen of the country with which the Republic of Latvia has entered into agreement regarding recognition of dual citizenship is admitted to Latvian citizenship, he or she is entitled to retain citizenship of the relevant country. </t>
  </si>
  <si>
    <t>Prohibition of discrimination in the field of access to and supply of goods and services and applying only to the grounds of race and ethnicity and gender. Art.3, Law on the Rights of Patients; Art.3.1. of the Consumer Rights Protection Law: Prohibition of Differential Treatment
In the original, 2009 version of the Law on Patients Rights, the prohibition of differential treatment was already included, in the exact formulation as today "In ensuring the rights of patients, differential treatment based on a person's race, ethnic origin, skin colour, gender, age, disability, state of health, religious, political or other persuasion, national or social origin, property or marital status or other circumstances is prohibited. Differential treatment shall include the direct or indirect discrimination of a person, infringement of a person or an implication to discriminate him or her." No explicit mention of citizenship. https://likumi.lv/ta/en/en/id/203008-law-on-the-rights-of-patients
 Similarly, the Law on Protection of Consumers Rights has had the article on prohibition of differential treatment since 2008: Section 3.1 Prohibition of Differential Treatment.  "Differential treatment based on sex, race, ethnic belonging or disability of a consumer is prohibited when offering goods or a service, selling goods or providing a service." No mention of citizenship. https://likumi.lv/ta/en/en/id/23309-consumer-rights-protection-law</t>
  </si>
  <si>
    <t xml:space="preserve">The formulation in all the laws prohibiting differential treatment is as follows (and has been that way also in 2014):  person's race, skin colour, gender, age, disability, religious, political or other conviction, ethnic/national or social origin, property or marital status, sexual orientation or other circumstances. So (a) and (b) are explicitly spelled out. Citizenship is not explicitly mentioned. </t>
  </si>
  <si>
    <t>Labour Law has had prohibition of differential treatment based on religion, ethnicity and race since 2001. Nationality may be regarded as coming under "other circumstances", but not spelled out expressly.</t>
  </si>
  <si>
    <t>Section 3.1 of Education Law: Prohibition of Differential Treatment (Education Law since 1999)</t>
  </si>
  <si>
    <t>Nationality may be regarded as coming under "other circumstances", but not spelled out expressly. Section 2.1 of the Law on Social Security: Prohibition of Differential Treatment, since 2006</t>
  </si>
  <si>
    <t>ABCD,  shift of burden of proof only in cases of employment, sancions (h) also in case of employment. (abce) sanctions certainly available, others aren't necessarily used. Court verdicts are published anonimously.</t>
  </si>
  <si>
    <t>Ombudsman's Office: http://www.tiesibsargs.lv/en/pages/about-us/tiesibsarga-institucija</t>
  </si>
  <si>
    <t>Ombudsman's Office: http://www.tiesibsargs.lv/en/pages/about-us/tiesibsarga-institucija. Important: the victim has to approach the Office first.</t>
  </si>
  <si>
    <t>Only migrants with permanent residence permit and</t>
  </si>
  <si>
    <t>employed citizens of EU, EEA and Switzerland can receive state guaranteed medical services with the same access as locals. Other legal migrants (citizens of 3rd countries) have to pay full cost of health care services or they have to use private medical insurance. In fact these 3rd country nationals can only get a temporary residence permit, if they have full health insurance.</t>
  </si>
  <si>
    <t xml:space="preserve">A: If a person holds national personal code and valid health insurance policy, then there are no addiditional administrative procedures. B:Administrative discretion applies to all groups of visitors, migrants and locals. </t>
  </si>
  <si>
    <t xml:space="preserve">According to Medical Treatment Law https://likumi.lv/ta/id/296188-veselibas-aprupes-finansesanas-likums, asylum seekers are always eligible for minimum health care support. 
Medical Treatment Financing Law:
The minimum health care paid for by the State includes the following health services:
1) emergency medical care;
2) childbirth assistance;
3) health care services provided by the family doctor (including diagnostic examinations for the provision of medical treatment within the competence of the family doctor), as well as medicinal products and medical devices prescribed by the family doctor for outpatient treatment of diseases referred to in Paragraph 4 of this Part; the procedure for reimbursement of the purchase of medical devices;
4) health care services related to the treatment of diseases which have a significant impact on public health indicators or which pose a threat to public health (including mental illness, tuberculosis), as well as medicinal products and medical devices intended for the out-patient treatment of these diseases; regarding the procedure for the reimbursement of expenses for the purchase of medicinal products and medical devices intended for out-patient treatment.
Section 9: The following shall be entitled to State minimum medical care:
4) a refugee or a person who has been granted alternative status;
6) an asylum seeker;
There have been changes in the Law since 2014, this is why the score is different than then. There is a doctor (GP) and a nurse at the asylum seekers reception center, and emergency care is provided unconditionally as well. </t>
  </si>
  <si>
    <t>A. If a person holds national personal code and valid health insurance policy, then there are no addiditional administrative procedures. However, asylum seekers may not have these: they receive an asylum seeker’s ‘travel document’ that is used for their identification.</t>
  </si>
  <si>
    <t>No undocumented migrant (without a valid personal code given by Latvian MOI) has guaranteed access to medical services, unless they are detained. For detained persons they have to request a doctor, and BG arranges the services, which are covered by state budget. For other migrants service providers will not reiceve any reimbursement from the government budget – such services would be “pro bono”. The official view is that such sistem would encourage undocumented migrants to register with state authorities (in practice that often means detention). Only the medical consultations over phone are given for free without checking the status by calling to 66016001, but even then name and address often is asked.</t>
  </si>
  <si>
    <t>A. If a person does not have a valid ID, they are unable to access healthcare services. While anyone has access to Emergency Assistance, in the case of undocumented migrants, costs would have to be covered privately. 
B. Urgency is assessed by the health care professional.</t>
  </si>
  <si>
    <t>Such information has been prepared on ad-hoc basis for legal migrants and asylum seekers only. For undocumented migrants, such information may be available if they are detained.</t>
  </si>
  <si>
    <t xml:space="preserve"> Interpretation services are available free of charge in many languages EXCEPT English and Russian. In the case of the latter two, patients would have to cover the interpretation costs privately, however most doctors/nurses would be able to communicate in Russian and some in English too.
Source: https://patverums-dm.lv/en/interpretation-services, this service is funded by AMIF funds. Russian is the most widely spoken non-official language in Latvia, and health care services are oftentimes provided in Russian also in state hospitals. English is less widespread.</t>
  </si>
  <si>
    <t>There is no any migrant’s involvment at any level, but in case any migrant NGO would be approaching govermnent or service providers, most likely they would be included.</t>
  </si>
  <si>
    <t xml:space="preserve">Single residence permit is however linked to a specific employment. </t>
  </si>
  <si>
    <t>* Malta's National Action Plan (don't think it adresses women and migrant youth directly)</t>
  </si>
  <si>
    <t>* NATIONAL ACTION PLAN 
FOR A CHILD GUARANTEE 
2022-2030</t>
  </si>
  <si>
    <t>Art 13 of Family Reunification Regulations:The Director shall not allow the members of the family ofthe sponsor to join him in Malta unless he has stayed lawfully inMalta for a period not exceeding two years. The guidance available on the Government website iindicates that: 'Such reunification is possible only after one year of residence of the sponsor;' However, there is an exception: When the sponsor holds a single permit on the basis of the Key Employee Initiative or the Specialist Employee Initiative, Identita’ will consider the waiving of the one (1) year period of prior authorised residency, and allow the sponsor to apply for his dependents before that time lapse; provided that the sponsor has at least had an Approval in Principle letter issued as a result of his own application for a residence permit in Malta.  Exceptions will only be considered in this regard provided that the sponsor has proven his stable resources to be equal to, or exceed, the below: -
€50,000 gross income annually covering sponsor and one (1) dependant*.
An additional gross income of €6,000 gross income for each additional dependant*.
*Dependants remain the same as specified in the ‘Definition of Family Members’ in this Policy.
Under such exceptions, sponsors must undertake to provide, for each dependant family member: -
A health insurance policy for each family member, with a minimum coverage limit of €100,000 providing medical treatment coverage for both outpatient and inpatient services, including hospitalisation coverage in Malta and other European countries. Insurance policy must remain effective for the entire validity of the residence permit.
In the case of children who are of compulsory schooling age, an application for private schooling in Malta.</t>
  </si>
  <si>
    <t xml:space="preserve">Article 14(3) Remains as previous. </t>
  </si>
  <si>
    <t xml:space="preserve">No specific standard set. Provision simply talkes about attending and successfully completing courses in the Maltese Language. </t>
  </si>
  <si>
    <t xml:space="preserve">Regulation 12(b) states that when submitting an application for family reunification the sponsor has to provide evidence that he has accommodation regarded as normal for a comparable family in Malta and which meets the general health and safety standards in Malta. </t>
  </si>
  <si>
    <t xml:space="preserve">Article 14(2) provides that: The family members shall be granted a first residence permit of at least one year’s duration which shall be renewable. Provided that the duration of the residence permits granted to the members of the family of the sponsor shall, in principle, not extend beyond the date of expiry of the residence permit held by the sponsor. </t>
  </si>
  <si>
    <t xml:space="preserve"> The Director may reject an application for entry and residence for the purpose of family reunification, or withdraw or refuse to renew a family member’s residence permit, in the following circumstances:
(a) where the conditions laid down by these regulations are not, or are no longer, satisfied:
Provided that, when renewing the residence permit, the contributions of the family members to the household income shall be taken into account where the sponsor fails to prove that he has the sufficient resources referred to in regulation 12(d) without recourse to the social assistance system;
(b) where the sponsor and his family members do not, or no longer live, in a real marital or family relationship;
(c) where it is found that the sponsor is already married;
(d) where it is shown that the family reunification permit was based on false or misleading information, false or falsified documents, or otherwise fraudulently obtained; and
where it is shown that the marriage or adoption which are the subject of the application for family reunification was contracted solely for the purpose of enabling the person concerned to enter or reside in Malta.</t>
  </si>
  <si>
    <t>Art 21.of Family Reunification Regulations: Before rejecting an application, withdrawing or refusing torenew a residence permit or deciding to order the removal of the sponsor or members of his family, the Director shall take dueaccount of the nature and solidity of the person’s familyrelationships and the duration of his residence in Malta and of the existence of family, cultural and social ties with such person’scountry of origin.</t>
  </si>
  <si>
    <t xml:space="preserve">Art 16.(1) of Family reunification Regulations:  Upon the expiry of a period of five years’ residence inMalta and provided that the family member has not been granted aresidence permit for reasons other than family reunification, thespouse or the child who has reached majority shall be entitled, uponapplication, to an autonomous residence permit. </t>
  </si>
  <si>
    <t xml:space="preserve">The Migrant Learners Unit (set up in 2017) provides inforamtion and support to parents of migrant children, working with interpreters and cultural mediators. The unit employs people specifically for outreach in migrant communities, to provide information on schooling and additional support, with the ultimate aim of ensuring access to education for all. Support is also provided by NGOs, IOs and others. </t>
  </si>
  <si>
    <t xml:space="preserve">No information available re this question. </t>
  </si>
  <si>
    <t>*Measure 7 of Anti-Racism Strategy</t>
  </si>
  <si>
    <t xml:space="preserve">Whilst a consultative body was set up by the integration policy, in practice, this was not continued. </t>
  </si>
  <si>
    <t xml:space="preserve">4 out of 6 years: during the six years immediately preceding the said period of twelve months, he has resided in Malta for periods amounting in the aggregate to not less than four years. In practice however there is a high degree of discretion allowed and citizenship by naturalisation is not really available under these conditions. </t>
  </si>
  <si>
    <t>NAPAR Adopted</t>
  </si>
  <si>
    <t>NAPAR</t>
  </si>
  <si>
    <t xml:space="preserve">I have continuted the score for earlier years. However, it should remarked that non-citizens do not have equal access to all positions; in order to be a police officer you need to be a national. There also is indirect differential access with foreign diplomas not always being recognized, for example for general practictioners. </t>
  </si>
  <si>
    <r>
      <t xml:space="preserve">I continue the score for earlier years as there is no direct unqual access to social security. However, it should be remarked that there still is </t>
    </r>
    <r>
      <rPr>
        <i/>
        <sz val="10"/>
        <rFont val="Calibri"/>
        <family val="2"/>
      </rPr>
      <t xml:space="preserve">indirect </t>
    </r>
    <r>
      <rPr>
        <sz val="10"/>
        <rFont val="Calibri"/>
        <family val="2"/>
      </rPr>
      <t>unequal access for certain types of social security. For WW for example, an unemployment benefit that is related to one's earlier income in the Netherlands, there is indirect unequal access since both the level and duration of WW depends on the amount of time a person has worked in the Netherlands, while people mau also not receive such benefits outside of the Netherlands. People with temporary with work permits in particular tend to have shorter periods of residence in the Netherlands than citizens and permanent residents, which does give them less access. Furthermore, former foreign workers are typically not allowed to stay in the Netherlands when they become unemployed. This means that such migrants are paying for WW, but are unlilely to benefit from it. See: https://www.arbeidsrechter.nl/werk-door-buitenlanders-en-identificatieplicht/ (the part about sociale zekerheid). The latter argument is also relevant for social assistance; all persons legally residing have a right to social assistance, but foreign workers typically loose there right to stay in the Netherlands if they get unemployed. It could be also be an option, therefore, to put the score for this subindicator at 50 for all years, depending on how other countries are scored on this aspect.</t>
    </r>
  </si>
  <si>
    <t xml:space="preserve">The programme 'Verdere integratie op de arbeidsmarkt', which was started in 2019 as a pilot (see comments for 2019), has been continued. There are now several programs that are oriented to TCNs undert the 'Werkagenda verdere integratie op de arbeidsmarkt' , see https://www.rijksoverheid.nl/actueel/nieuws/2021/12/13/lancering-werkagenda  It </t>
  </si>
  <si>
    <t>There has been an important change  in the Dutch integration policies in 2022. Under a new integration law (Wet Inburgering 2021) the board of Mayor and Aldermen have received a more active role in guiding the integration of migrants living in the municipality. Relatedly, it has now become possible to do the in-country integration exam at different levels (initially the standard was A2 for everyone): B1 has now become the standard, but if this proves to be too difficult, the migrant can get permission from the Board to do it at A2 or even A1 level. The possibility to do the exam at a lower level has been introduced to increase language acquisition among people with no or limited formal education, and is decided at the discretion of the municipality (for example, the migrant has to convince the municipality that he s/he has really attempted to learn the language at a more difficult level before getting permission to do it at an easier level. After consultation with the MIPEX team it was decided to code 0.  https://www.rijksoverheid.nl/onderwerpen/inburgeren-in-nederland/nieuwe-wet-inburgering https://www.nt2.nl/nl/dossier/de-nieuwe-wet-inburgering-/het-nieuwe-inburgeringstraject-leerroutes-</t>
  </si>
  <si>
    <t xml:space="preserve">I am continuing the scores of earlier years as there have not been major changes in the policies. However, it should be remarked that there are, and have been, different initiatives to reduce ethnic and socioeconomic segregation in secondary education and improve the quality of schools in neighbourhoods with a high percentage of (poorer) residents with a migration background. For example, there are additional funds available for primary and secondary schools in nieghborhoods with a weaker socioeconomic profile and the percentage of mothers with a migration background in the neighborhood is one of the indicators used (https://www.rijksoverheid.nl/onderwerpen/voorschoolse-en-vroegschoolse-educatie/financiering-onderwijsachterstanden). So while there are no direct targeted measures, there are indirect measures. </t>
  </si>
  <si>
    <t>I am continuing the scores for previous years as there generally is equal access. However it should be remarked that migrants may have less access to old age pensions as the level of the pension is 2% lower for each year that a person has not lived in the Netherlands before coming to the Netherlands. https://www.rijksoverheid.nl/onderwerpen/algemene-ouderdomswet-aow/vraag-en-antwoord/krijg-ik-aow-als-ik-later-in-nederland-ben-komen-wonen</t>
  </si>
  <si>
    <r>
      <t xml:space="preserve">Professional civil servants, i.e., members of the Civil Service Corps, as well as non-members, can work in state and municipality offices. 
Foreigners, including EU citizens, are not allowed to work in state and municipality offices in Poland. Only Polish citizens are entitled to do so (Article 3(1) of the 1982 Act on employees of state offices, Article 4(1) of the 2008 Act on civil service, Article 6(1)(1) of the 2008 Act on municipal employees). 
However, there is an exception to this rule. In the case of professional civil servants, the director general of an office may announce - after obtaining the consent from the Head of the Civil Service - which positions may be applied for by EU citizens and citizens of countries who are entitled to take up employment in Poland on the basis of international agreements or provisions of Community law. This is a relatively narrow group, as it does not include foreigners who can work in Poland without a work permit on the basis of national legislation (Article 5(1) of the 2008 Act on civil service and Article 11(2) on municipal employees).
A foreigner cannot be employed in a position 'where the work performed does not involve direct or indirect participation in the exercise of public authority and functions aimed at protecting the general interests of the State'. In addition, knowledge of the Polish language confirmed by an appropriate document (e.g. a certificate by the State Commission for the Certification of Proficiency in Polish as a Foreign Language) is required (Article 5(2) of the 2008 Act on civil service and Article 11(3) of the 2008 Act on municipal employees).
Legal bases:
1) Act on employees of state offices of 16 September 1982 (Journal of Laws of 2023, item 1917)
2) Act on civil service of 21 November 2008 (Journal of Laws of 2024, item 409)
3) Act on municipal employees of 21 November 2008 (Journal of Laws of 2022, item 530)
Source: Jacek Jagielski, Krzysztof Rączka (2010). </t>
    </r>
    <r>
      <rPr>
        <i/>
        <sz val="10"/>
        <rFont val="Calibri"/>
        <family val="2"/>
        <charset val="238"/>
      </rPr>
      <t xml:space="preserve">Ustawa o służbie cywilnej. Komentarz </t>
    </r>
    <r>
      <rPr>
        <sz val="10"/>
        <rFont val="Calibri"/>
        <family val="2"/>
        <charset val="238"/>
      </rPr>
      <t>[Act on Civil Service. Commentary]. Lex/el.</t>
    </r>
  </si>
  <si>
    <t>As above, but changes in the Act on civil service concerning professional civil servants.
In June 2023, the Polish President signed the amended Act on civil service. One of its aims is to simplify the advertising of vacancies for which a foreigner can also apply. The amendment will enter into force when the Prime Minister announces in the Journal of Laws the readiness of the new electronic platform through which civil service candidates will be able to apply. As of 31 May 2024, this has not happened yet.
At present, the following groups of foreigners can apply for positions in the civil service: EU citizens and citizens of countries who are entitled to take up employment in Poland on the basis of international agreements or provisions of Community law. After the entry into force of the amended Act, holders of a valid Card of the Pole will also be entitled to apply. This is still a relatively narrow group of foreigners, as it does not include those who have the right to work in Poland without a work permit under national legislation.
Currently, foreigners can apply for a position in the civil service if it is clearly stated in the advertisement that foreigners can apply. Allowing foreigners to apply is decided by the director general of the office, after obtaining the consent from the Head of the Civil Service. Once the amended regulations come into force, eligible foreigners will be able to apply for all positions, as long as the advertisement does not stipulate that only a Polish citizen can be employed in a given position. The decision as to which positions will be reserved for Polish citizens will be at the discretion of the director general of the office, who will not be obliged to obtain consent from the Head of the Civil Service. This is likely to significantly expand the pool of job offers available to eligible foreigners.
However, foreigners will still not be entitled to be employed in a position 'where the work performed does not involve direct or indirect participation in the exercise of public authority and functions aimed at protecting the general interests of the State'.
Source: Government draft Act amending the Act on civil service and some other acts: https://www.sejm.gov.pl/Sejm9.nsf/PrzebiegProc.xsp?nr=3090</t>
  </si>
  <si>
    <t>Permanent residents (A) and residents on family reunion permits (C) have immediate access to Polish labour market, without the need to possess a work permit (Article 87(1)(3-4) and Article 87(2)(4) of the 2004 Act on the promotion of employment and labour market institutions). 
Legal basis: Act on the promotion of employment and labour market institutions of 20 April 2004 (Journal of Laws of 2024, item 475)</t>
  </si>
  <si>
    <t>Citizens of the European Union or the European Economic Area, and members of their families joining or staying with them, may establish and conduct business in Poland on the same principles as Polish citizens. In addition, this entitlement is granted, inter alia, to foreigners who hold:
- a permanent residence permit or a long-term EU resident's residence permit,
- refugee status, subsidiary protection or temporary protection,
- a permit to stay for humanitarian reasons or a permit for tolerated stay,
- a temporary residence permit for the purpose of, inter alia, family reunification and studies,
- a temporary residence permit and are married to a Polish citizen residing in Poland,
- a temporary residence permit for the purpose of carrying out business activities, granted due to continuation of already conducted business activities on the basis of an entry in the Central Register of Business Activity and Information (CEIDG),
- a valid Card of the Pole.
(Article 4(1-2) of the 2018 Act on the principles of participation of foreign entrepreneurs and other foreign persons in economic turnover in the territory of the Republic of Poland)
Other foreigners may establish and conduct business activities only in the form of limited partnerships, limited joint-stock partnerships, limited liability companies and joint-stock companies. They may also join such companies and take up or acquire their shares or stocks (Article 4(3) of the 2018 Act on the principles of participation of foreign entrepreneurs and other foreign persons in economic turnover in the territory of the Republic of Poland).
Legal basis: Act on the principles of participation of foreign entrepreneurs and other foreign persons in economic turnover in the territory of the Republic of Poland of 6 March 2018(Journal of Laws of 2022, item 470)</t>
  </si>
  <si>
    <r>
      <t xml:space="preserve">Both permanent residents (A), residents on temporary work permits (B) and residents on family reunion permits (C) have access to public employment services (Article 1(3)(2)(e, f, g, h, ha) of the 2004 Act on the promotion of employment and labour market institutions).
Seasonal workers are entitled to some public employment services concerning seasonal work (Article 1(3)(2)(hb) and Article 1(7) of the 2004 Act on the promotion of employment and labour market institutions).
Legal basis: Act on the promotion of employment and labour market institutions of 20 April 2004 (Journal of Laws of 2024, item 475)
Source: The Employment Services Centre for Information and Consultation Zielona Linia (2024). </t>
    </r>
    <r>
      <rPr>
        <i/>
        <sz val="10"/>
        <rFont val="Calibri"/>
        <family val="2"/>
        <charset val="238"/>
      </rPr>
      <t xml:space="preserve">Rejestracja cudzoziemca w urzędzie pracy </t>
    </r>
    <r>
      <rPr>
        <sz val="10"/>
        <rFont val="Calibri"/>
        <family val="2"/>
        <charset val="238"/>
      </rPr>
      <t xml:space="preserve">[Registration of a foreigner at a labour office]. </t>
    </r>
    <r>
      <rPr>
        <sz val="10"/>
        <rFont val="Calibri"/>
        <family val="2"/>
      </rPr>
      <t xml:space="preserve">https://zielonalinia.gov.pl/rejestracja-cudzoziemca-w-urzedzie-pracy-41584
</t>
    </r>
  </si>
  <si>
    <r>
      <t xml:space="preserve">Adult foreigners who have equal access to higher education include permanent residents (A) and residents on family reunion permits (C) (Article 324(2)(2-3) of the 2018 Law on Higher Education and Science).
Equal access to higher education is also granted to all foreigners who hold a state certificate confirming their knowledge of Polish as a foreign language at least at C1 level (potentially, some categories of B) (Article 324(2)(5) of the 2018 Law on Higher Education and Science).
Only foreigners who have equal access to higher education (including those mentioned above - A, C) can apply for a social grant or a student loan. All foreign students, on the other hand, without exception, are entitled to apply for all other scholarships: the Rector's scholarship, scholarship for persons with disabilities, financial aid, a scholarship financed by a local government unit, a scholarship for academic or sports performance financed by an individual or a legal entity that is not a state or local government legal entity, and a minister's scholarship (A, B, C) (Article 324(3)(2) of the 2018 Law on Higher Education and Science).
Adult foreigners who have equal access to vocational training (public schools for adults, public upper-secondary industrial schools, public post-secondary schools, public institutions and public colleges for social services employees, as well as lifelong learning in the form of qualified vocational courses) include permanent residents (A), residents on temporary work permits (B) and residents on family reunion permits (C) (Article 165(3)(3, 11, 12, 14) of the 2016 Education Law).
The 1991 Act on the education system, concerning education below tertiary level, does not exclude foreign students from applying for various types of scholarships.
Legal bases:
1) Law on Higher Education and Science of 20 July 2018 (Journal of Laws of 2023, item 742, as amended)
2) Education Law of 14 December 2016 (Journal of Laws of 2024, item 737)
3) Act on the education system of 7 September 1991 (Journal of Laws of 2024, item 750)
Source: Ministry of National Education (n.d.). </t>
    </r>
    <r>
      <rPr>
        <i/>
        <sz val="10"/>
        <rFont val="Calibri"/>
        <family val="2"/>
        <charset val="238"/>
      </rPr>
      <t>Cudzoziemcy</t>
    </r>
    <r>
      <rPr>
        <sz val="10"/>
        <rFont val="Calibri"/>
        <family val="2"/>
      </rPr>
      <t xml:space="preserve"> [Foreigners]. https://www.gov.pl/web/edukacja/cudzoziemcy</t>
    </r>
  </si>
  <si>
    <r>
      <t xml:space="preserve">Procedures may vary depending on the country in which the diploma was obtained, but the procedures (fees, documents, etc.) do not differ if, for example, a Polish and a Ukrainian citizen apply for recognition of a diploma obtained in Ukraine.
Recognition of the equivalence of a foreign diploma may take place on the basis of an international agreement or, in the absence of an agreement, through nostrification. The nostrification procedure is carried out by Polish universities having the appropriate scientific category in the discipline concerned. Since the nostrification procedure applies to diplomas obtained abroad, the requirements in terms of documents or fees apply to everyone equally - regardless of whether it is a foreigner or a Polish citizen holding a foreign diploma.
Sources: 
1) Polish National Agency for Academic Exchange (n.d.). </t>
    </r>
    <r>
      <rPr>
        <sz val="10"/>
        <rFont val="Calibri"/>
        <family val="2"/>
        <charset val="238"/>
      </rPr>
      <t>Degrees obtained in EU, OECD or EFTA countries.</t>
    </r>
    <r>
      <rPr>
        <sz val="10"/>
        <rFont val="Calibri"/>
        <family val="2"/>
      </rPr>
      <t xml:space="preserve"> https://nawa.gov.pl/en/recognition/recognition-for-professional-purposes/degrees-obtained-in-eu-oecd-or-efta-member-states
2) Polish National Agency for Academic Exchange (n.d.). </t>
    </r>
    <r>
      <rPr>
        <sz val="10"/>
        <rFont val="Calibri"/>
        <family val="2"/>
        <charset val="238"/>
      </rPr>
      <t>Degrees obtained in other countries.</t>
    </r>
    <r>
      <rPr>
        <sz val="10"/>
        <rFont val="Calibri"/>
        <family val="2"/>
      </rPr>
      <t xml:space="preserve"> https://nawa.gov.pl/en/recognition/recognition-for-professional-purposes/degrees-obtained-in-other-countries
3) Polish National Agency for Academic Exchange (n.d.). </t>
    </r>
    <r>
      <rPr>
        <i/>
        <sz val="10"/>
        <rFont val="Calibri"/>
        <family val="2"/>
        <charset val="238"/>
      </rPr>
      <t xml:space="preserve">Nostryfikacja dyplomów ukończenia studiów </t>
    </r>
    <r>
      <rPr>
        <sz val="10"/>
        <rFont val="Calibri"/>
        <family val="2"/>
      </rPr>
      <t>[Nostrification of diplomas]. https://nawa.gov.pl/en/uznawalnosc/informacje-dla-uczelni/nostryfikacja-dyplomow
4) Consultation with the Polish National Agency for Academic Exchange and the Depatment of International Cooperation of the Ministry of Science and Higher Education.</t>
    </r>
  </si>
  <si>
    <r>
      <t xml:space="preserve">Not all TCNs, but those registered at the local labour office as an unemployed person or a job seeker may:
- participate in one Polish language course organised and financed by the starosta from the Labour Fund (it may be an industrial Polish language training) (Article 40b of the 2004 Act on the promotion of employment and labour market institutions),
- have their fee charged for the nostrification procedure or the procedure for confirming completion of studies at a specific level financed by the starosta from the Labour Fund (Article 40a of the 2004 Act on the promotion of employment and labour market institutions).
Legal basis: Act on the promotion of employment and labour market institutions of 20 April 2004 (Journal of Laws of 2024, item 475)
Sources:
1) Labour Market Department (2022). </t>
    </r>
    <r>
      <rPr>
        <i/>
        <sz val="10"/>
        <rFont val="Calibri"/>
        <family val="2"/>
        <charset val="238"/>
      </rPr>
      <t>Szkolenia z języka polskiego dla cudzoziemców</t>
    </r>
    <r>
      <rPr>
        <sz val="10"/>
        <rFont val="Calibri"/>
        <family val="2"/>
      </rPr>
      <t xml:space="preserve"> [Polish language training for foreigners]. https://psz.praca.gov.pl/dla-bezrobotnych-i-poszukujacych-pracy/podnoszenie-kwalifikacji/szkolenia-z-jezyka-polskiego-dla-cudzoziemcow
2) Labour Market Department (2022). </t>
    </r>
    <r>
      <rPr>
        <i/>
        <sz val="10"/>
        <rFont val="Calibri"/>
        <family val="2"/>
        <charset val="238"/>
      </rPr>
      <t>Finansowanie kosztów postępowania nostryfikacyjnego lub postępowania w sprawie potwierdzenia ukończenia studiów na określonym poziomie</t>
    </r>
    <r>
      <rPr>
        <sz val="10"/>
        <rFont val="Calibri"/>
        <family val="2"/>
      </rPr>
      <t xml:space="preserve"> [Financing the costs of nostrification proceedings or proceedings to confirm completion of studies at a specific level]. https://psz.praca.gov.pl/dla-bezrobotnych-i-poszukujacych-pracy/podnoszenie-kwalifikacji/nostryfikacja</t>
    </r>
  </si>
  <si>
    <t>Only ad hoc (mainly through projects implemented by NGOs)</t>
  </si>
  <si>
    <t>Unemployment benefits: A and B – since 1 May 2014 (before this date, only A)                                                                                            Old age pensions: A, B and C – since 2007                                                                               Invalidity benefits: A, B and C – since 2007                                                                                   Maternity leave: A, B and C – since 2007                                                                                                      Family benefits: A and some categories of C – since 1 May 2014 (before this date, only A)                Social assistance: A and some categories of C – since 29 May 2008 (before this date, only A).       Because of social assistance, which is provided only to A, the score is 0.
Legal bases:
1) Act on the promotion of employment and labour market institutions of 20 April 2004 (Journal of Laws of 2024, item 475)
2) Act on the social insurance system of 13 October 1998 (Journal of Laws of 2024, item 497)
3) Act on old age pensions and disability pensions from the Social Insurance Fund of 17 December 1998 (Journal of Laws of 2023, item 1251, as amended)
4) Labour Code of 26 June 1974 (Journal of Laws of 2023, item 1465)
5) Act on family benefits of 28 November 2003  (Journal of Laws of 2024, item 323)
6) Act on social assistance of 12 March 2004 (Journal of Laws of 2023, item 901, as amended)
Sources:
1) Polish Migration Forum (2022). Urzędy pracy w Polsce - jak mogą ci pomóc? [Labour offices in Poland - how can they help you?]. https://forummigracyjne.org/npub/urzedy-pracy-w-polsce--jak-moga-ci-pomoc
2) Social Insurance Fund (2023). Przepisy dotyczące emerytur dla cudzoziemców nie zmieniły się w ostatnich latach [Regulations on pensions for foreigners have not changed in recent years]. https://www.zus.pl/-/przepisy-dotycz%C4%85ce-emerytur-dla-cudzoziemc%C3%B3w-nie-zmieni%C5%82y-si%C4%99-w-ostatnich-latach
3) The Halina Nieć Legal Aid Centre (2023). Świadczenia dla cudzoziemców z niepełnosprawnością, w tym dla osób z PESEL UKR [Benefits for foreigners with disabilities, including those with PESEL UKR]. https://www.pomocprawna.org/swiadczenia-dla-cudzoziemcow-z-niepelnosprawnoscia-w-tym-dla-osob-z-pesel-ukr
4) Polish Migration Forum (2023). I am a mom in Poland. https://forummigracyjne.org/npub/jestem-mama-w-polsce--informator-dla-migrantek-ktore-oczekuja-dziecka-w-polsce--w-jezykach-ukrainskim-rosyjskim-i-angiel
5) Polish Migration Forum (2022). Financial support for families. https://forummigracyjne.org/npub/wsparcie-finansowe-dla-rodzin-en</t>
  </si>
  <si>
    <t>Before refusal or withdrawal, due account is taken of (regulated by law) :                                                                                                               
a. Solidity of sponsor’s family relationship
b. Duration of sponsor’s residence in country
c. Existing links with country of origin
d. Physical or emotional violence</t>
  </si>
  <si>
    <t>Foreigners residing in Poland for at least 2 years on the basis of subsequent temporary residence permits, including immediately prior to the submission of an application for a temporary residence permit for a family member - on the basis of temporary residence permit granted for a period of at least 1 year (Article 159(1)(1)(e) of the 2013 Act on foreigners) (score - 0)
For foreigners staying in Poland on the basis of a permanent residence permit or a long-term EU resident's permit there is no residence requirement. However, to be granted such a permit they need to stay in Poland for at least one year  (Article 159(1)(1)(a-b) of the 2013 Act on foreigners)  (score - 0). Exceptions include foreigners of Polish origin or the Card of the Pole holders intending to settle down in Poland, as well as foreigners granted asylum (not to be confused with refugee status). They are granted a permanent residence permit regardless of the length of stay in Poland (in their case, score - 100). 
Some categories of foreigners - such as those staying in Poland on the basis of a refugee status, subsidiary protection or a temporary residence permit for the purpose of  performing work in a profession requiring high qualifications - are also, exceptionally, exempt from the residence requirement (Article 159(1)(1)(c-d, f-i) of the 2013 Act on foreigners) (in their case, score - 100).
Legal basis: Act on foreigners of 12 December 2013 (Journal of Laws of 2021, item 2354, as amended)
Source: Office for Foreigners (n.d.). Temporary residence permit for the purpose of family reunification: Requirements. https://www.mos.cudzoziemcy.gov.pl/en/informacje/zwiazek-mal_EN/wymogi_EN</t>
  </si>
  <si>
    <r>
      <t xml:space="preserve">Dependent relatives, such as parents, grandparents or adult children, including those already residing illegally in Poland, may apply for a temporary residence permit due to other circumstances. However, this permit is granted on the basis of a discretionary decision (Article 187(6, 8) of the 2013 Act on foreigners). The granting of such a temporary residence permit is a discretionary decision. That is why I would give score of 0 (“family reunification of dependent adult children/parents allowed by discretion”).
Legal basis: Act on foreigners of 12 December 2013 (Journal of Laws of 2021, item 2354, as amended)
Source: Magdalena Kumela-Romańska (2022). </t>
    </r>
    <r>
      <rPr>
        <i/>
        <sz val="10"/>
        <rFont val="Calibri"/>
        <family val="2"/>
        <charset val="238"/>
      </rPr>
      <t>Ustawa o cudzoziemcach. Komentarz</t>
    </r>
    <r>
      <rPr>
        <sz val="10"/>
        <rFont val="Calibri"/>
        <family val="2"/>
      </rPr>
      <t xml:space="preserve"> [Act on Foreigners. Commentary]. LEX/el. </t>
    </r>
  </si>
  <si>
    <t>None measure</t>
  </si>
  <si>
    <t>A source of stable and regular income sufficient to cover the costs of maintaining themselves and dependent family members is required (therefore, the amount of monthly income should exceed the threshold for social assistance benefits, which in 2024 was PLN 776 net (approx. EUR 180) for a single person, and  PLN 600 net (approx. EUR 139) for each family member) (Article 159(1)(2)(b) of the 2013 Act on foreigners).
Foreigners who have been granted refugee status or subsidiary protection are exempt from this requirement if they applied for a temporary residence permit for the purpose of family reunification within 6 months from the date on which they were granted refugee status or subsidiary protection (Article 159(2) of the 2013 Act on foreigners).
Source: Office for Foreigners (n.d.). Temporary residence permit for the purpose of family reunification: Introduction. https://www.mos.cudzoziemcy.gov.pl/en/informacje/zwiazek-mal_EN/wprowadzenie_EN
Legal basis: Act on foreigners of 12 December 2013 (Journal of Laws of 2021, item 2354, as amended)</t>
  </si>
  <si>
    <t xml:space="preserve">The possession of a guaranteed place of residence in Poland is required  (Article 159(1)(3) of the 2013 Act on foreigners). It should be documented by a tenancy agreement, a flat ownership deed, etc.
Foreigners who have been granted refugee status or subsidiary protection are exempt from this requirement if they applied for a temporary residence permit for the purpose of family reunification within 6 months from the date on which they were granted refugee status or subsidiary protection (Article 159(2) of the 2013 Act on foreigners).
Legal basis: Act on foreigners of 12 December 2013 (Journal of Laws of 2021, item 2354, as amended)
Source: Office for Foreigners (n.d.). Temporary residence permit for the purpose of family reunification: Introduction. https://www.mos.cudzoziemcy.gov.pl/en/informacje/zwiazek-mal_EN/wprowadzenie_EN
</t>
  </si>
  <si>
    <t xml:space="preserve">A temporary residence permit for the purpose of family reunification is granted for: 1) a period of time until the date of expiry of the temporary residence permit granted to the sponsor, or 2) for up to 3 years, if the sponsor was granted a permanent residence permit, a long-term EU resident's permit, a refugee status, subsidiary protection or a permit for humanitarian reasons (Article 162(1a)(1-2) of the 2013 Act on foreigners).
This permit is renewable, but not automatically. An application needs to be submitted. 
Legal basis: Act on foreigners of 12 December 2013 (Journal of Laws of 2021, item 2354, as amended)
Source: Office for Foreigners (n.d.). Temporary residence permit for the purpose of family reunification: Introduction. https://www.mos.cudzoziemcy.gov.pl/en/informacje/zwiazek-mal_EN/wprowadzenie_EN
</t>
  </si>
  <si>
    <r>
      <t xml:space="preserve">Grounds for rejecting, withdrawing or refusing to renew status include (A), (B), (C) and (D).
Grounds for refusing a temporary residence permit  for the purpose of family reunification:
- it is justified by national security or defence, or by the protection of public safety and order (A), or
- in the course of the proceedings on granting him/her a temporary residence permit, the foreigner: filed an application containing false personal data or false information or attached documents containing such data or information to the application, or testified untruthfully or concealed the truth, or forged or modified a document in order to use it as an authentic one, or used such a document as an authentic one (B), or
- a foreigner does not meet the requirements for being granted a temporary residence permit due to the declared purpose of the stay or the grounds for applying for such a permit do not justify his/her stay in the territory of Poland for a period longer than 3 months, or
- </t>
    </r>
    <r>
      <rPr>
        <u/>
        <sz val="10"/>
        <rFont val="Calibri"/>
        <family val="2"/>
        <charset val="238"/>
      </rPr>
      <t>the entry of the foreigner's data into the register of foreigners whose stay in Poland is undesirable</t>
    </r>
    <r>
      <rPr>
        <sz val="10"/>
        <rFont val="Calibri"/>
        <family val="2"/>
        <charset val="238"/>
      </rPr>
      <t>, or</t>
    </r>
    <r>
      <rPr>
        <u/>
        <sz val="10"/>
        <rFont val="Calibri"/>
        <family val="2"/>
        <charset val="238"/>
      </rPr>
      <t xml:space="preserve">
- a foreigner's data are in the Schengen Information System for the purposes of refusal of entry</t>
    </r>
    <r>
      <rPr>
        <sz val="10"/>
        <rFont val="Calibri"/>
        <family val="2"/>
        <charset val="238"/>
      </rPr>
      <t>, or</t>
    </r>
    <r>
      <rPr>
        <u/>
        <sz val="10"/>
        <rFont val="Calibri"/>
        <family val="2"/>
        <charset val="238"/>
      </rPr>
      <t xml:space="preserve">
</t>
    </r>
    <r>
      <rPr>
        <sz val="10"/>
        <rFont val="Calibri"/>
        <family val="2"/>
      </rPr>
      <t xml:space="preserve">- a foreigner is subject to the treatment obligation pursuant to Article 40(1) of the Act of 5 December 2008 on the prevention and control of infections and infectious diseases in humans but does not express consent for such treatment, or
- a foreigner has filed the application during an illegal stay in the territory of Poland or is staying in this territory illegally.
(Article 164 in connection with Article 100(1)(1-5, 8-9) of the 2013 Act on foreigners).
Grounds for withdrawing a temporary residence permit  for the purpose of family reunification (the same as in the case of other temporary residence permits):
- it is justified by national security or defence, or by the protection of public safety and order (A), or
- in the course of the proceedings on granting him/her a temporary residence permit, the foreigner: filed an application containing false personal data or false information or attached documents containing such data or information to the application, or testified untruthfully or concealed the truth, or forged or modified a document in order to use it as an authentic one, or used such a document as an authentic one (B), or
- </t>
    </r>
    <r>
      <rPr>
        <u/>
        <sz val="10"/>
        <rFont val="Calibri"/>
        <family val="2"/>
        <charset val="238"/>
      </rPr>
      <t>the purpose of the stay which was the reason for granting the temporary residence permit ceased to exist (C)</t>
    </r>
    <r>
      <rPr>
        <sz val="10"/>
        <rFont val="Calibri"/>
        <family val="2"/>
      </rPr>
      <t xml:space="preserve">, or
- </t>
    </r>
    <r>
      <rPr>
        <u/>
        <sz val="10"/>
        <rFont val="Calibri"/>
        <family val="2"/>
        <charset val="238"/>
      </rPr>
      <t>the foreigner has ceased to meet the requirements for granting him/her a temporary residence permit due to the declared purpose of the stay (D)</t>
    </r>
    <r>
      <rPr>
        <sz val="10"/>
        <rFont val="Calibri"/>
        <family val="2"/>
      </rPr>
      <t xml:space="preserve">, or
- </t>
    </r>
    <r>
      <rPr>
        <u/>
        <sz val="10"/>
        <rFont val="Calibri"/>
        <family val="2"/>
        <charset val="238"/>
      </rPr>
      <t>the entry of the foreigner's data into the register of foreigners whose stay in Poland is undesirable</t>
    </r>
    <r>
      <rPr>
        <sz val="10"/>
        <rFont val="Calibri"/>
        <family val="2"/>
      </rPr>
      <t xml:space="preserve">, or
</t>
    </r>
    <r>
      <rPr>
        <u/>
        <sz val="10"/>
        <rFont val="Calibri"/>
        <family val="2"/>
        <charset val="238"/>
      </rPr>
      <t>- a foreigner is in arrears with the payment of taxes, except in cases where they have obtained the exemption provided for by law, postponement, spreading into instalments overdue payments or suspending in full the implementation of the decision of the competent authority,
- a foreigner did not reimburse the costs related to the issuance and implementation of the return decision, which were covered by the state budget, or
- a foreigner is subject to the treatment obligation pursuant to Article 40(1) of the Act of 5 December 2008 on the prevention and control of infections and infectious diseases in humans but does not express consent for such treatment</t>
    </r>
    <r>
      <rPr>
        <sz val="10"/>
        <rFont val="Calibri"/>
        <family val="2"/>
      </rPr>
      <t xml:space="preserve">.
(Article 101 in connection with Article 100(1)(2, 4-8) of the 2013 Act on foreigners)
A more limited range of prerequisites for the revocation of this permit concerns foreigners who are the spouses of a foreigner residing in Poland on the basis of a permanent residence permit or a long-term EU resident's residence permit.
(Article 166(1)(1-2) in connection with Article 101(1-2) and Article 100(1)(2, 4-5) of the 2013 Act on foreigners)
As explained on the website run by the Office for Foreigners, the ceasing of the purpose of residence may be understood as e.g. 'a situation where the granting of the permit was justified by the implementation of a specific purpose (e.g., staying married), and the foreigner does not pursue this goal (e.g., they are separated from their spouse or has divorced)'. And  the ceasing to meet the requirements for granting a temporary residence permit may be meant as e.g. 'a situation where, in order to obtain a permit, a foreigner had to prove, for example, possession of certain income, which was then reduced to a level that would not allow the grant of this permit'.
In the case of the break-up of family relationship (divorce, separation, widowhood, the death of a parent, or the death of a minor child granted refugee status or subsidiary protection), it is possible to be granted a temporary residence permit, if it is justified 'by an important interest of the foreigner' (Article 161(2)(1-3) of the 2013 Act on foreigners).
Legal basis: Act on foreigners of 12 December 2013 (Journal of Laws of 2021, item 2354, as amended)
Sources: 
1) Office for Foreigners (n.d.). Temporary residence permit for the purpose of family reunification: Decision. https://www.mos.cudzoziemcy.gov.pl/en/informacje/zwiazek-mal_EN/decyzja_EN
2) Office for Foreigners (n.d.).  Withdrawal of permit: Detailed explanation. https://www.mos.cudzoziemcy.gov.pl/en/informacje/cofniecie-zezw_EN/objasnienie_EN
3) Office for Foreigners (n.d.). Temporary residence permit for the purpose of family reunification: Introduction. https://mos.cudzoziemcy.gov.pl/en/informacje/zwiazek-mal_EN/wprowadzenie_EN
4) Agnieszka Narożniak (2017). </t>
    </r>
    <r>
      <rPr>
        <i/>
        <sz val="10"/>
        <rFont val="Calibri"/>
        <family val="2"/>
        <charset val="238"/>
      </rPr>
      <t xml:space="preserve">Rodzina w polskim prawie o cudzoziemcach. Studium administracyjnoprawne </t>
    </r>
    <r>
      <rPr>
        <sz val="10"/>
        <rFont val="Calibri"/>
        <family val="2"/>
        <charset val="238"/>
      </rPr>
      <t>[The Family in Polish Law on Foreigners. An Administrative-Legal Study]</t>
    </r>
    <r>
      <rPr>
        <sz val="10"/>
        <rFont val="Calibri"/>
        <family val="2"/>
      </rPr>
      <t>. https://repozytorium.amu.edu.pl/server/api/core/bitstreams/beeda397-a2dc-4071-9101-36601fbb58f9/content</t>
    </r>
  </si>
  <si>
    <t>Before refusal or withdrawal, the following elements are taken into account:
- the nature and stability of family ties in Poland (A),
- the period of the foreigner's stay in Poland (B),
- the existence of family, cultural and social ties with the country of origin (C),
- the interest of a minor child.
(Article 167(1-4) of the 2013 Act on foreigners)
Legal basis: Act on foreigners of 12 December 2013 (Journal of Laws of 2021, item 2354, as amended)</t>
  </si>
  <si>
    <r>
      <t xml:space="preserve">Spouses and children at age of majority can obtain an autonomous temporary residence permit if they have lived in Poland legally and continuously for at least 5 years on the basis of a temporary residence permit for the purpose of family reunification. They must also have health insurance, a source of stable and regular income sufficient to cover the costs of maintaining themselves and dependent family members, and a place of residence in Poland. Another requirement is that their spouse or parent resides in Poland on the basis of a certain residence permit, including a permanent residence permit, a long-term EU resident's residence permit, permits granted in connection with refugee status or subsidiary protection, or has resided in Poland for at least 2 years on the basis of subsequent temporary residence permits, including immediately prior to the submission of an application for a temporary residence permit for a family member on the basis of temporary residence permit granted for a period of at least 1 year. Additionally, in the case of spouses, it is important that their marriage is recognised under Polish law (Article 161(1)(1-2) of the 2013 Act on foreigners).
Spouses and children at age of majority can also apply for a long-term EU resident's residence permit after 5 years of legal and uninterrupted stay in Poland (art. 211 of the 2013 Act on foreigners of 12 December 2013). However, obtaining such a permit is subject to the submission of a certificate of Polish language proficiency at B1 level. 
In the case of the break-up of family relationship (divorce, separation, widowhood or the death of a parent), it is possible to be granted a temporary residence permit, if it is justified "by an important interest of the foreigner" (Article 161(2)(1-2) of the 2013 Act on foreigners). Examples of 'an important interest of the foreigner' may include cases of domestic violence, forced marriages or a difiicult family situation after return to the country of origin (Narożniak 2017).
Legal basis: Act on foreigners of 12 December 2013 (Journal of Laws of 2021, item 2354, as amended)
Sources: 
1) https://mos.cudzoziemcy.gov.pl/en/informacje/pob-rezydent_EN/wprowadzenie_EN
2) https://mos.cudzoziemcy.gov.pl/en/informacje/zwiazek-mal_EN/wprowadzenie_EN
3) Magdalena Kumela-Romańska (2022). </t>
    </r>
    <r>
      <rPr>
        <i/>
        <sz val="10"/>
        <rFont val="Calibri"/>
        <family val="2"/>
        <charset val="238"/>
      </rPr>
      <t>Ustawa o cudzoziemcach. Komentarz</t>
    </r>
    <r>
      <rPr>
        <sz val="10"/>
        <rFont val="Calibri"/>
        <family val="2"/>
      </rPr>
      <t xml:space="preserve"> [Act on Foreigners. Commentary]. LEX/el. 
4) Agnieszka Narożniak (2017). Rodzina w polskim prawie o cudzoziemcach. Studium administracyjnoprawne [The Family in Polish Law on Foreigners. An Administrative-Legal Study]. https://repozytorium.amu.edu.pl/server/api/core/bitstreams/beeda397-a2dc-4071-9101-36601fbb58f9/content</t>
    </r>
  </si>
  <si>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</si>
  <si>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r>
      <t xml:space="preserve">After 24 February 2022, the Ministry of Science and Higher Education launched a helpline and an email box through which, parents or guardians and pupils, as well as head teachers and teachers, could obtain information on the education of migrant children from Ukraine. A Chatbot in Polish and Ukrainian was also launched, which allowed, among other things, to obtain information related to enrolling a child in school. Ukrainians are the most numerous migrant group in Poland.
Sources:
Ministry of National Education (2022). </t>
    </r>
    <r>
      <rPr>
        <i/>
        <sz val="10"/>
        <rFont val="Calibri"/>
        <family val="2"/>
        <charset val="238"/>
      </rPr>
      <t>Chatbot informacyjny – pomoc w języku polskim i ukraińskim</t>
    </r>
    <r>
      <rPr>
        <sz val="10"/>
        <rFont val="Calibri"/>
        <family val="2"/>
      </rPr>
      <t xml:space="preserve"> [Informational Chatbot - assistance in Polish and Ukrainian]. https://www.gov.pl/web/edukacja/chatbot-informacyjny--pomoc-w-jezyku-polskim-i-ukrainskim  
Supreme Audit Office (2024). Kształcenie dzieci cudzoziemskich w polskich szkołach [Education of Foreign Children in Polish Schools]. https://www.nik.gov.pl/plik/id,28888,vp,31720.pdf</t>
    </r>
  </si>
  <si>
    <t xml:space="preserve"> The development of assistance to foreign children in Polish schools has expanded significantly, alongside the increase in immigration, especially after the outbreak of the full scale war in Ukraine in 2022. </t>
  </si>
  <si>
    <r>
      <t xml:space="preserve">Compulsory education:
Everyone has the right to education. Education up to the age of 18 is compulsory (Article 70(1-2) of the 1997 Constitution of the Republic of Poland and Article 35(1) of the Education Law). This means that all children under the age 18, regardless of their citizenship, including children of undocumented migrants, have the right to education and are requiered to receive education.
In the Polish education system, a distinction is made between a school duty and a duty of learning.
The school duty starts at the beginning of the school year in the calendar year in which the child reaches the age of 7 and continues until the end of primary school, but no longer than until the age of 18 (Article 35(2) of the 2016 Education Law).
Upon completion of primary school, a duty of learning may be fulfilled by either attending a post-primary school or vocational preparation at an employer (Article 36(9) of the 2016 Education Law). 
Foreigners who are subject to compulsory education benefit from education in public post-primary schools under the conditions applicable to Polish citizens until they reach the age of 18 or graduate from a post-primary school (Article 165(2) of the 2016 Education Law).
Pre-primary education: 
Foreign children benefit from education in public kindergartens under the conditions applicable to Polish citizens (Article 165(1) of the 2016 Education Law). A one-year of preschool preparation (so-called zerówka) is compulsory at the age of 6.
Vocational training: 
The following categories of foreigners can benefit from vocational training (public schools for adults, public upper-secondary industrial schools, public post-secondary schools, public institutions and public colleges for social services employees, as well as lifelong learning in the form of qualified vocational courses) under the conditions applicable to Polish citizens:
1) UE/EEA and Swiss citizens, as well as their family members with the right of residence or permanent residence,
2) foreigners of Polish origin within the meaning of repatriation regulations and people holding a valid Card of the Pole,
3) foreigners who have been granted a permanent residence permit or a long-term EU resident's residence permit, 
4) foreigners for whom such entitlement results from international agreements,
5) foreigners who have been granted refugee status or subsidiary protection and members of their families,
6) </t>
    </r>
    <r>
      <rPr>
        <sz val="10"/>
        <rFont val="Calibri"/>
        <family val="2"/>
        <charset val="238"/>
      </rPr>
      <t>foreigners who have been granted temporary protection in Poland,</t>
    </r>
    <r>
      <rPr>
        <sz val="10"/>
        <rFont val="Calibri"/>
        <family val="2"/>
      </rPr>
      <t xml:space="preserve">
7) foreigners who apply for international protection and members of their families,
8) foreigners with a permit for tolerated stay,
9) foreigners who have been granted a residence permit for humanitarian reasons, and members of their families,
10) foreigners who have been granted a temporary residence:
- for the purpose of family reunification,  
- for the purpose of performing work in a profession requiring high qualifications (Blue Card),
- for victims of human trafficking,
- due to other circumstances granted to a holder of a long-term EU resident's residence permit in another EU member state, and members of their families,
11) foreigners who hold a residence card with the annotation 'access to the labour market', a Schengen visa or a national visa issued in order to perform work in Poland.
(Article 165(3-4) of the 2016 Education Law)
Other foreigners may benefit from education at these schools:
1) as scholarship students receiving a scholarship awarded by the minister responsible for education,
2) as scholarship holders receiving a scholarship awarded by the body running the school or centre or by the headmaster of the school or centre,
3) on a fee-paying basis.
(Article 165(5) of the 2016 Education Law)
Universities:
Full-time studies at public universities are free of charge for Polish citizens (unlike evening and extramural studies at public universities for which fees are charged). 
All foreigners have access to higher education in Poland, but not all of them can study free of charge. The following categories of foreigners may undertake full-time studies in Polish at public universities on the same principles as Polish citizens: 
1) UE/EEA and Swiss citizens, as well as their family members residing in Poland,
2) foreigners who have been granted a permanent residence permit or a long-term EU resident's residence permit,
3) foreigners who have been granted refugee status, subsidiary protection or temporary protection,
4) foreigners holding a state certificate confirming their knowledge of Polish as a foreign language at least at C1 level,
5) holders of the valid Card of the Pole and foreigners issued a decision on the determination of Polish origin,
6) foreign spouses, ascendants or descendants of Polish citizens,
7) foreigners who have been granted a temporary residence permit:
- for the purpose of family reunification, 
- due to other circumstances granted to a holder of a long-term EU resident's residence permit in another EU member state, and members of their families,
- for the purpose of conducting scientific research,
- for the purpose of long-term mobility of a researcher,
8) foreigners staying in Poland in connection with benefiting from short-term mobility of a researcher,
9) foreigners who have been granted a national visa for the purpose of conducting scientific research or development work.
(Article 324(2) of the 2018 Law on Higher Education and Science)
Other foreigners have to pay for their studies unless they are exempted from fees on the basis of inter-university agreements, international agreements, or a decision by the rector, a minister or the director of the National Agency for Academic Exchange (NAWA) (Article 324(1) of the 2018 Law on Higher Education and Science).</t>
    </r>
    <r>
      <rPr>
        <sz val="10"/>
        <color rgb="FFFF0000"/>
        <rFont val="Calibri"/>
        <family val="2"/>
        <charset val="238"/>
      </rPr>
      <t xml:space="preserve">
</t>
    </r>
    <r>
      <rPr>
        <sz val="10"/>
        <color theme="1"/>
        <rFont val="Calibri"/>
        <family val="2"/>
        <charset val="238"/>
      </rPr>
      <t>Legal bases: 
1) Constitution of the Republic of Poland of 2 April 1997 (Journal of Laws of No. 78, item 483)
2) Education Law of 14 December 2016 (Journal of Laws of 2024, item 737)
3) Law on Higher Education and Science of 20 July 2018 (Journal of Laws of 2023, item 742, as amended)
Source: City Hall of Warsaw (n.d.). School system in Poland. https://edukacja.um.warszawa.pl/the-education-system-in-poland</t>
    </r>
  </si>
  <si>
    <t>No such measures have been implemented.
The Polish National Agency for Academic Exchange (NAWA) offers scholarships (https://nawa.gov.pl/en/students/foreign-students), information ("Ready, Study, Go! Poland" website: https://study.gov.pl/en) and summer courses of Polish language (https://nawa.gov.pl/en/the-polish-language/nawa-summer-courses) to encourage foreigners from abroad to study in Poland.</t>
  </si>
  <si>
    <r>
      <t xml:space="preserve">Written information on the educational system in migrants' languages of origin (A) is available in Poland. However, only on the MIGRANT.Info.pl website, co-financed by the Asylum, Migration and Integration Fund and run by IOM, can comprehensive information on both education at all levels be accessed in one place and in 8 languages (Polish, English, Ukrainian, Russian, Georgian, Vietnamese and Chinese). This website contains the following sections concerning education: 
General information: https://www.migrant.info.pl/en/home/education/general-information
Types of schools in Poland: https://www.migrant.info.pl/en/home/education/types-of-schools-in-poland
Important information and practical advice: https://www.migrant.info.pl/en/home/education/important-information-and-practical-advice
Higher education in Poland - basic information: https://www.migrant.info.pl/en/home/higher-education-in-poland/higher-education-in-poland-basic-information
Diploma nostrification: https://www.migrant.info.pl/en/home/higher-education-in-poland/diploma-nostrification
Study costs: https://www.migrant.info.pl/en/home/higher-education-in-poland/study-costs 
Noteworthy is a guide prepared by the Office for Foreigners on the rules for admitting foreign children to schools, recruitment deadlines, documents required, forms of support and facilitation, and fulfilment of a school duty and a duty of learning in Poland. Although it was prepared with the children of asylum seekers in mind, it contains a lot of useful information for all foreign children. It is available in 10 languages (Polish, English, Ukrainian, Russian, Belarusian, French, Spanish, Arabic, Farsi, Pashto): https://www.gov.pl/web/udsc/edukacja-dzieci-cudzoziemskich--informator
Information on the Polish education system is also available (in Polish and English) on the Eurydice website: https://eurydice.eacea.ec.europa.eu/national-education-systems/poland/overview
A lot of information on studying in Poland can be found on the 'Ready, Study, Go! Poland' website, run by the National Agency for Academic Exchange (NAWA) in cooperation with the Ministry of Science and Higher Education: https://study.gov.pl/. It is available in Polish, English and Chinese. However, it was created not with foreigners residing in Poland in mind, but to attract foreign students from abroad.
Comprehensive information on the recognition of diplomas for academic purposes, in Polish, English and Ukrainian, can be found on the website of the National Academic Exchange Agency (NAWA): https://nawa.gov.pl/en/recognition/recognition-for-academic-purposes
The Ministry of National Education provides information in English on the recognition of foreign school certificates and diplomas in Poland: https://www.gov.pl/web/edukacja/recognition-of-foreign-school-certificates-and-diplomas-in-poland
The City Hall of Warsaw has published comprehensive information on education for foreigners on its website available in 4 languages (Polish, English, Ukrainian and Russian): https://edukacja.um.warszawa.pl/education-in-warsaw
This information is also available in a more or less comprehensive form on the websites of some NGOs.
Provision of resource persons/centres for orientation of migrant pupils (B) and provision of interpretation services for families of migrant pupils (C) is only partially implemented. 
All foreigners subject to compulsory education who do not know the Polish language or know it at a level insufficient to benefit from education are entitled to assistance from a person who speaks the language of the country of origin and who is employed as a teacher's assistant by the head teacher for up to 12 months (Article 165(8) of the 2016 Education Law). In recent years, especially due to the massive influx of people displaced from Ukraine, the number of teacher's assistants employed in Polish schools has increased significantly. The main tasks of teacher's assistants are to act as interpreters, support the integration of migrant children at school, and to facilitate communication between teachers and the parents of migrant children. They provide their assistance both during school hours and at parent meetings and one-to-one meetings with the head teachers, teachers and school psychologists or pedagogues.
Interpretation services, information on the education system in Poland and assistance in contacts with schools are also provided by NGOs, especially through information points for foreigners. Such information points were also run by regional authorities, sometimes in cooperation with NGOs, as part of projects funded by the Asylum, Migration and Integration Fund.
The Ministry of Family, Labour and Social Policy plans to set up Foreigners' Integration Centres all over Poland. These centres will, among other things, provide information about access to education and help newcomers understand how the Polish school system works.
Legal basis: Education Law of 14 December 2016 (Journal of Laws of 2024, item 737)
Sources: 
1) Ministry of Family, Labour and Social Policy (n.d.). </t>
    </r>
    <r>
      <rPr>
        <i/>
        <sz val="10"/>
        <rFont val="Calibri"/>
        <family val="2"/>
        <charset val="238"/>
      </rPr>
      <t>Teacher's assistant for a foreigner's child</t>
    </r>
    <r>
      <rPr>
        <sz val="10"/>
        <rFont val="Calibri"/>
        <family val="2"/>
        <charset val="238"/>
      </rPr>
      <t xml:space="preserve">. https://psz.praca.gov.pl/rynek-pracy/bazy-danych/infodoradca/-/InfoDoradcaPlus/zawod/531201?_occupationPlusportlet_WAR_nnkportlet_backURL=https%3A%2F%2Fpsz.praca.gov.pl%2Frynek-pracy%2Fbazy-danych%2Finfodoradca%2F%3Fp_p_id%3DoccupationPlusportlet_WAR_nnkportlet%26p_p_lifecycle%3D0%26p_p_state%3Dnormal%26p_p_mode%3Dview%26p_p_col_id%3Dcolumn-1%26p_p_col_pos%3D1%26p_p_col_count%3D3&amp;_occupationPlusportlet_WAR_nnkportlet_description=about
2) Supreme Audit Office (2024). </t>
    </r>
    <r>
      <rPr>
        <i/>
        <sz val="10"/>
        <rFont val="Calibri"/>
        <family val="2"/>
        <charset val="238"/>
      </rPr>
      <t>Kształcenie dzieci cudzoziemskich w polskich szkołach</t>
    </r>
    <r>
      <rPr>
        <sz val="10"/>
        <rFont val="Calibri"/>
        <family val="2"/>
        <charset val="238"/>
      </rPr>
      <t xml:space="preserve"> [Education of Foreign Children in Polish Schools]. https://www.nik.gov.pl/plik/id,28888,vp,31720.pdf
3) European Webiste on Integration (2023). Poland: Migrant integration centre network continues to grow. https://migrant-integration.ec.europa.eu/news/poland-migrant-integration-centre-network-continues-grow_en</t>
    </r>
  </si>
  <si>
    <t>Polish law provides for language support for foreign students in compulsory education (A).
All foreigners subject to compulsory education who do not know the Polish language or know it at a level insufficient to benefit from education have the right to additional (not obligatory) free Polish language learning for up to 24 months (Article 165(7) of the 2016 Education Law). Additional Polish language classes are conducted individually or in groups for no less than 2 lesson hours per week. The total number of additional free Polish language classes and remedial classes in other subjects may not exceed 5 lesson hours per week per pupil.
They are also entitled to assistance from a person who speaks the language of the country of origin and who is employed as a teacher's assistant by the head teacher, for up to 12 months (Article 165(8) of the 2016 Education Law). 
Additionally, they may study in a preparatory unit organised by the school until the end of the school year, with the possibility of shortening this period or extending it by a maximum of 1 school year (Article 165(11, 13) of the 2016 Education Law). Foreigners studying in a preparatory unit are entitled to at least 6 hours of Polish language instruction per week. 
All details concerning the organisation of additional Polish language classes and the creation of preparatory units are regulated by the relevant regulation.
Legal bases:
1) Education Law of 14 December 2016 (Journal of Laws of 2024, item 737)
2) Regulation of the Minister of National Education of 23 August 2017 on the education of persons who are not Polish citizens and persons who are Polish citizens and who have received education in schools operating in the educational systems of other countries (Journal of Laws of of 2023, item 2301)</t>
  </si>
  <si>
    <t>The purpose of additional Polish language classes is to prepare children to participate in compulsory education classes.
The framework programme of Polish language courses, compulsory for use in preparatory units, does not include academic literacy among its aims. This programme was originally designed for refugees participating in individual integration programmes.
Legal bases:
1) Regulation of the Minister of National Education of 23 August 2017 on the education of persons who are not Polish citizens and persons who are Polish citizens and who have received education in schools operating in the educational systems of other countries (Journal of Laws of of 2023, item 2301)
2) Regulation of the Minister of National Education of 18 February 2011 on the framework programme of Polish language courses for foreigners (Journal of Laws of 2011, No. 61, item 306)</t>
  </si>
  <si>
    <r>
      <rPr>
        <sz val="10"/>
        <rFont val="Calibri"/>
        <family val="2"/>
      </rPr>
      <t xml:space="preserve">In preparatory units, the teaching of the Polish language is conducted in accordance with the curriculum developed on the basis of the framework programme of Polish language courses for foreigners set out in the relevant regulation (see below). This requirement does not apply to schools where additional Polish language lessons are provided, but not in preparatory units (A applies?).
Teachers providing Polish language classes for foreigners, both within and outside preparatory units, are not required to have any additional qualifications, or in-service training courses, in teaching Polish as a foreign language. Qualifications to teach Polish language or in early childhood education in the case of classes I-III in primary schools, are sufficient (Podkarpackie School Superintendent 2022) (B does not apply). They are also not required to speak the language of the pupils' country of origin.
The curriculum standards for teaching Polish as a second language in preparatory units are not regularly monitored. However, they may be reviewed during a school superintendent's inspection as part of their responsibility for the pedagogical supervision of schools (Article 51(1)(1) of the 2016 Education Law).
Legal bases:
1) Education Law of 14 December 2016 (Journal of Laws of 2024, item 737)
2) Regulation of the Minister of National Education of 23 August 2017 on the education of persons who are not Polish citizens and persons who are Polish citizens and who have received education in schools operating in the educational systems of other countries (Journal of Laws of 2023, item 2301)
3) Regulation of the Minister of National Education of 18 February 2011 on the framework programme of Polish language courses for foreigners (Journal of Laws of 2011, No. 61, item 306)
Source: Podkarpackie School Superintendent (2022). </t>
    </r>
    <r>
      <rPr>
        <i/>
        <sz val="10"/>
        <rFont val="Calibri"/>
        <family val="2"/>
        <charset val="238"/>
      </rPr>
      <t xml:space="preserve">Kwalifikacje nauczycieli uczących cudzoziemców języka polskiego </t>
    </r>
    <r>
      <rPr>
        <sz val="10"/>
        <rFont val="Calibri"/>
        <family val="2"/>
        <charset val="238"/>
      </rPr>
      <t>[Qualifications of teachers teaching Polish language to foreigners]. https://www.ko.rzeszow.pl/dla-dyrektora-i-nauczyciela/dla-dyrektora-i-nauczyciela-komunikaty/kwalifikacje-nauczycieli-uczacych-cudzoziemcow-jezyka-polskiego/</t>
    </r>
  </si>
  <si>
    <t>(A) and (B) apply.
(A)
All foreigners subject to compulsory education who do not know the Polish language or know it at a level insufficient to benefit from education have the right to additional remedial classes in the subjects of study, but for no longer than 12 months (Article 165(10) of the 2016 Education Law). Additional remedial classes in a given subject are conducted individually or in groups, in the form of additional lessons in that subject for 1 lesson hour a week. The total number of additional free Polish language classes and remedial classes in other subjects may not exceed 5 lesson hours per week per pupil.
They are also entitled to assistance from a person who speaks the language of the country of origin and who is employed as a teacher's assistant by the head teacher, for up to 12 months (Article 165(8) of the 2016 Education Law). 
Additionally, they may study in a preparatory unit organised by the school until the end of the school year, with the possibility of shortening this period or extending it by a maximum of one school year. If the school they attend does not run a preparatory unit, their parents can request that their child be enrolled in a preparatory unit at another school (Article 165(11-12) of the 2016 Education Law). 
All details concerning the organisation of additional remedial classes and the creation of preparatory units are regulated by the relevant regulation.
(B)
Schools receive additional funds from the educational general subvention for the education of children belonging to one of two groups: 1) pupils benefiting from additional free Polish language classes, and 2) pupils attending preparatory units. These issues are regulated by the relevant regulations on the distribution of the educational part of the general subvention for local government units. Additional funds for the education of children of people displaced from Ukraine come from the Assistance Fund (Article 150 of the 2022 Act on assistance to Ukrainian citizens in connection with the armed conflict on the territory of Ukraine).
According to the assessment of the Supreme Audit Office (2024), adequate funds for the education of foreign pupils have been ensured.
Legal bases:
1) Education Law of 14 December 2016 (Journal of Laws of 2024, item 737)
2) Act on assistance to Ukrainian citizens in connection with the armed conflict on the territory of Ukraine of 12 March 2022 (Journal of Laws of 2024, item 167, as amended)
3) Regulation of the Minister of National Education of 23 August 2017 on the education of persons who are not Polish citizens and persons who are Polish citizens and who have received education in schools operating in the educational systems of other countries (Journal of Laws of of 2023, item 2301)
4) Regulation of the Minister of Science and Education of 8 December 2023 on the distribution of the educational part of the general subvention for local government units (Journal of Laws of 2023, item 2755, as amended)
Source: Supreme Audit Office (2024). Kształcenie dzieci cudzoziemskich w polskich szkołach [Education of Foreign Children in Polish Schools]. https://www.nik.gov.pl/plik/id,28888,vp,31720.pdf</t>
  </si>
  <si>
    <t>Some aims of intercultural education are integrated throughout the core curricula. 
The following are example wordings integrated into the core curricula of various subjects, reflecting the aims of intercultural education:
- 'The pupil justifies the need to counter racial discrimination, xenophobia and other forms of intolerance in the world and provides examples of the impact of the exclusion of population groups on the social and economic life of countries' (Geography).
- 'The pupil is tolerant towards cultural, ethnic, religious, and sexual diversity' (Family Life Education / Wychowanie do Życia w Rodzinie),
- 'The pupil does not discriminate against other people because of their beliefs concerning the sphere of the Sacrum' (Ethics),
- 'The pupil reflects on the cultural diversity of Europe and the world, the valuing of cultures and intercultural dialogue, identifies and analyses moral problems concerning the issue of immigrants and refugees' (Ethics),
- 'The pupil recognises manifestations of racism, chauvinism, anti-Semitism and xenophobia; justifies the need to oppose them and presents opportunities to get involved in selected actions for equality and tolerance' (subject: Civic Studies / Wiedza o Społeczeństwie),
- 'The pupil distinguishes between tolerance and acceptance; explains how divisions in society into " insiders" and "outsiders" are formed; recognises the causes, manifestations and effects of intolerance and stigmatisation and outlines possible ways of opposing these phenomena' (subject: Civic Studies / Wiedza o Społeczeństwie),
- 'using modern foreign language classes to develop intercultural sensitivity and foster an attitude of curiosity, tolerance and openness towards other cultures' (subject: Modern Foreign Language).
Legal bases: 
1) Regulation of the Minister of National Education of on the core curriculum for pre-school education and the core curriculum for general education for primary school, including for pupils with moderate or severe intellectual disabilities, general education for an upper secondary school, general education for a special needs school and general education for a post-secondary school 14 February 2017 (Journal of Laws of 2017, item 356, as amended)
2) Regulation of the Minister of National Education on the core curriculum of general education for general secondary school, technical secondary school and upper secondary industrial school of 30 January 2018 (Journal of Laws of 2018, item 467, as amended)</t>
  </si>
  <si>
    <r>
      <rPr>
        <sz val="10"/>
        <rFont val="Calibri"/>
        <family val="2"/>
      </rPr>
      <t xml:space="preserve">There have not been any special campaigns implemented to support bringing migrants into the teacher workforce. 
However, after the outbreak of the Russian-Ukrainian war on 24 February 2022, some measures have been introduced to support Ukrainian teachers (Ukrainians are the most numerous migrant group in Poland): 
- the Ministry of Education and Science has commissioned intensive Polish language courses for Ukrainian teachers,
- the Ministry of Education and Science has recommended that universities handling the nostrification of Ukrainian citizens' diplomas to either waive or reduce the fees and to shorten the nostrification process to the minimum time necessary. Since teaching is a regulated profession, as a rule, it is necessary to have a diploma nostrified to be allowed to work as a teacher.
There are also general regulations relating to all foreigners that may facilitate their employment as teachers:
- foreigners registered at the local labour office as an unemployed person or a job seeker may have their fee charged for the nostrification procedure financed by the starosta from the Labour Fund (Article 40a of the 2004 Act on the promotion of employment and labour market institutions),
- foreigners (as Polish citizens) can work as teachers without meeting the qualification requirements (including without nostrification of their diploma), if the head of the school recognises that a foreigner has the relevant training, and it is approved by the school superintendent (Article 15 of the 2016 Education Law).
Legal bases: 
1) Education Law of 14 December 2016 (Journal of Laws of 2024, item 737)
2) Act on the promotion of employment and labour market institutions of 20 April 2004 (Journal of Laws of 2024, item 475)
Sources: 
1) Ministry of Education and Science (2022). </t>
    </r>
    <r>
      <rPr>
        <i/>
        <sz val="10"/>
        <rFont val="Calibri"/>
        <family val="2"/>
        <charset val="238"/>
      </rPr>
      <t xml:space="preserve">Nauka języka polskiego dla nauczycieli oraz pracowników oświatowych z Ukrainy – intensywny kurs Ośrodka Rozwoju Edukacji </t>
    </r>
    <r>
      <rPr>
        <sz val="10"/>
        <rFont val="Calibri"/>
        <family val="2"/>
      </rPr>
      <t xml:space="preserve">[Polish language course for teachers and educational workers from Ukraine - intensive course by the Centre for Education Development]. https://www.gov.pl/web/edukacja/nauka-jezyka-polskiego-dla-nauczycieli-oraz-pracownikow-oswiatowych-z-ukrainy--intensywny-kurs-osrodka-rozwoju-edukacji
2) Ministry of Education and Science (2022). </t>
    </r>
    <r>
      <rPr>
        <i/>
        <sz val="10"/>
        <rFont val="Calibri"/>
        <family val="2"/>
        <charset val="238"/>
      </rPr>
      <t>Informacje i rekomendacje MEiN dla jednostek systemu szkolnictwa wyższego i nauki dotyczące działań na rzecz obywateli Ukrainy i Polski w związku z wojną w Ukrainie</t>
    </r>
    <r>
      <rPr>
        <sz val="10"/>
        <rFont val="Calibri"/>
        <family val="2"/>
      </rPr>
      <t xml:space="preserve"> [Information and recommendations of the Ministry of Education and Science for the units of the system of higher education and science concerning measures for the benefit of Ukrainian and Polish citizens in connection with the war in Ukraine]. (https://www.gov.pl/attachment/4064cfb6-10af-4f54-85bd-65a55859f692
3) Labour Market Department (2022). </t>
    </r>
    <r>
      <rPr>
        <i/>
        <sz val="10"/>
        <rFont val="Calibri"/>
        <family val="2"/>
        <charset val="238"/>
      </rPr>
      <t>Finansowanie kosztów postępowania nostryfikacyjnego lub postępowania w sprawie potwierdzenia ukończenia studiów na określonym poziomie</t>
    </r>
    <r>
      <rPr>
        <sz val="10"/>
        <rFont val="Calibri"/>
        <family val="2"/>
      </rPr>
      <t xml:space="preserve"> [Financing the costs of nostrification proceedings or proceedings to confirm completion of studies at a specific level]. https://psz.praca.gov.pl/dla-bezrobotnych-i-poszukujacych-pracy/podnoszenie-kwalifikacji/nostryfikacja</t>
    </r>
  </si>
  <si>
    <t>In the official standard of training to prepare for the teaching profession issued by the minister responsible for education, there are references to diversity and intercultural education. Example wordings: 'As regards skills, the graduate can work with children with special educational needs, including children with adaptation difficulties related to migration experience, from culturally diverse backgrounds or with limited knowledge of the Polish language', 'As regards knowledge, the graduate knows and understands the issue of inclusive education and how to implement the principle of inclusion'. In the case of the pre-school and early childhood education teacher, 'As regards knowledge, the graduate knows and understands the issue of intercultural education'.
However, this standard does not require a stand-alone subject on intercultural education and the appreciation of cultural diversity. It is up to the discretion of universities that train teachers how to incorporate the standard.
Moreover, the Centre for Education Development, which aim is to 'improve the quality of education in accordance with the state education policy', offers free and voluntary trainings, seminars and workshops on how to teach pupils with migration background, especially from Ukraine (as it is the most numerous migrant group in Poland).
Legal basis: Regulation of the Minister of Science and Higher Education on of 25 July 2019 on the standard of training to prepare for the teaching profession (Journal of Laws of 2024, item 453).
Source: Consultation with representatives of the Centre for Education Development staff.</t>
  </si>
  <si>
    <t>UK citizens - on the basis of reciprocity - granted the right to vote and stand in elections for municipal councils, as well as to vote (but not to stand in elections) for mayors of municipalities, towns and cities, provided that they are included in the Central Electoral Register of the municipality (Article 10(1)(3a, 4) and Article 11(1)(5) of the 2011 Electoral Code). 
Legal bases: 
Electoral Code of 5 January 2011 (Journal of Laws of 2023, item 2408, as amended) 
Agreement between the Republic of Poland and the United Kingdom of Great Britain and Northern Ireland on the participation in certain elections by citizens of one State residing in the territory of the other State, signed in Warsaw on 29 May 2020 (Journal of Laws of 2023, item 237) - entered into force on 10 December 2022</t>
  </si>
  <si>
    <r>
      <t xml:space="preserve">EU citizens and UK citizens have the right to vote and stand in elections for municipal councils, as well as to vote (but not to stand in elections) for mayors of municipalities, towns and cities, provided that they are included in the Central Electoral Register of the municipality (Article 10(1)(3a, 4) and Article 11(1)(5) of the 2011 Electoral Code). 
Legal bases: 
Electoral Code of 5 January 2011 (Journal of Laws of 2023, item 2408, as amended) 
Agreement between the Republic of Poland and the United Kingdom of Great Britain and Northern Ireland on the participation in certain elections by citizens of one State residing in the territory of the other State, signed in Warsaw on 29 May 2020 (Journal of Laws of 2023, item 237) - entered into force on 10 December 2022
Source: Website of the Republic of Poland (n.d.). </t>
    </r>
    <r>
      <rPr>
        <i/>
        <sz val="10"/>
        <rFont val="Calibri"/>
        <family val="2"/>
        <charset val="238"/>
      </rPr>
      <t>Participating in municipal elections and elections to the European Parliament</t>
    </r>
    <r>
      <rPr>
        <sz val="10"/>
        <rFont val="Calibri"/>
        <family val="2"/>
      </rPr>
      <t>. https://www.gov.pl/web/your-europe/participating-in-municipal-elections-and-elections-to-the-european-parliament</t>
    </r>
  </si>
  <si>
    <t xml:space="preserve">Only Polish citizens over the age of 18 may be members of political parties in Poland (Article 2(1) of the 1997 Act on political parties). Even EU mobile citizens, who are entitled to vote and stand in local and European Parliament elections are not allowed to join political parties in Poland. 
The European Commission has filed a complaint with the Court of Justice of the European Union against Poland. The complaint alleges that by denying EU citizens who are not Polish citizens but reside in Poland the right to join political parties, Poland is violating provisions of the Treaty on the Functioning of the European Union by discriminating on the grounds of nationality/citizenship (see case C-814/21 - Commission v Poland () and adhésion à un parti politique, Court of Justice of the European Union: https://curia.europa.eu/juris/liste.jsf?lgrec=fr&amp;td=%3BALL&amp;language=en&amp;num=C-814/21&amp;jur=C).
Legal basis: Act on political parties 27 June 1997 (Journal of Laws of 2023, item 1215)
Source: Polish Press Agency (2024). TSUE: Polska i Czechy naruszyły prawo. Chodzi o członkostwo w partiach politycznych [CJEU: Poland and the Czech Republic have violated the law. The issue concerns membership in political parties]. https://www.pap.pl/aktualnosci/tsue-polska-i-czechy-naruszyly-prawo-chodzi-o-czlonkostwo-w-partiach-politycznych
</t>
  </si>
  <si>
    <t>Ad hoc consultations with social organisations dealing with migration issues, including migrant organisations, on draft legislation concerning migrants, as well as migration and integration policies, are conducted at national level. Public consultations are mandatory. While consultations with migrant organisations are not mandatory or binding, ministries typically consult with selected organisations. Occassionally, such consultations are extensive, as in the case of the recent amendment of the Act on assistance to Ukrainian citizens in connection with the armed conflict on the territory of Ukraine (https://www.gov.pl/web/mswia/projekt-nowelizacji-ustawy-pomocowej-trafi-do-konsultacji).
The possibility for such consultations arises from Paragraph 36 of the 2013 Rules of Procedure of the Council of Ministers. According to this provision, the authority proposing the draft law or government document, taking into account its content and other circumstances, including the importance of the project and the anticipated socio-economic impact, its degree of complexity and its urgency, may submit the project for public consultation, including referring the project to social organisations.
Looking forward, the Ministry of Family, Labour and Social Policy plans to establish a National Integration Network in 2025 as part of AMIF (Asylum, Migration and Integration Fund) project, comprising of diverse stakeholders, including migrant organisations. Additionally, the appointment of an Immigrant Integration Council is under consideration.
Legal basis: Rules of Procedure of the Council of Minister of 9 October 2013 (Official Gazette of the Republic of Poland Monitor Polski of 2022, item 348)
Source: Social Integration Department and Labour Market Department of the Ministry of Family, Labour and Social Policy.</t>
  </si>
  <si>
    <t xml:space="preserve">Examples: 
- Leaflets titled 'Working in Poland - informaton for foreigners' (https://lang-psz.praca.gov.pl/documents/9432723/9433409/Working%20in%20Poland%20-%20information%20for%20foreigners.pdf/073234ef-e863-40ff-91be-e32dfb83cb13?t=1555273959000), prepared by the Ministry of Family, Labour and Social Policy, presenting not only the rules for legal employment, but also containing warnings against improper treatment by dishonest employers, intermediaries or employment agencies. The leaflet is also available on the Public Employment Services Portal (since 2019): https://lang-psz.praca.gov.pl/en/-/10217631-podejmowanie-pracy-w-polsce-przez-obywateli-panstw-trzecich
- 6 Foreigners' Integration Centres in two provinces, Opolskie and Wielkopolskie, offer comprehensive integration support to migrants. They were established under a project conducted by the Ministry of Family, Labour and Social Policy co-financed by the Asylum Migration and Integration Fund (AMIF). The government plans to set up a network of such centres in all 16 provinces of Poland: https://migrant-integration.ec.europa.eu/news/poland-migrant-integration-centre-network-continues-grow_en
- Information points for foreigners have been established in selected provinces by Province Governor's Offices (sometimes in cooperation with NGOs) within the framework of AMIF projects. </t>
  </si>
  <si>
    <t>Not applicable.</t>
  </si>
  <si>
    <t>There are two types of residence permits  that allow TCNs to stay permanently in Poland:
- a long-term EU resident's residence permit (regulated by EU law), and 
- a permanent residence permit.
The long-term EU resident's residence permit is granted to a foreigner who has legally and uninterruptedly stayed in Poland for at least 5 years (score - 50). Not every stay in Poland is counted as part of this period (e.g. a period of stay as a posted worker)  and not every stay is counted in full (e.g. only half of the period of stay in Poland on the basis of a student visa or a temporary residence permit for the purpose of studies is counted) (Article 211(1) and Article 212(1-2) of the 2013 Act on foreigners).
In the case of a permanent residence permit, different periods of residence are required for different categories of foreigners:
- no prior residence is required for - a child of a foreigner granted a permanent residence permit or a long-term EU resident's residence permit born after granting the foreigner that permit, or during the period of validity of the temporary residence permit granted to that foreigner, or during the period of stay of that foreigner on the basis of a residence permit for humanitarian reasons or a permit for tolerated stay, or in connection with being granted a refugee status or subsidiary protection; a child of the Polish citizen; a foreigner of Polish origin or the Card of the Pole holder intending to settle down in Poland; a foreigner granted asylum in Poland (score - 100);
- 1 year - a foreigner staying in Poland on the basis of a temporary residence permit for victims of human trafficking (score - 100);
- 2 years - a foreigner married to a Polish citizen for at least 3 years staying in Poland on the basis of a temporary residence permit issued in connection with being married to this Polish citizen or in connection with obtaining refugee status, subsidiary protection or residence permit for humanitarian reasons (score - 100);
- 5 years - a foreigner granted refugee status, subsidiary protection or a residence permit for humanitarian reasons; a UK citizen working in Poland as a posted worker (score - 50);
- 10 years - a foreigner granted a permit for tolerated stay (score - 0).
(Article 195 of the 2013 Act on foreigners)
Legal basis: Act on foreigners of 12 December 2013 (Journal of Laws of 2021, item 2354, as amended)
Sources: 
1) Office for Foreigners (n.d.). Long-term EU resident's permit: Requirements. https://mos.cudzoziemcy.gov.pl/en/informacje/pob-rezydent_EN/wymogi_EN
2) Office for Foreigners (n.d.). Permanent residence permit: Requirements. https://mos.cudzoziemcy.gov.pl/en/informacje/pob-staly_EN/wymogi_EN</t>
  </si>
  <si>
    <t>In the case of the long-term EU resident's residence permit, knowledge of the Polish language is required. It can be confirmed by an official certificate of Polish language proficiency at least at the B1 level, a graduation diploma from a school in Poland, or a graduation diploma from a school or university with the Polish language of instruction abroad. This requirement does not apply to minor foreigners below 16 (Article 211(1)(3) and Article 211(3-4) of the 2013 Act on foreigners) (score -50). 
There is no language requirement in the case of the permanent residence permit (Article 195 of the 2013 Act on foreigners) (score - 100).
Legal basis: Act on foreigners of 12 December 2013 (Journal of Laws of 2021, item 2354, as amended)
Sources: 
1) Office for Foreigners (n.d.). Long-term EU resident's permit: Requirements. https://mos.cudzoziemcy.gov.pl/en/informacje/pob-rezydent_EN/wymogi_EN
2) Office for Foreigners (n.d.). Permanent residence permit: Requirements. https://mos.cudzoziemcy.gov.pl/en/informacje/pob-staly_EN/wymogi_EN</t>
  </si>
  <si>
    <t>In the case of the long-term EU resident's residence permit, a source of stable and regular income sufficient to cover the costs of maintaining themselves and any dependent family members is required (therefore, the amount of monthly income should exceed the threshold for social assistance benefits, which in 2024 was PLN 776 (approx. EUR 180) for a single person, and  PLN 600 (approx. EUR 139) for each family member) (Article 159(1)(2)(b) of the 2013 Act on foreigners). Such income should have been received monthly for a period of 3 years prior to the application (score - 50).
There is no economic resources requirement in the case of the permanent residence permit (except for some UK nationals) (Article 195 of the 2013 Act on foreigners) (score - 100).
Legal basis: Act on foreigners of 12 December 2013 (Journal of Laws of 2021, item 2354, as amended)
Sources: 
1) Office for Foreigners (n.d.). Long-term EU resident's permit: Requirements. https://mos.cudzoziemcy.gov.pl/en/informacje/pob-rezydent_EN/wymogi_EN
2) Office for Foreigners (n.d.). Permanent residence permit: Requirements. https://mos.cudzoziemcy.gov.pl/en/informacje/pob-staly_EN/wymogi_EN</t>
  </si>
  <si>
    <t>Both the long-term EU resident's residence permit and the permanent residence permit are issued for an indefinite period (Article 195(1) and Article 211(1) of the 2013 Act on foreigners). 
However, the residence card issued to those who have been granted the long-term EU resident's residence permit is valid for 5 years and the residence card issued to those who have been granted the permanent residence permit is valid for 10 years.  It means that these residence cards must to be replaced every 5 and 10 years, respectively (Article 243(1)(2-3) of the 2013 Act on foreigners).
Legal basis: Act on foreigners of 12 December 2013 (Journal of Laws of 2021, item 2354, as amended)
Source: Office for Foreigners (n.d.). https://mos.cudzoziemcy.gov.pl/en/drzewa-decyzyjne/przebywam-na-terytorium-polski-en/131</t>
  </si>
  <si>
    <t>Both the long-term EU resident's residence permit and the permanent residence permit are issued for an indefinite period. 
However, the residence card issued to those who have been granted the long-term EU resident's residence permit is valid for 5 years and the residence card issued to those who have been granted the permanent residence permit is valid for 10 years. It means that these residence cards must to be replaced every 5 and 10 years, respectively (Article 243(1)(2-3) of the 2013 Act on foreigners).
Legal basis: Act on foreigners of 12 December 2013 (Journal of Laws of 2021, item 2354, as amended)
Source: Office for Foreigners (n.d.). https://mos.cudzoziemcy.gov.pl/en/drzewa-decyzyjne/przebywam-na-terytorium-polski-en/131</t>
  </si>
  <si>
    <r>
      <t>A long-term EU resident's residence permit</t>
    </r>
    <r>
      <rPr>
        <sz val="10"/>
        <rFont val="Calibri"/>
        <family val="2"/>
      </rPr>
      <t xml:space="preserve"> may be revoked in cases where a foreigner has left the territory of the European Union for a consecutive period of </t>
    </r>
    <r>
      <rPr>
        <u/>
        <sz val="10"/>
        <rFont val="Calibri"/>
        <family val="2"/>
        <charset val="238"/>
      </rPr>
      <t>12 months</t>
    </r>
    <r>
      <rPr>
        <sz val="10"/>
        <rFont val="Calibri"/>
        <family val="2"/>
      </rPr>
      <t xml:space="preserve"> (or 24 months in the case of a foreigner who immediately before obtaining this permit had a Blue Card issued in Poland or is a family member of a foreigner who had a Blue Card) (Article 215(1)(4) of the 2013 Act on foreigners) (score - 0).
</t>
    </r>
    <r>
      <rPr>
        <i/>
        <sz val="10"/>
        <rFont val="Calibri"/>
        <family val="2"/>
        <charset val="238"/>
      </rPr>
      <t>I</t>
    </r>
    <r>
      <rPr>
        <sz val="10"/>
        <rFont val="Calibri"/>
        <family val="2"/>
      </rPr>
      <t xml:space="preserve">n the case of a </t>
    </r>
    <r>
      <rPr>
        <sz val="10"/>
        <rFont val="Calibri"/>
        <family val="2"/>
        <charset val="238"/>
      </rPr>
      <t>permanent residence permit</t>
    </r>
    <r>
      <rPr>
        <sz val="10"/>
        <rFont val="Calibri"/>
        <family val="2"/>
      </rPr>
      <t>, it may be revoked if a foreigner left the territory of Poland for a</t>
    </r>
    <r>
      <rPr>
        <u/>
        <sz val="10"/>
        <rFont val="Calibri"/>
        <family val="2"/>
        <charset val="238"/>
      </rPr>
      <t xml:space="preserve"> period exceeding 6 years</t>
    </r>
    <r>
      <rPr>
        <sz val="10"/>
        <rFont val="Calibri"/>
        <family val="2"/>
      </rPr>
      <t xml:space="preserve"> (Article 199(1)(5) of the 2013 Act on foreigners) (score - 100). There is no condition concerning leaving the territory of the European Union.
Legal basis: Act on foreigners of 12 December 2013 (Journal of Laws of 2021, item 2354, as amended)
Source: Office for Foreigners (n.d.). Withdrawal of permit: Detailed explanation. https://mos.cudzoziemcy.gov.pl/en/informacje/cofniecie-zezw_EN/objasnienie_EN</t>
    </r>
  </si>
  <si>
    <t xml:space="preserve">Foreigners staying in Poland on the basis of a permanent residence permit or a long-term EU resident's residence permit have access to social security and assistance in Poland under the same conditions as Polish citizens. The conditions for obtaining these benefits are regulated by various laws, including the 2004 Act on the promotion of employment and labour market institutions, the 1998 Act on the social insurance system, the 1998 Act on old-age pensions and disability pensions from the Social Insurance Fund, and the 1974 Labour Code, the 2003 Act on family benefits, the 2004 Act on social assistance.
Legal bases:
1) Act on the promotion of employment and labour market institutions of 20 April 2004 (Journal of Laws of 2024, item 475)
2) Act on the social insurance system of 13 October 1998 (Journal of Laws of 2024, 497)
3) Act on old age pensions and disability pensions from the Social Insurance Fund of 17 December 1998 (Journal of Laws of 2023, item 1251, as amended)
4) Labour Code of 26 June 1974 (Journal of Laws of 2023, item 1465)
5) Act on family benefits of 28 November 2003  (Journal of Laws of 2024, item 323)
6) Act on social assistance of 12 March 2004 (Journal of Laws of 2023, item 901, as amended)
</t>
  </si>
  <si>
    <r>
      <rPr>
        <sz val="10"/>
        <rFont val="Calibri"/>
        <family val="2"/>
        <charset val="238"/>
      </rPr>
      <t>Naturalisation in Poland is possible through:
1) recognition as a Polish citizen by a voivode
2) granting Polish citizenship by the President.</t>
    </r>
    <r>
      <rPr>
        <b/>
        <sz val="10"/>
        <rFont val="Calibri"/>
        <family val="2"/>
        <charset val="238"/>
      </rPr>
      <t xml:space="preserve">
Recognition as a Polish citizen by a voivode
</t>
    </r>
    <r>
      <rPr>
        <sz val="10"/>
        <rFont val="Calibri"/>
        <family val="2"/>
        <charset val="238"/>
      </rPr>
      <t>In the case of the proceedings for recognition as a Polish citizen, as a rule, the residence requirement is at least 8 years (score - 50). 
However, in the case of some categories of foreigners it is shorter or longer:
-- less than 5 years possible in the case of (score - 100): 
- a foreigner residing uninterruptedly in Poland  for at least 1 year on the basis of a permanent residence permit obtained in connection with Polish origin or possession of the Card of the Pole (no previous period of residence is required to obtain this permanent residence permit, only an intention to settle in Poland is necessary; at least 1 year of total residence), 
- a minor child of a Polish citizen residing in Poland on the basis of a permanent residence permit, a long-term EU resident's residence permit or the right of permanent residence, 
- a foreigner residing uninterruptedly in Poland for at least 3 years on the basis of a permanent residence permit for victims of human trafficking (1 year of residence is required to obtain this permanent residence permit; at least 4 years of total residence), 
- a foreigner who has been married for at least 3 years to a Polish citizen and resided uninterruptedly in Poland  for at least 2 years on the basis of a permanent residence permit, a long-term EU resident's residence permit or the right of permanent residence (2 years of residence is required to obtain this permanent residence permit; at least 4 years of total residence),
-- after &gt; 5 &lt; 10 years (score - 50): 
- a foreigner granted a refugee status in Poland residing uninterruptedly in Poland  for at least 2 years on the basis of a permanent residence permit obtained in connection with having refugee status (5 years of residence is required to obtain this permanent residence permit; at least 7 years of total residence), 
-- at least 10 years (score - 0): 
- a foreigner residing uninterruptedly and legally in Poland at least 10 years, which fulfils all of the following conditions: 1) holds a permanent residence permit, a long-term EU resident's residence permit or a right of permanent residence, 2) has a stable and regular source of income in Poland and a legal title to occupy a dwelling (at least 10 years of total residence),
- a foreigner holding a permanent residence permit issued on the basis of being granted a permit for tolerated stay (10 years of residence is required to obtain this permanent residence permit; at least 13 years of total residence).</t>
    </r>
    <r>
      <rPr>
        <b/>
        <sz val="10"/>
        <rFont val="Calibri"/>
        <family val="2"/>
        <charset val="238"/>
      </rPr>
      <t xml:space="preserve">
</t>
    </r>
    <r>
      <rPr>
        <sz val="10"/>
        <rFont val="Calibri"/>
        <family val="2"/>
        <charset val="238"/>
      </rPr>
      <t xml:space="preserve">(Article 30(1) of the 2009 Act on Polish citizenship).
</t>
    </r>
    <r>
      <rPr>
        <b/>
        <sz val="10"/>
        <rFont val="Calibri"/>
        <family val="2"/>
        <charset val="238"/>
      </rPr>
      <t xml:space="preserve">Granting Polish citizenship by the President
</t>
    </r>
    <r>
      <rPr>
        <sz val="10"/>
        <rFont val="Calibri"/>
        <family val="2"/>
        <charset val="238"/>
      </rPr>
      <t xml:space="preserve">The President, on the other hand, is not bound by any requirements when granting Polish citizenship. The President's decision  is entirely discretionary (the 2009 Act on Polish citizenship). It means that the President  may grant Polish citizenship to a person who has never lived in Poland or has only lived there for a short time (score - 100).
Legal basis: Act on Polish citizenship of 2 April 2009 (Journal of Laws of 2023, item 1989)
</t>
    </r>
    <r>
      <rPr>
        <b/>
        <sz val="10"/>
        <rFont val="Calibri"/>
        <family val="2"/>
        <charset val="238"/>
      </rPr>
      <t xml:space="preserve">
</t>
    </r>
    <r>
      <rPr>
        <sz val="10"/>
        <rFont val="Calibri"/>
        <family val="2"/>
        <charset val="238"/>
      </rPr>
      <t xml:space="preserve">Source: European Migration Network in Poland (2020). </t>
    </r>
    <r>
      <rPr>
        <i/>
        <sz val="10"/>
        <rFont val="Calibri"/>
        <family val="2"/>
        <charset val="238"/>
      </rPr>
      <t>Pathways to citizenship by third-country nationals in Poland</t>
    </r>
    <r>
      <rPr>
        <sz val="10"/>
        <rFont val="Calibri"/>
        <family val="2"/>
        <charset val="238"/>
      </rPr>
      <t>. Warsaw: Ministry of the Interior and Administration. https://www.gov.pl/attachment/d3ef48f0-45ff-4b6d-972b-249af83f8832</t>
    </r>
  </si>
  <si>
    <r>
      <t>Naturalisation
Recognising parents as Polish citizens or granting Polish citizenship to them covers a minor remaining under their parental authority. If only one of the parents acquires Polish citizenship, the other parent should submit a statement on granting consent for the minor to acquire Polish citizenship (Article 7 of the 2009 Act on Polish citizenship).
Naturalisation of immigrant children is possible through recognition as a Polish citizen by a voivode or granting Polish citizenship by a President - at the request of parents (or other legal representatives) (Article 19(2) and Article 32(1) of the 2009 Act on Polish citizenship).
A minor child of a Polish citizen residing in Poland on the basis of a permanent residence permit, a long-term EU resident's residence permit or the right of permanent residence can be recognised as a Polish citizen, if the other parent who is not a Polish citizen, has agreed to this recognition (Article 30(4-5) of the 2009 Act on Polish citizenship).</t>
    </r>
    <r>
      <rPr>
        <sz val="10"/>
        <rFont val="Calibri"/>
        <family val="2"/>
      </rPr>
      <t xml:space="preserve">
</t>
    </r>
    <r>
      <rPr>
        <sz val="10"/>
        <rFont val="Calibri"/>
        <family val="2"/>
        <charset val="238"/>
      </rPr>
      <t xml:space="preserve">Acquiring Polish citizenship by virtue of law - by birth
A minor acquires Polish citizenship by birth only if he/she was born in Poland and his/her parents are unknown, do not have any citizenship or their citizenship is undefined (Article 14(1-2) of the 2009 Act on Polish citizenship).
Legal basis: Act on Polish citizenship of 2 April 2009 (Journal of Laws of 2023, item 1989)
Source: European Migration Network in Poland (2020). </t>
    </r>
    <r>
      <rPr>
        <i/>
        <sz val="10"/>
        <rFont val="Calibri"/>
        <family val="2"/>
        <charset val="238"/>
      </rPr>
      <t>Pathways to citizenship by third-country nationals in Poland</t>
    </r>
    <r>
      <rPr>
        <sz val="10"/>
        <rFont val="Calibri"/>
        <family val="2"/>
        <charset val="238"/>
      </rPr>
      <t>. Warsaw: Ministry of the Interior and Administration. https://www.gov.pl/attachment/d3ef48f0-45ff-4b6d-972b-249af83f8832 (p. 13, 19)</t>
    </r>
  </si>
  <si>
    <r>
      <t xml:space="preserve">Recognition as a Polish citizen by a voivode
In the case of the proceedings for recognition as a Polish citizen, a foreigner is required to have a command of the Polish language confirmed by an official certificate of Polish language proficiency at least at the B1 level, a graduation diploma from a school in Poland, or a graduation diploma from a school or university with the Polish language of instruction abroad. This requirement does not apply to minor children of Polish citizens (Article 30(2) of the 2009 Act on Polish citizenship).
Granting Polish citizenship by the President
The President, on the other hand, is not bound by any requirements when granting Polish citizenship. The President's decision  is entirely discretionary. However, in the application for Polish citizenship, a foreigner should indicate his/her level of knowledge of the Polish language (Article 20(1)(6) of the 2009 Act on Polish citizenship and the model application for Polish citizenship is available at https://www.gov.pl/web/mswia-en/apply-for-polish-citizenship).
Legal basis: Act on Polish citizenship of 2 April 2009 (Journal of Laws of 2023, item 1989)
Source: European Migration Network in Poland (2020). </t>
    </r>
    <r>
      <rPr>
        <i/>
        <sz val="10"/>
        <rFont val="Calibri"/>
        <family val="2"/>
        <charset val="238"/>
      </rPr>
      <t>Pathways to citizenship by third-country nationals in Poland</t>
    </r>
    <r>
      <rPr>
        <sz val="10"/>
        <rFont val="Calibri"/>
        <family val="2"/>
        <charset val="238"/>
      </rPr>
      <t>. Warsaw: Ministry of the Interior and Administration. https://www.gov.pl/attachment/d3ef48f0-45ff-4b6d-972b-249af83f8832 (p. 9, 18, 23)</t>
    </r>
  </si>
  <si>
    <r>
      <t xml:space="preserve">Recognition as a Polish citizen by a voivode
In the case of the proceedings for recognition as a Polish citizen, a foreigner is required to have 'a stable and regular source of income'. The Act on Polish citizenship does not specify the minimum income required to obtain Polish citizenship (Article 30(1)(1) of the 2009 Act on Polish citizenship). Documents confirming the possession of such income include an employment contract, a tax declaration or a document confirming ownership of a business (score - 0).
Some categories of foreigners are exempted from the income requirement (score - 100):
- a foreigner who has been married for at least 3 years to a Polish citizen and resided uninterruptedly in Poland  for at least 2 years on the basis of a permanent residence permit, a long-term EU resident's residence permit or the right of permanent residence,
- a stateless person residing uninterruptedly in Poland  for at least 2 years on the basis of a permanent residence permit, a long-term EU resident's residence permit or the right of permanent residence,
- a foreigner granted a refugee status in Poland residing uninterruptedly in Poland  for at least 2 years on the basis of a permanent residence permit obtained in connection with having refugee status,
- a foreigner residing uninterruptedly in Poland  for at least 1 year on the basis of a permanent residence permit obtained in connection with Polish origin or possession of the Card of the Pole,
- a minor child of a Polish citizen residing in Poland on the basis of a permanent residence permit, a long-term EU resident's residence permit or the right of permanent residence, if the other parent who is not a Polish citizen has agreed to this recognition.
(Article 30(1)(2-5, 7) of the 2009 Act on Polish citizenship).
Granting Polish citizenship by the President
The President, on the other hand, is not bound by any requirements when granting Polish citizenship. The President's decision  is entirely discretionary. However, in the application for Polish citizenship, a foreigner should indicate sources of income (such as conducting a business and/or employment on the basis of an employment contract or civil law contract and/or other sources of income) and attach documents confirming these sources (Article 20(1)(5) of the 2009 Act on Polish citizenship and the model application for Polish citizenship is available at https://www.gov.pl/web/mswia-en/apply-for-polish-citizenship).
Legal basis: Act on Polish citizenship of 2 April 2009 (Journal of Laws of 2023, item 1989)
Source: European Migration Network in Poland (2020). </t>
    </r>
    <r>
      <rPr>
        <i/>
        <sz val="10"/>
        <rFont val="Calibri"/>
        <family val="2"/>
        <charset val="238"/>
      </rPr>
      <t>Pathways to citizenship by third-country nationals in Poland</t>
    </r>
    <r>
      <rPr>
        <sz val="10"/>
        <rFont val="Calibri"/>
        <family val="2"/>
        <charset val="238"/>
      </rPr>
      <t>. Warsaw: Ministry of the Interior and Administration. https://www.gov.pl/attachment/d3ef48f0-45ff-4b6d-972b-249af83f8832 (p. 17, 18)</t>
    </r>
  </si>
  <si>
    <r>
      <t xml:space="preserve">Recognition as a Polish citizen by a voivode
The criminal record is not explicitly defined in the 2009 Act on Polish citizenship. However, in the case of the proceedings for recognition as a Polish citizen, the voivode is obliged to refuse naturalisation if 'the acquisition of Polish citizenship by a foreigner constitutes a threat to the defence or security of the state or the protection of public safety and order'. To determine this, the voivode is obliged to consult the Voivodship Police Chief, the Director of the Internal Security Agency's branch office, and, if necessary, other authorities (e.g. the Border Guard or the National Criminal Register) (Article 31(2) and Article 36(2) of the 2009 Act on Polish citizenship). 
Granting Polish citizenship by the President
The President, on the other hand, is not bound by any requirements when granting Polish citizenship. The President's decision  is entirely discretionary (the 2009 Act on Polish citizenship).
Legal basis: Act on Polish citizenship of 2 April 2009 (Journal of Laws of 2023, item 1989)
Source: European Migration Network in Poland (2020). </t>
    </r>
    <r>
      <rPr>
        <i/>
        <sz val="10"/>
        <color theme="1"/>
        <rFont val="Calibri"/>
        <family val="2"/>
        <charset val="238"/>
      </rPr>
      <t>Pathways to citizenship by third-country nationals in Poland</t>
    </r>
    <r>
      <rPr>
        <sz val="10"/>
        <color theme="1"/>
        <rFont val="Calibri"/>
        <family val="2"/>
        <charset val="238"/>
      </rPr>
      <t>. Warsaw: Ministry of the Interior and Administration. https://www.gov.pl/attachment/d3ef48f0-45ff-4b6d-972b-249af83f8832 (p. 18, 23, 24)</t>
    </r>
  </si>
  <si>
    <r>
      <t xml:space="preserve">Dual citizenship is allowed in Poland. However, a Polish citizen who simultaneously holds citizenship of another state has the same rights and obligations towards Poland as a person who only has Polish citizenship (Article 3 of the 2009 Act on Polish citizenship). 
Legal basis: Act on Polish citizenship of 2 April 2009 (Journal of Laws of 2023, item 1989)
Source: European Migration Network in Poland (2020). </t>
    </r>
    <r>
      <rPr>
        <i/>
        <sz val="10"/>
        <rFont val="Calibri"/>
        <family val="2"/>
        <charset val="238"/>
      </rPr>
      <t>Pathways to citizenship by third-country nationals in Poland</t>
    </r>
    <r>
      <rPr>
        <sz val="10"/>
        <rFont val="Calibri"/>
        <family val="2"/>
      </rPr>
      <t>. Warsaw: Ministry of the Interior and Administration. https://www.gov.pl/attachment/d3ef48f0-45ff-4b6d-972b-249af83f8832 (p. 31)</t>
    </r>
  </si>
  <si>
    <t>Specialised Equality body has been established with a mandate to combat discrimination on the grounds of:                                                                  
a) race and ethnicity                                  
b) religion and belief                               
c) nationality                                                                     
Note: If there is no dedicated specialised equality body, then answer with option 3 to Q137-140 and skip to Q 141</t>
  </si>
  <si>
    <t>Art. 4 point 4d of the Implementing Act only states that the Act applies to the field of education and higher education. On the other hand, Article 7, which I have quoted, specifies the grounds on which discrimination in education is prohibited in Poland ('it is prohibited to treat individuals unequally on the grounds of race, ethnicity or nationality in (...) education and higher education'. Nationality in this provision is not synonymous with citizenship, but refers onlArt. 4 point 4d of the Implementing Act only states that the Act applies to the field of education and higher education. On the other hand, Article 7, which I have quoted, specifies the grounds on which discrimination in education is prohibited in Poland ('it is prohibited to treat individuals unequally on the grounds of race, ethnicity or nationality in (...) education and higher education'. Nationality in this provision is not synonymous with citizenship and is closer to category A.  therefore, “c” does not apply, only “a” applies, resulting in a score 0.</t>
  </si>
  <si>
    <t>Only A. Same reasons as for gb124</t>
  </si>
  <si>
    <r>
      <t xml:space="preserve">Race and ethnicity (A) and religion and belief (B).
The 2010 Act on the implementation of some regulations of European Union on equal treatment provides for the following forms of discrimination: direct discrimination, indirect discrimination, harassment, sexual harassment and instruction.
Article 1 of the 2010 Act on the implementation of some regulations of European Union regarding equal treatment enumerates the following protected grounds for discrimination:  sex, </t>
    </r>
    <r>
      <rPr>
        <u/>
        <sz val="10"/>
        <rFont val="Calibri"/>
        <family val="2"/>
        <charset val="238"/>
      </rPr>
      <t>race, ethnic origin</t>
    </r>
    <r>
      <rPr>
        <sz val="10"/>
        <rFont val="Calibri"/>
        <family val="2"/>
      </rPr>
      <t xml:space="preserve">, nationality, </t>
    </r>
    <r>
      <rPr>
        <u/>
        <sz val="10"/>
        <rFont val="Calibri"/>
        <family val="2"/>
        <charset val="238"/>
      </rPr>
      <t>religion, denomination, beliefs</t>
    </r>
    <r>
      <rPr>
        <sz val="10"/>
        <rFont val="Calibri"/>
        <family val="2"/>
      </rPr>
      <t xml:space="preserve">, disability, age and sexual orientation. Nationality in this provision is not synonymous with citizenship, but refers only to national origin.
The equal treatment provisions in the 1974 Labour Code apply to all employees regardless of their nationality/citizenship. However, the Labour Code applies only to employees, that is those 'employed on the basis of an employment contract, an appointment, an election, a nomination or a co-operative employment contract', but not on the basis of civil law contracts (and foreigners are often employed on the basis of such contracts).
Legal bases: 
1) Act on the implementation of some regulations of European Union on equal treatment of 3 December 2010 (Journal of Laws of 2023, item 970)
2) Labour Code of 26 June 1974 (Journal of Laws of 2023, item 1465)
</t>
    </r>
  </si>
  <si>
    <r>
      <t xml:space="preserve">Race and ethnicity (A) and religion and belief (B).
Article 8(1)(1-2) of the 2010 Act on the implementation of some regulations of European Union on equal treatment prohibits discrimination on grounds of sex, race, </t>
    </r>
    <r>
      <rPr>
        <u/>
        <sz val="10"/>
        <rFont val="Calibri"/>
        <family val="2"/>
        <charset val="238"/>
      </rPr>
      <t>ethnic origin, nationality</t>
    </r>
    <r>
      <rPr>
        <sz val="10"/>
        <rFont val="Calibri"/>
        <family val="2"/>
      </rPr>
      <t xml:space="preserve">, </t>
    </r>
    <r>
      <rPr>
        <u/>
        <sz val="10"/>
        <rFont val="Calibri"/>
        <family val="2"/>
        <charset val="238"/>
      </rPr>
      <t>religion, denomination, belief</t>
    </r>
    <r>
      <rPr>
        <sz val="10"/>
        <rFont val="Calibri"/>
        <family val="2"/>
      </rPr>
      <t xml:space="preserve">, disability, age or sexual orientation in vocational training and employment, 'including, but not limited to the employment relationship or work under a civil law contract'. Nationality in this provision is not synonymous with citizenship, but refers only to national origin.
The equal treatment provisions in the 1974 Labour Code apply to all employees regardless of their nationality/citizenship. However, the Labour Code applies only to employees, that is those 'employed on the basis of an employment contract, an appointment, an election, a nomination or a co-operative employment contract', but not on the basis of civil law contracts (and foreigners are often employed on the basis of such contracts).
Legal bases: 
1) Act on the implementation of some regulations of European Union on equal treatment of 3 December 2010 (Journal of Laws of 2023, item 970)
2) Labour Code of 26 June 1974 (Journal of Laws of 2023, item 1465)
</t>
    </r>
  </si>
  <si>
    <t xml:space="preserve"> (A - yes) Access to the following procedures: juridical civil, criminal and administrative.
(B - yes) Shift in burden of proof: According to Article 14 of the 2010 Act on the implementation of certain provisions of the European Union on equal treatment, 'Everyone who accuses of the violation of the principle of equal treatment, makes the fact of its violation probable. In the case the violation of the principle of equal treatment has been made probable, the person who is accused of the violation of this principle, is obliged to prove, that they have not violated this principle'. 
(C - yes) Legal entities engagement in proceedings on behalf OR in support of victims: According to Article 61(1)(5) of the 1964 Code of Civil Procedure, 'non-governmental organisations, with regard to their statutory tasks may, with the consent of the natural person expressed in writing, give rise to an action for the latter in matters of equality protection and non-discrimination'. They can also accede 'in the course of the proceedings' (Article 61)(2) of the 1964 Code of Civil Procedure)
(D - yes) Sanctions: at least a-c, e-g, h holds (cfr ELN materials and Antidiscrimination report). 
Legal bases:
Act on the implementation of certain provisions of the European Union on equal treatment of 3 December 2010 (Journal of Laws of 2023, item 970)
Code of Civil Proceedings of 17 November 1964 (Journal of Laws of 2023, item 1550, as amended)
Sources:
Commissioner for Human Rights (2013). Przeciw dyskryminacji. Poradnik Rzecznika Praw Obywatelskich [Against Discrimination. The Commissioner for Human Rights' Guide]. https://bip.brpo.gov.pl/sites/default/files/BIULETYN_RPO_Materialy_nr_78.pdf 
The Republic of Poland Service (n.d.). Równe traktowanie w administracji publicznej [Equal treatment in public administration]. https://www.gov.pl/attachment/a5b0eb67-c334-4223-a5b5-0e578ba1df73
</t>
  </si>
  <si>
    <r>
      <t xml:space="preserve">Race and ethnicity (A) and religion and belief (B).
The Commissioner for Human Rights and the Government Plenipotentiary for Equal Treatment are responsible for tasks related to the implementation of the principle of equal treatment (Article 18 of the 2010 Act on the implementation of certain provisions of the European Union on equal treatment). However, only the Commissioner for Human Rights is independent in the performance of its functions, as required by the EU anti-discrimination directives, and therefore should be treated as the sole national equal treatment body (Śmiszek 2017).
Article 1 of the 2010 Act on the implementation of some regulations of European Union regarding equal treatment enumerates the following protected grounds for discrimination:  sex, </t>
    </r>
    <r>
      <rPr>
        <u/>
        <sz val="10"/>
        <rFont val="Calibri"/>
        <family val="2"/>
        <charset val="238"/>
      </rPr>
      <t>race, ethnic origin</t>
    </r>
    <r>
      <rPr>
        <sz val="10"/>
        <rFont val="Calibri"/>
        <family val="2"/>
      </rPr>
      <t xml:space="preserve">, nationality, </t>
    </r>
    <r>
      <rPr>
        <u/>
        <sz val="10"/>
        <rFont val="Calibri"/>
        <family val="2"/>
        <charset val="238"/>
      </rPr>
      <t>religion, denomination, beliefs</t>
    </r>
    <r>
      <rPr>
        <sz val="10"/>
        <rFont val="Calibri"/>
        <family val="2"/>
      </rPr>
      <t xml:space="preserve">, disability, age and sexual orientation. Nationality in this provision is not synonymous with citizenship, but refers only to national origin. We can therefore assume that the specialised equality body in Poland has been established with a mandate to combat discrimination on the grounds of:  race and ethnicity (A) and religion and belief (B).
Legal basis: Act on the implementation of certain provisions of the European Union on equal treatment of 3 December 2010 (Journal of Laws of 2023, item 970)
Source: Karolina Kędziora, Krzysztof Śmiszek (eds) (2017). Ustawa o wdrożeniu niektórych przepisów Unii Europejskiej w zakresie równego traktowania. Komentarz [Act on the implementation of certain provisions of the European Union on equal treatment. Commentary]. LEX/el. </t>
    </r>
  </si>
  <si>
    <t>Only A applies, see Antidiscrimination report.</t>
  </si>
  <si>
    <r>
      <t xml:space="preserve">Polish law provides for the introduction of positive action measures on grounds of ethnicity, race or religion (A) and the assessment of these issues (B).
According to Article 11 of the 2010 Act on the implementation of certain provisions of the European Union on equal treatment, 'taking actions in order to prevent unequal treatment or align disadvantages related with unequal treatment, that result from one or more grounds, referred to in Article 1, shall not constitute breach of the principle of equal treatment'. The grounds referred to in Article 1 include race, ethnicity and religion.
According to Article 18 </t>
    </r>
    <r>
      <rPr>
        <vertAlign val="superscript"/>
        <sz val="10"/>
        <rFont val="Calibri"/>
        <family val="2"/>
        <charset val="238"/>
      </rPr>
      <t>3b</t>
    </r>
    <r>
      <rPr>
        <sz val="10"/>
        <rFont val="Calibri"/>
        <family val="2"/>
      </rPr>
      <t xml:space="preserve">(3) of the 1974 Labour Code, 'the principle of equal treatment in employment is not violated by conduct undertaken for a certain period of time, aimed at creating equal opportunities for all or a considerable number of employees distinguished by one or more grounds referred to in Article 18 </t>
    </r>
    <r>
      <rPr>
        <vertAlign val="superscript"/>
        <sz val="10"/>
        <rFont val="Calibri"/>
        <family val="2"/>
        <charset val="238"/>
      </rPr>
      <t>3a</t>
    </r>
    <r>
      <rPr>
        <sz val="10"/>
        <rFont val="Calibri"/>
        <family val="2"/>
      </rPr>
      <t xml:space="preserve">(1), by reducing the actual inequalities for an advantage of such employees to the extent determined in that provision'. The grounds referred to in 18 </t>
    </r>
    <r>
      <rPr>
        <vertAlign val="superscript"/>
        <sz val="10"/>
        <rFont val="Calibri"/>
        <family val="2"/>
        <charset val="238"/>
      </rPr>
      <t>3a</t>
    </r>
    <r>
      <rPr>
        <sz val="10"/>
        <rFont val="Calibri"/>
        <family val="2"/>
      </rPr>
      <t>(1) include race, ethnicity and religion.
The Commissioner for Human Rights is required to: 1) promote, analyse, monitor and support the equal treatment of all persons; 2) conduct independent research on discrimination; 3) develop and issue independent reports and making recommendations on discrimination problems (Article 17b of the 1987  Act on the Commissioner for Human Rights).
Moreover, one of the tasks of the Government Plenipotentiary for Equal Treatment is to carry out analyses and evaluations of legal solutions in terms of respecting the principle of equal treatment (Article 21(2)(2) of the 2010 Act on the implementation of certain provisions of the European Union on equal treatment).
Legal bases: 
1) Act on the implementation of certain provisions of the European Union on equal treatment of 3 December 2010 (Journal of Laws of 2023, item 970)
2) Labour Code of 26 June 1974 (Journal of Laws of 2023, item 1465)
3) Act on the Commissioner for Human Rights of 15 July 1987 (Journal of Laws of 2023, item 1058)</t>
    </r>
  </si>
  <si>
    <t xml:space="preserve">Information for migrants concerning health education and promotion </t>
  </si>
  <si>
    <t>Funding bodies have in the past five years supported research on the following topics: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t>
  </si>
  <si>
    <r>
      <t xml:space="preserve">In 2020, leaflets in several languages (including English, Russian, Ukrainian, and Chinese) were prepared by the Ministry of Health, offering guidance on protecting oneself from COVID-19 and providing information on healthcare institutions to contact if COVID-19 symptoms are suspected. These materials were distributed to foreigners in their places of residence and workplaces. 
The Ministry of Health also prepared posters in several languages (English, German, Russiam, Ukrainian and Vietnamese) about how to prevent COVID-19 infection and what to do if infected. 
Sources: 
1) European Website on Integration: https://migrant-integration.ec.europa.eu/news/polish-doctors-call-government-better-inform-foreigners-about-free-coronavirus-treatment_en
2) Ministry of Health (2020). </t>
    </r>
    <r>
      <rPr>
        <i/>
        <sz val="10"/>
        <rFont val="Calibri"/>
        <family val="2"/>
        <charset val="238"/>
      </rPr>
      <t>Koronawirus - informacje i zalecenia</t>
    </r>
    <r>
      <rPr>
        <sz val="10"/>
        <rFont val="Calibri"/>
        <family val="2"/>
      </rPr>
      <t xml:space="preserve"> [Coronavirus - information and recommendations]. https://www.gov.pl/web/koronawirus/do-pobrania</t>
    </r>
  </si>
  <si>
    <r>
      <t xml:space="preserve">In 2020, the Ministry of Health prepared posters in several languages about how to prevent COVID-19 infection and what to do if infected.
Source: Ministry of Health (2020). </t>
    </r>
    <r>
      <rPr>
        <i/>
        <sz val="10"/>
        <rFont val="Calibri"/>
        <family val="2"/>
        <charset val="238"/>
      </rPr>
      <t>Koronawirus - informacje i zalecenia</t>
    </r>
    <r>
      <rPr>
        <sz val="10"/>
        <rFont val="Calibri"/>
        <family val="2"/>
      </rPr>
      <t xml:space="preserve"> [Coronavirus - information and recommendations]. https://www.gov.pl/web/koronawirus/do-pobrania</t>
    </r>
  </si>
  <si>
    <r>
      <t>Identified research projects include: 
Heinrich Böll Foundation - '</t>
    </r>
    <r>
      <rPr>
        <i/>
        <sz val="10"/>
        <rFont val="Calibri"/>
        <family val="2"/>
        <charset val="238"/>
      </rPr>
      <t>Sytuacja ukraińskich migrantek w Polsce w czasie COVID-19</t>
    </r>
    <r>
      <rPr>
        <sz val="10"/>
        <rFont val="Calibri"/>
        <family val="2"/>
      </rPr>
      <t>' [The situation of Ukrainian migrant women in Poland during Covid-19' (including access to health care)] (2020-2021) - (C)</t>
    </r>
  </si>
  <si>
    <r>
      <t>Identified research projects include:
Heinrich Böll Foundation - '</t>
    </r>
    <r>
      <rPr>
        <i/>
        <sz val="10"/>
        <rFont val="Calibri"/>
        <family val="2"/>
        <charset val="238"/>
      </rPr>
      <t>Sytuacja ukraińskich migrantek w Polsce w czasie COVID-19</t>
    </r>
    <r>
      <rPr>
        <sz val="10"/>
        <rFont val="Calibri"/>
        <family val="2"/>
      </rPr>
      <t>' [The situation of Ukrainian migrant women in Poland during Covid-19' (including access to health care)] (2020-2021) - (C)
Active Citizens - Fund National - '</t>
    </r>
    <r>
      <rPr>
        <i/>
        <sz val="10"/>
        <rFont val="Calibri"/>
        <family val="2"/>
        <charset val="238"/>
      </rPr>
      <t xml:space="preserve">Równy dostęp cudzoziemców do usług publicznych: Warszawa' </t>
    </r>
    <r>
      <rPr>
        <sz val="10"/>
        <rFont val="Calibri"/>
        <family val="2"/>
        <charset val="238"/>
      </rPr>
      <t>[Equal access to public services for foreigners: Warsaw (including health care)] (2021-2023) - (C)
European Commission (Erasmus + KA2) - 'HealthMi – Health Care Professional Guidance for Migrants' (2021-2023) - (C)</t>
    </r>
    <r>
      <rPr>
        <sz val="10"/>
        <rFont val="Calibri"/>
        <family val="2"/>
      </rPr>
      <t xml:space="preserve">
</t>
    </r>
  </si>
  <si>
    <t xml:space="preserve">Identified research projects include:
Statistics Poland, WHO - 'Health of refugees from Ukraine in Poland 2022' (2022-2023) (research report: https://stat.gov.pl/wydarzenia/wydarzenia-miedzynarodowe/health-of-refugees-from-ukraine-in-poland-2022-survey-findings,7,1.html) - (A), (C)
Active Citizens - Fund National - 'Równy dostęp cudzoziemców do usług publicznych: Warszawa' (w tym do służby zdrowia) [Equal access to public services for foreigners: Warsaw (including health care)] (2021-2023) - (C)
European Commission (Erasmus + KA2) - 'HealthMi – Health Care Professional Guidance for Migrants' (2021-2023) - (C)
</t>
  </si>
  <si>
    <t>Foreigners can use public health services free of charge in Poland if they are insured - either obligatorily or voluntarily - with the National Health Fund (NFZ) . 
Foreigners are obligatorily covered by health insurance if, in particular, they work in Poland (health insurance contributions are paid by their employer), are self-employed or are registered as unemployed with the local labour office.
Most foreigners legally residing in Poland, who are not obligatorily covered by health insurance, can voluntarily insure themselves in Poland (e.g. foreign students). The exceptions include, among others, foreigners employed  in foreign embassies and consulates (unless otherwise provided for in international agreements).
Members of the immediate family (spouses, children, parents, grandparents) of foreigners covered by health insurance may be covered by this insurance if they are not otherwise covered. 
Legal basis: Act on health care services financed from public funds of 27 August 2004 (Journal of Laws of 2024, item 146)</t>
  </si>
  <si>
    <t>The entitlement of a legal migrant to free public health services is determined by their health insurance status, which is recorded in the databases of medical facilities. It is not difficult to establish entitlement to these services.
Potential problems related to the discretion in defining emergency situations and making decisions about dispatching an ambulance when there are doubts about a foreigner's health insurance; the potential shortening of a hospital stay for a non-insured legal migrant for non-medical reasons, due to fears of non-reimbursement of medical costs.
Source: Maria Strzemieczna (2020). Publiczny system opieki zdrowotnej wobec cudzoziemców: badania na terenie województwa mazowieckiego [Public health care system and foreigners: research in the Mazovia Province]. Warsaw Medical University, unpublished PhD thesis. https://open.icm.edu.pl/server/api/core/bitstreams/76443c80-46be-4e9c-a63a-1cf4e92b6a51/content</t>
  </si>
  <si>
    <r>
      <t xml:space="preserve">Asylum-seekers are not covered by health insurance in Poland. Medical care is provided to them by the Office for Foreigners through contracted providers (currently, through the company Petra Medica Sp. z o.o.). Asylum seekers' entitlement to medical services does not depend on whether they live in or outside a refugee centre. They only need to register with the Social Assistance Department of the Office for Foreigners. 
Asylum-seekers are entitled to the same free medical care as those covered by health insurance, with the exception of sanatorium treatment and sanatorium rehabilitation. The difference is that, unlike people covered by health insurance, they do not have the option of choosing a general practitioner or a specialist. 
In addition, after submitting an application for international protection, asylum-seekers undergo diagnostic tests as part of the epidemiological filter in the reception centres (medical interview, blood test, chest X-ray). These are aimed at early detection, diagnosis and referral for treatment of infectious diseases, including tuberculosis, and venereal and parasitic diseases.
Legal basis: Act on granting protection to foreigners within the territory of the Republic of Poland (Journal of Laws of 2023, item 1504)
Sources: 
1) Maria Strzemieczna, Jacek Imiela (2017). Cudzoziemcy jako pacjenci w polskim systemie opieki zdrowotnej - sytuacja prawna [Foreigners as patients in the Polish health care system - legal situation]. </t>
    </r>
    <r>
      <rPr>
        <i/>
        <sz val="10"/>
        <rFont val="Calibri"/>
        <family val="2"/>
        <charset val="238"/>
      </rPr>
      <t xml:space="preserve">Polityka Społeczna </t>
    </r>
    <r>
      <rPr>
        <sz val="10"/>
        <rFont val="Calibri"/>
        <family val="2"/>
        <charset val="238"/>
      </rPr>
      <t>11-12: 17-23. https://polityka-spoleczna.ipiss.com.pl/resources/html/article/details?id=201650&amp;language=pl
2) Office for Foreigners (n.d.). First Steps in Poland. https://www.gov.pl/web/udsc-en/first-steps-in-poland</t>
    </r>
  </si>
  <si>
    <t>Neither</t>
  </si>
  <si>
    <r>
      <t xml:space="preserve">Undocumented migrants have no right to use public health services free of charge in Poland. However, there are a few exceptions provided by law:
- assistance provided in life-threatening emergencies by the ambulance teams,
- treatment of the mentally ill and mentally handicapped,
- treatment of alcohol and drug addicts,
- treatment of selected infectious diseases covered by compulsory treatment,
- health services for persons in prisons, detention centres and guarded centres.
In case of emergency, medical care should be offered unconditionally. This stems from legislation that obliges doctors and medical institutions to provide assistance to anyone whose life or health is threatened. However, the patient can be charged afterward (with the exception of assistance provided by ambulance teams).
Legal basis:
1) Article 46(1) of the Act on the National Medical Emergency Service of 8 September 2006 (Journal of Laws of 2024, item 652)
2) Article 10 of the Act on the protection of mental health of 19 August 1994 (Journal of Laws of 2022, item 2123 as amended)
3) Article 21(3) of the Act on upbringing in sobriety and counteracting alcoholism of 26 October 1982  (Journal of Laws of 2023, item 2151)
4) Act on the prevention and control of infections and communicable diseases in humans of 5 December 2008 (Journal of Laws of 2023. item 1284, as amended)
5) Article 102(1) and 115(1) of the Executive Penal Code of 6 June 1997 (Journal of Laws of 2024, item 706)
6) Article 415(1)(5) of the Act on foreigners of 12 December 2013 (Journal of Laws of 2021, item 2354, as amended)
7) Article 30 of the Act on the profession of doctor and dentist of 5 December 1996 (Journal of Laws of 1997, No. 28, item 152, as amended)
8) Article 15 of the Act on medical activity of 15 April 2011 (Journal of Laws of 2023, item 991, as amended)
Sources:
1) Maria Strzemieczna, Jacek Imiela (2017). Cudzoziemcy jako pacjenci w polskim systemie opieki zdrowotnej - sytuacja prawna [Foreigners as patients in the Polish health care system - legal situation]. </t>
    </r>
    <r>
      <rPr>
        <i/>
        <sz val="10"/>
        <rFont val="Calibri"/>
        <family val="2"/>
        <charset val="238"/>
      </rPr>
      <t>Polityka Społeczna</t>
    </r>
    <r>
      <rPr>
        <sz val="10"/>
        <rFont val="Calibri"/>
        <family val="2"/>
      </rPr>
      <t xml:space="preserve"> 11-12: 17-23. https://polityka-spoleczna.ipiss.com.pl/resources/html/article/details?id=201650&amp;language=pl
2) Krzysztof Maśliński (2011). Prawne regulacje w zakresie dostępu do ochrony zdrowia nieudokumentowanych migrantów i cudzoziemców ubiegających się o ochronę międzynarodową w Polsce [Legal regulations on access to health care for undocumented migrants and foreigners applying for international protection in Poland]. In: Aleksandra Chrzanowska, Witold Klaus (eds), </t>
    </r>
    <r>
      <rPr>
        <i/>
        <sz val="10"/>
        <rFont val="Calibri"/>
        <family val="2"/>
        <charset val="238"/>
      </rPr>
      <t>Poza systemem. Dostęp do ochrony zdrowia nieudokumentowanych migrantów i cudzoziemców ubiegających się o ochronę międzynarodowa w Polsce</t>
    </r>
    <r>
      <rPr>
        <sz val="10"/>
        <rFont val="Calibri"/>
        <family val="2"/>
      </rPr>
      <t>. Warsaw: Association for Legal Intervention.</t>
    </r>
  </si>
  <si>
    <r>
      <t xml:space="preserve">(B) - Potential problems related to the discretion in defining emergency situations and making decisions about dispatching an ambulance when there are doubts about a foreigner's health insurance; the potential shortening of a hospital stay for an undocumented migrant for non-medical reasons, due to fears of non-reimbursement of medical costs.
Source: Maria Strzemieczna (2020). </t>
    </r>
    <r>
      <rPr>
        <i/>
        <sz val="10"/>
        <rFont val="Calibri"/>
        <family val="2"/>
        <charset val="238"/>
      </rPr>
      <t>Publiczny system opieki zdrowotnej wobec cudzoziemców: badania na terenie województwa mazowieckiego</t>
    </r>
    <r>
      <rPr>
        <sz val="10"/>
        <rFont val="Calibri"/>
        <family val="2"/>
      </rPr>
      <t xml:space="preserve"> [Public health care system and foreigners: research in the Mazovia Province]. Warsaw Medical University, unpublished PhD thesis. https://open.icm.edu.pl/server/api/core/bitstreams/76443c80-46be-4e9c-a63a-1cf4e92b6a51/content</t>
    </r>
  </si>
  <si>
    <r>
      <t xml:space="preserve">Asylum seekers (A) and legal migrants (B). 
Migrants applying for international protection are informed about the medical care provided by the Office for Foreigners (e.g. 'First steps in Poland. Information brochure for Foreigners': https://www.gov.pl/web/udsc/pierwsze-kroki-w-polsce) and are obliged to sign a declaration that they have familiarised with the rules on the use of medical care. 
Information on access to healthcare for migrants is available on the MigrantInfo.pl website run by IOM, which is available in 8 languages (Polish, English, Ukrainian, Russian, Georgian, Vietnamese and Chinese): https://www.migrant.info.pl/en/home/health 
The website of the National Health Fund has a subpage in Ukrainian with information for patients from Ukraine, the largest group of migrants in Poland: https://www.nfz.gov.pl/dla-pacjenta/dla-pacjenta-z-ukrainy/
Moreover, the National Health Fund operates a free 24-hour telephone hotline Patient Information Service, which is available in Polish, English, Ukrainian and Russian. It is also possible to chat with a hotline consultant in Polish and English: https://www.nfz.gov.pl/kontakt/telefoniczna-informacja-pacjenta/
According to monitoring by the Association for Legal Intervention, undocumented immigrants in detention centres are informed about the medical care to which they are entitled.
Sources:
Jacek Białas, Witold Klaus (2014). </t>
    </r>
    <r>
      <rPr>
        <i/>
        <sz val="10"/>
        <rFont val="Calibri"/>
        <family val="2"/>
        <charset val="238"/>
      </rPr>
      <t>Wciąż za kratami. Raport z monitoringu strzeżonych ośrodków dla cudzoziemców przeprowadzonego przez Helsińską Fundację Praw Człowieka i Stowarzyszenie Interwencji Prawnej</t>
    </r>
    <r>
      <rPr>
        <sz val="10"/>
        <rFont val="Calibri"/>
        <family val="2"/>
      </rPr>
      <t>. Warsaw: Helsinki Foundation for Human Rights. https://interwencjaprawna.pl/wp-content/uploads/wciaz-za-kratami.pdf
National Health Fund: https://www.nfz.gov.pl/kontakt/telefoniczna-informacja-pacjenta/</t>
    </r>
  </si>
  <si>
    <t>Asylum seekers (B) obtain information concerning health education and promotion through projects conducted by NGOs as well as during individual medical visits.
In addition, all foreigners covered by the national health insurance are targeted by general health education and promotion campaigns (usually in Polish), although these are usually not specifically targeted at foreigners. They can also receive such information during medical visits or within the framewok of projects conducted by NGOs (e.g. 'Perinatal support for migrant women': https://forummigracyjne.org/projekt/perinatal-support-for-pregnant-women-local-response-to-the-refugee-crisis-in-warsaw-and-the-metropolitan-region; 'I am a Mom in Poland': https://forummigracyjne.org/projekt/i-am-a-mom-in-poland).
Source: Consultation with the a member of the Office for Foreigners staff.</t>
  </si>
  <si>
    <r>
      <t xml:space="preserve">In the case of asylum seekers, the health provider contracted by the Office for Foreigners should ensure interpretation services during the provision of healthcare if there are communication problems.
In Poland, there are no regulations for communication with foreign-language patients. However, until the end of 2023 the accreditation standards for hospitals specified that 'PP18: The hospital shall provide the possibility to communicate with foreign-language patients', meaning that 'the mode and manner of communication with foreign-language patients 24 hours a day' should be specified, as well as the 'person responsible for implementing such communication'. These standards were not mandatory, but the scoring depended on how the standard was met. A hospital received 5 points for providing communication in several foreign languages, 3 points for providing communication in English, and 0 points for not providing such a possibility. There was no such standard in the accreditation for outpatient clinics. New accreditation standards are currently being developed.
In 2016, the Supreme Medical Chamber has prepared dictionaries with basic phrases and words for communicating with foreign-language patients, and medical history sheets in English, German, French, Spanish, Italian, Polish, Portuguese, Russian and Ukrainian. They are available at https://nil.org.pl/aktualnosci/843-wielojezyczny-wywiad-lekarski
Due to the mass influx of people displaced from Ukraine after the outbreak of the Russian-Ukrainian war in 2022, representatives of the medical professions gained, temporarily, facilitated access to the Polish labour market. Doctors, dentists, nurses and midwives can be employed in health care institutions without the need for nostrification of their diplomas and knowledge of the Polish language, provided that they inform the Minister of Health within 7 days of starting work. Psychologists from Ukraine have also been given the opportunity to provide psychological services, including psychiatric care and addiction treatment, to Ukrainian citizens living in Poland without the nostrification of the diploma obtained in Ukraine (Article 61, 64 and 64a of the 2012 Act on assistance to Ukrainian citizens). This greatly facilitates communication with Ukrainian patients, especially those who do not speak Polish. Ukrainians constitute the most numerous migrant group in Poland.
Legal bases: 
1) Announcement of the Minister of Health of  18 January 2010 on the accreditation standards for the provision of health services and the functioning of hospitals (Official Journal of the Minister of Health of 2010, No. 2, item 24) (repealed on 1 January 2024)
2) Act on assistance to Ukrainian citizens in connection with the armed conflict on the territory of Ukraine of 12 March 2022 (Journal of Laws of 2024, item 167, as amended)
Sources: 
1) Office for Foreigners (n.d.). </t>
    </r>
    <r>
      <rPr>
        <i/>
        <sz val="10"/>
        <rFont val="Calibri"/>
        <family val="2"/>
        <charset val="238"/>
      </rPr>
      <t>First steps in Poland. Information brochure for Foreigner</t>
    </r>
    <r>
      <rPr>
        <sz val="10"/>
        <rFont val="Calibri"/>
        <family val="2"/>
      </rPr>
      <t xml:space="preserve">. https://www.gov.pl/web/udsc/pierwsze-kroki-w-polsce (p. 25)
2) Maria Strzemieczna (2020). Publiczny system opieki zdrowotnej wobec cudzoziemców: badania na terenie województwa mazowieckiego [Public health care system and foreigners: research in the Mazovia Province]. Warsaw Medical University, unpublished PhD thesis. https://open.icm.edu.pl/server/api/core/bitstreams/76443c80-46be-4e9c-a63a-1cf4e92b6a51/content
3) Adam Twarowski (2024). </t>
    </r>
    <r>
      <rPr>
        <i/>
        <sz val="10"/>
        <rFont val="Calibri"/>
        <family val="2"/>
        <charset val="238"/>
      </rPr>
      <t>Ustawa o jakości w opiece zdrowotnej i bezpieczeństwo pacjenta. Komentarz</t>
    </r>
    <r>
      <rPr>
        <sz val="10"/>
        <rFont val="Calibri"/>
        <family val="2"/>
      </rPr>
      <t xml:space="preserve"> [Act on the Healthcare Quality and Patient Safety. Commentary]. Lex/el.</t>
    </r>
  </si>
  <si>
    <t>Not identified.</t>
  </si>
  <si>
    <r>
      <t xml:space="preserve">Increased interest in the topic of migrant health following the mass influx of refugees from Ukraine. Identified research projects include: 
</t>
    </r>
    <r>
      <rPr>
        <sz val="10"/>
        <rFont val="Calibri"/>
        <family val="2"/>
        <charset val="238"/>
      </rPr>
      <t>Statistics Poland, WHO - Research on the health of Ukrainian refugees and data innovation - within the framework of this project the survey results, administrative data and large datasets were integrated to obtain reliable estimates of the health of refugees and migrants in Poland (2024) - (A), (C)</t>
    </r>
    <r>
      <rPr>
        <sz val="10"/>
        <rFont val="Calibri"/>
        <family val="2"/>
      </rPr>
      <t xml:space="preserve">
National Science Centre - 'Intersecjonalność migracji i niepełnosprawności we współczesnej Polsce' [Intersectionality of migration and disability in contemporary Poland] (2023-ongoing) - (A)
National Science Centre - 'Koncepcja obciążenia allostatycznego jako próba zrozumienia biologicznych i psychopatologicznych konsekwencji kryzysu uchodźczego' [The concept of allostatic load as an attempt to understand the biological and psychopathological consequences of the refugee crisis] (2023-ongoing) - (B)</t>
    </r>
  </si>
  <si>
    <t>No systematic attention.
Standard.</t>
  </si>
  <si>
    <t xml:space="preserve">Law No. 2/2020 of 31/03
Article 185.º - Suspension of the definition of a global quota for the purpose of granting a residence permit for the exercise of a subordinate professional activity
</t>
  </si>
  <si>
    <t>In 2019 was developed the electronic application, MySuperior, which, with data from the Directorate-General for Higher Education, allows, in a single place and through mobile devices, to aggregate data and notifications of Higher Education Scholarships, requested by students on the platform BeOn, as well as applicants for recognition of foreign academic degrees and higher education diplomas, through the Recon platform, consultation of the case number, the higher education entity/institution responsible for its analysis and the status of the case.</t>
  </si>
  <si>
    <t>A + B covered to a certain degree
Examples: 
PEI program ("Promotion of Immigrant Entrepreneurship") that supports the creation of new businesses, and develop personal, social and business management skills. 
There is also the professional integration program for immigrant doctors (see Ordinance No. 925/2008, of 18/8), which aims to support immigrant medical graduates (from the EU or from other countries), but who have obtained a degree outside the EU in countries with which Portugal has no recognition agreements.
Published Ordinance No. 183/2020, of August 5, which creates the Portuguese Language of Reception (PLA) courses, increasing and making the offer more flexible, a more adjusted response to the needs of learning the Portuguese language of migrants. They introduced important changes such as increasing the training offer, involving civil society and making the number of students per group more flexible. Between 2021-2022, more than a thousand training actions have already been created, involving more than 19 thousand participants.
Other examples:
ACM, Programs for Support to Entrepreneurship (know more here: https://www.acm.gov.pt/empreender/programas-de-apoio-ao-empreendedor); 
Office to Active Migrants in Portugal (GAEM - https://www.acm.gov.pt/-/gabinete-de-apoio-ao-empreendedor-migrante);
GIP - Immigrant Job Centres Network ( https://www.acm.gov.pt/-/o-que-sao-os-gabinetes-de-insercao-profissional-) - Since 2020, there has been an expansion of the GIP Immigrant Network - Professional Insertion Offices, making a total of 23 GIPs, in 2022, distributed throughout the national territory. The current GIP Immigrant network carried out more than 15,000 visits to more than 7,000 users and has a service management system that allows the collection of information on the characteristics of migrants, with a view to better understanding their needs and profiles, to better formulate responses of intervention to identified deficiencies.
IEFP offers individual assistance and training sessions on job search techniques, equivalence procedures, search and referrals to vocational training and volunteering opportunities, etc; it provides access to (a) modular training at basic education level (available in Portuguese at: https://goo.gl/aCPTXi); (b) training in basic skills (reading, writing, calculation and information and communication technologies) and (c) Education and Training Courses for Adults (available in Portuguese at: https://bit.ly/2HCey7a) with equivalence to the 4th or 6th year of basic education or a professional certificate. Neither modular training nor training in basic skills entail an academic certification. 
IEFP also has some employability support measures like the Measure for Professional Internships (Medida Estágios Profissionais, available in Portuguese at: https://bit.ly/2qryv5n)  that provides for 9 month paid internships without requiring prior equivalence procedures or academic diplomas; and the Measure Employment Contract (Medida Contrato Emprego- Apoios à Contratação, available in Portuguese at: https://bit.ly/2YfGp26) that provides financial incentives to employers which recruit employees for 12 months or longer under the obligation to provide them with vocational training. 
JRS also offers a robust employability programme in partnership with private sponsors as well as personal skills training and vocational training in areas such as food retail, domestic services, geriatric care, food and beverage, hostelries or child care (Projecto Integra +, https://bit.ly/2MXK6EE).  See: https://www.jrsportugal.pt/projetos/
Gabinete Especializado de Apoio à Empregabilidade 
Project Refujobs (https://www.refujobs.acm.gov.pt/en/)</t>
  </si>
  <si>
    <t>In January 2020, the new model for assigning Social Security Identification Numbers - NISS na Hora, came into force allowing citizens with an employment contract to start their regularization process. Since then, more than 109,000 citizens have acceded to this measure.
Examples of Support:
Operational Support Program for the Most Deprived People - Mapping of the needs of immigrants. It is estimated that more than 10,000 immigrant citizens were covered by the program in the first half of 2020.
The extraordinary measures and support created by the Government within the scope of social protection ensured direct support to 153 thousand foreign citizens in 2020 and 146 thousand in 2021, in measures such as access to the layoff.</t>
  </si>
  <si>
    <t>JRS Portugal - Projeto Ctrl+Alt+Emprego</t>
  </si>
  <si>
    <t>Law No. 12/2022 of 27/06
Article 154.º - Suspension of setting a global quota for the purposes of granting a residence permit for the exercise of a subordinate professional activity. 
On August 25, 2022, was approved the Law nº 18/2022  - New regulations make it possible to streamline, reduce bureaucracy and make the procedures for applying for visas and residence permits more flexible. The law strengthens the portuguese policy to attract and retain immigrants
1 — This law creates conditions for the implementation of the Agreement on Mobility between the member states of the Community of Portuguese Speaking Countries, signed in Luanda on July 17, 2021.
2 — This law also proceeds with: a) The ninth amendment to Law No. 23/2007, of 04/07, which approves the legal regime for the entry, stay, exit and removal of foreigners into and out of national territory; b) The second amendment to Law No. 27/2008, of 30/06, which establishes the conditions and procedures for granting asylum or subsidiary protection and the statutes asylum seeker, refugee and subsidiary protection; c) The implementation in the internal legal order of Regulations (EU) Nos 2018/1860, 2018/1861 and 2018/1862, of the European Parliament and of the Council, of 28 November 2018, concerning the establishment, operation and use of the Schengen Information System (SIS).
(https://files.dre.pt/1s/2022/08/16400/0000200137.pdf)
Also See Regulatory Decree n.º 4/2022 of 30/09, which makes the sixth amendment to Regulatory Decree n.º 84/2007, of 05/11, in its current wording, which regulates Law n.º 23/2007, of 04/07.
(https://files.dre.pt/1s/2022/09/19000/0002800097.pdf)
The main changes are:
CPLP Visa Applicants
Visa to look for work 
Temporary stay visa and residence permit for digital nomads 
Temporary stay visa to accompany the applicant for a temporary stay visa 
Holders of residence permits for research, study, professional internship or volunteering
Entry and exit of minors
Visas without official letter/opinion or prior consultation</t>
  </si>
  <si>
    <t>A and B
Examples:
Program "Working in the Interior" extended to foreign citizens and telework (Cf. Ordinance 283/2021, of 6/12 - makes the first amendment to Ordinance No. 174/2020, of 17/07 that defines the measure "Interior Employment Plus - Supported Mobility for a Sustainable Interior")
The applications for the measure "Interior Employment Plus - Supported Mobility for a Sustainable Interior", which is part of the "Working in the Interior" Program, are available on the IEFP website until the end of 2023. With the objective of attracting foreign citizens to Portugal, promoting the labor market, the scope of the measure is extended to the establishment in the interior of nationals of countries of the European Union, Switzerland and the European Economic Area, as well as nationals from third countries, who intend to reside and carry out an activity on those regions. Through this measure, workers who move to the countryside to work have access to direct financial support.
Know more: https://eportugal.gov.pt/en/noticias/abertas-as-candidaturas-a-medida-emprego-interior-mais
Cf. Resolution of the Council of Ministers 16/2020, of 27/03 - Approves the «Working in the Interior» («Trabalhar no Interior») Programme. And also ordinance 174/2020, of 17/08, rectified by Declaration of Rectification no. 32/2020, of 13/08, defined the measure Interior Employment Plus - Supported Mobility for a Sustainable Interior (approved through the Resolution of the Council of Ministers nº 16/2020, of 27/03).
JRS Portugal - Projeto Talents and Skills Academy (https://www.jrsportugal.pt/talents-and-skills/); Projeto ARCA – Acolhimento de Refugiados e Capacitação para a Autonomia (https://www.jrsportugal.pt/arca/); Projeto “Corações que Cuidam” (https://www.jrsportugal.pt/coracoes-que-cuidam/)</t>
  </si>
  <si>
    <t>A and B
Examples: 
Program "Working in the Interior" extended to foreign citizens and telework (Cf. Ordinance 283/2021, of 6/12 - makes the first amendment to Ordinance No. 174/2020, of 17/07 that defines the measure "Interior Employment Plus - Supported Mobility for a Sustainable Interior")
JRS Portugal - Projeto ALBA – Mudanç@4Life (https://www.jrsportugal.pt/alba/)</t>
  </si>
  <si>
    <t>Cf.  Art. 77º  and Art. 98º of Law 23/2007 of 4/07 (changed by Law 18/2022, of 25/08) - defines that all citizens with a valid residence permit (migrants with a temporary or permanent residence permit; with EU Blue Card or Long Term Resident Status; + holders of a subsidiary protection residence permit or refugees) have the right to family reunification and are eligible to apply without a minimum time of residency required by law. Source: https://www.om.acm.gov.pt/documents/58428/296070/family+reunification_pt.pdf/15a09bea-3639-457b-894c-91e7ea3a6b52</t>
  </si>
  <si>
    <t>Cf. Art. 2º and 9º of Ordinance 1563/2007, of 11/12, that determines the means of subsistence that third-country nationals shall have, in order to enter and stay in Portugal. Please also refer to Art. 1º of Ordinance 760/2009, of 16/07, which adopts exceptional measures related to the assessment of the means of subsistence.
Not applicable to family reunification of refugees - Cf. Art.101º, nº2 of Law 23/2007 of 4/07 (changed by Law 18/2022, of 25/08) that establishes  the  conditions  and  procedures  on  the  entry,  stay,  exit  and  removal  of foreign citizens from Portuguese territory, as well as the long-term resident status.</t>
  </si>
  <si>
    <t>The sponsor has to prove that she/he has a house with conditions to host the family member that she/he intends to reunite - Cf. Art.101º, nº1, paragraph a) of Law 23/2007 of 4/07, changed by Law 18/2022, of 25/08, that establishes  the  conditions  and  procedures  on  the  entry,  stay,  exit  and  removal  of foreign citizens from Portuguese territory, as well as the long-term resident status.
Not applicable to family reunification of refugees - Cf. Art.101º, nº2 of Law 23/2007 of 4/07.</t>
  </si>
  <si>
    <t>It is possible to lose the residency permit issued under family reunification if the usual circumstances leading to cancellation apply.  Cf. Art. 85º, Art. 106º, Art. 107º, Art. 108º, of Law 23/2007 of 4/07, changed by Law 18/2022, of 25/08.</t>
  </si>
  <si>
    <t xml:space="preserve"> Law 18/2022, of 25/08 - Provides for the possibility of granting a temporary stay or residence visa to family members of applicants for a temporary stay or residence visa, allowing families to enter national territory together.</t>
  </si>
  <si>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</si>
  <si>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t>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
(If no provision, please skip to question cb53)</t>
  </si>
  <si>
    <t xml:space="preserve">a) + b) Cf. indicator "Measures to address educational situation of migrant groups"
Seeking to promote the recognition and use of migrant skills, legislation was published that came to simplify the access and permanence process for higher education students and to strengthen cooperation and communication mechanisms between entities with competence in this matter.
For example: The promotion of the initiative «Estudar e Investigar em Portugal» ("Study and Research in Portugal"), the alteration of the legal regime for the entry, stay, exit and removal of foreigners from the national territory, through Law n.º 102 /2017, of August 28, and Regulatory Decree No. 9/2018, of September 11, the revision of the International Student Statute, operated by Decree-Law No. 62/2018, of August 6, and the subsequent increase in the limits for setting vacancies for special access and entry competitions for international students, established by Orders n.º 1416/2019, of February 8th, and n.º 1558/2019, of February 12th, as well as Ordinance No. 111/2019, of April 12, which defines the streamlining of procedures for issuing visas for foreign students, contribute to increasing the international attractiveness of Portugal for international students.
Decree-law no. 62/2018, of 06/08 - proceeds to amend and republicate the international student statute
Special Contest for International Students
https://www.dges.gov.pt/pt/pagina/concurso-especial-para-estudantes-internacionais
Extraordinary measures are foreseen in terms of granting equivalence of qualifications for citizens holding refugee status, subsidiary protection and/or international protection. 
See Circular Letter S-DGE/2020/2040 – DSDC-DEPEB/ ANQEP SAI-GER 460/2020, of August 2020. (https://www.dge.mec.pt/sites/default/files/Projetos/ Children_young_refugees/officio-circularmena_agosto2020.pdf)
</t>
  </si>
  <si>
    <t>Only in a.</t>
  </si>
  <si>
    <t xml:space="preserve">a) and c) - The provision of Portuguese as a Second Language subject (PLNM - Português Língua Não Materna) in the basic and secondary education curriculum is provided for in articles 12 and 11 of Ordinance Nº 223-A/2018, of 03/08 and Ordinance Nº 226-A/2018, of 07/08, respectively.
The Government has been implementing measures to support the learning of the Portuguese language, as an object of study and as a language of schooling, through the offer of the Portuguese as a Second Language subject (PLNM) across all levels of basic education, in scientific-humanistic courses, in specialized artistic courses in secondary education and in professional courses, in order to ensure that all students whose mother tongue is not Portuguese have equal conditions of access to the curriculum and educational success , regardless of their language, culture, social status, origin and age. Portuguese as a Second Language subject (PLNM) is a component of the curriculum that aims to develop essential skills for full inclusion in school curriculum activities and
it is organized into language proficiency levels, based on the Common European Framework of Reference for Language Skills (CEFR).
PLNM students placed in the beginners’ (A1 / A2) or intermediate levels (B1) levels will attend the PLNM subject, replacing the Portuguese subject if the school meets the conditions to make a PLNM class group. If this is not possible, the students attend the Portuguese subject, but follow the PLNM curriculum of beginners’ (A1 / A2) or intermediate (B1) proficiency levels. They should additionally benefit from PLNM support classes.
The PLNM students, enrolled on the 4th, 6th, 9th or 12th grades who are integrated in the beginners’ (A1 / A2) or intermediate (B1) proficiency levels will take the National PLNM test / final exam.
Students enrolled on the 12th grade perform the final national examination of intermediate PLNM level (B1).
If students are integrated at the advanced level (B2 / C1), they follow the Portuguese national curriculum and they may, upon a school’s decision, benefit from PLNM support classes. They perform the National Portuguese test / final exam and not the PLNM test.
The 12th grade national PLNM exam serves the purpose of completion of secondary school and enables access to higher education. However, if the higher education institution requires the Portuguese exam as the entrance test, the final national examination of PLNM will not work for this purpose.
Know more: 
Portuguese as a Second Language (PL2 /PLNM)- Frequently asked questions (EN): https://www.dge.mec.pt/sites/default/files/Curriculo/EBasico/PLNM/portuguese_second_language_pl2_plnm_general_information_en.pdf.pdf
General Information(PT): https://www.dge.mec.pt/portugues-lingua-nao-materna
See also: Referencial Camões de Português Língua Estrangeira (PLE) (2017): https://www.instituto-camoes.pt/activity/centro-virtual/referencial-camoes-ple
Cf. Order No. 6605-A/2021, of 06/07 - Define the curricular references of the various dimensions of curriculum development, including an external evaluation (https://files.diariodarepublica.pt/2s/2021/07/129000001/0000200003.pdf)
b) requirement for teachers to be specialised and certified in these standards 
- There are no measures or policies in this field, nevertheless in order to pursue a career as a Teacher of Portuguese as Second Language (PLNM), one must have a higher education degree in Portuguese language teaching and with a bachelor's or master's degree, it is necessary to take a postgraduate course or other certified training in teaching Portuguese as a non-native language (there are some options at national level and there is also a master's degree in the area). Ex. Pós-Graduação em Ensino de Português Língua não Materna (2023/24 - 10ª EDIÇÃO): https://www.fcsh.unl.pt/cursos/pos_graduacao_em_ensino_de_portugues_lingua_nao_materna_e_learning/); Aprendizagem e Ensino de Português Língua Não Materna (https://www.instituto-camoes.pt/activity/servicos-online/ensino-a-distancia/formacao-continua-de-professores/aprendizagem-e-ensino-de-portugues-lingua-nao-materna-pt); Mestrado: https://guiadoscursos.uab.pt/en/cursos/mestrado-em-portugues-lingua-nao-materna/
See also: The Portuguese Host Language (PLA) courses (formerly known as Portuguese for Speakers of Other Languages (PFOL) or Portuguese for All (PPT)), created within the scope of Ordinance No. 183/2020, of 5 August (amended by Ordinance No. 184/2022, published on 21st July), aim to respond to migrant’s needs concerning Portuguese language learning. These courses certify levels A1 + A2 (Elementary User) and B1 + B2 (Independent User), according to the Common European Framework of Reference for Language Skills (CEFR).
PLA courses are promoted by the public schools, through the Directorate-General of Schools (DGEstE), by the directly and participated management centres network of the Employment and Vocational Training Institute (IEFP, I.P.) and also by the Qualifica Centres network.
For more information about Portuguese language courses one can contact the Migrant Support Line or the Portuguese Language Learning Promotion Office (GLPt) or for questions related with the Online Platform for Portuguese (https://pptonline.acm.gov.pt/). 
More info about these courses: https://www.acm.gov.pt/-/como-posso-frequentar-um-curso-de-lingua-portuguesa-para-estrangeiros-
</t>
  </si>
  <si>
    <t xml:space="preserve">a) and b)
In Portugal, the legislation concerning the integration of immigrant students is mainly concerned with compulsory education, while the legislation linked to attracting immigrant students appears especially oriented towards higher education and only more recently. Nevertheless:
Schools have autonomy to create classes or specific time to give guidence and support to migrant students in the aim of the Law n.º 55/2018, 06/07. - establishes the curriculum for basic and secondary education, the guiding principles for its design, implementation and assessment of learning, in order to ensure that all students acquire the knowledge and develop the skills and attitudes they have learned to achieve the skills programmed in the Student Profile on Leaving Compulsory Schooling (homologated through Order No. 6478/2017, of 09/07). See also "Essential Learnings" (approved through Orders No. 6944-A/2018, of 18/07; 8476-A/2018, of 31/08; 7414/2020, of 17/07; and 7415/2020, of 17/07) and The National Strategy for Citizenship Education (https://www.dge.mec.pt/estrategia-nacional-de-educacao-para-cidadania).
Futhermore the Choice Programm "Programa Escolhas" (7 generation) with non mandatory measures to help migrant integration in schools and support the learning process (ex. helping with homework) [http://www.programaescolhas.pt/apresentacao]
The Programme for Priority Intervention Educational Areas (TEIP-Programa Territórios Educativos de Intervenção Prioritária) was launched in 1996, with the main purpose of promoting educational inclusion in schools located in disadvantaged areas which included children ‘at risk of social exclusion’. At the moment, the TEIP Programme is a government initiative, implemented in 146 Groupings of Schools/Non-Grouped Schools that are located in economically and socially disadvantaged territories, marked by poverty and social exclusion, where violence, indiscipline, abandonment and school failure are more common. These schools are all invited to develop specific improvement plans, based on an agreement, between the school and school authorities, on measures, targets, evaluation and additional resources. The main objectives of the program are the prevention and reduction of early school leaving and absenteeism, the reduction of indiscipline and the promotion of academic success for all students. 
Cf. 
Directorate General of Education: Refugee Children and Young People – educational measures (https://www.dge.mec.pt/criancas-e-jovens-refugiados-medidas-educativas)
Official Notice S-DGE/2020/2040 – DSDC-DEPEB of 12/08 - Educational measures to integrate refugee children and young people into the education system (https://www.dge.mec.pt/sites/default/files/Projetos/Criancas_jovens_refugiados/oficio-circularmena_agosto2020.pdf)
The direct finantial suport depends one the income of the familly regardless being an immigrant. 
For more information the student should contact the SAS (Social Services) or GAS (Social Office) of the Education Institution that he/she attends.
Higher Education Students Support: https://www.dges.gov.pt/en/pagina/grants-general-information?plid=1533
In addition to the DGES and Social Security scholarship, there are other institutions that provide support programs for enthusiastic students. For example, the +Superior Program is a State measure that supports the attendance of higher education in regions of the country with lower demand and demographic pressure. Municipal councils can also grant scholarships or other social benefits to students who intend to enter higher education. There is also support given by the educational establishments to students who have an “exceptional performance”, even if they are not economically deprived. These merit scholarships are awarded from the second academic year onwards and extend to students who have obtained at least 16 points in all curricular units.
In addition to the incentives granted by the State, there are also scholarships granted by private entities to consider. 
INFO on Migrants: Education in Portugal for children, youth and adults - https://eportugal.gov.pt/en-GB/migrantes-viver-e-trabalhar-em-portugal/migrantes-ensino-em-portugal-para-criancas-jovens-e-adultos
</t>
  </si>
  <si>
    <t>There are no measures or policies in this field</t>
  </si>
  <si>
    <t xml:space="preserve">With the new legislation, the need for such training is implicit, although its obligation is not explicitly required.
Cf.: 
Decreto-Lei n.º 55/2018, 6 de julho - Estabelece o currículo dos ensinos básico e secundário e os princípios orientadores da avaliação das aprendizagens. 
https://diariodarepublica.pt/dr/detalhe/decreto-lei/55-2018-115652962
Portaria n.º 223-A/2018 de 3 de agosto - Procede à regulamentação das ofertas educativas do ensino básico (alterado pela Portaria n.º 65/2022, de 1 de fevereiro)
https://files.dre.pt/1s/2018/08/14901/0000200023.pdf
Portaria n.º 226-A/2018 de 7 de agosto - procede à regulamentação dos cursos científico-humanísticos, designadamente dos cursos de Ciências e Tecnologias, Ciências Socioeconómicas, Línguas e Humanidades e de Artes Visuais
https://files.dre.pt/1s/2018/08/15101/0000200018.pdf
D.L. nº 54/2018, 6 junho (versão em inglês) - Estabelece o regime jurídico da Educação Inclusiva
https://dre.pt/home/-/dre/115652961/details/maximized
Lei n.º 116/2019, 13 setembro - Primeira alteração, por apreciação parlamentar, ao Decreto-Lei n.º 54/2018, de 6 de julho, que estabelece o regime jurídico da educação inclusiva  
https://dre.pt/application/conteudo/124680588 
Estratégia Nacional de Educação para a Cidadania (ENEC)
https://www.dge.mec.pt/estrategia-nacional-de-educacao-para-cidadania
Estratégia Nacional de Educação para o Desenvolvimento
https://ened-portugal.pt/pt/introducao
The debate on the importante of teacher training to reflect diversity has decades and has produced some pratical results:
pre-service training: Higher education institutions offer optional courses in Intercultural Education or related for teacher training programmes; pre-service teacher training includes an area of cultural, social and ethical education (Bologna Masters in Teaching Education). 
in-service professional development training: there are postgraduate courses (master and Phd degrees in the field of intercultural mediation and education and migrations) and teacher development courses and programmes offered by Higher education institutions and other institutions and associations. BUT all are on voluntary participation. The ACIDI, I.P. also provides short-term training in intercultural education and citizenship.
On 13 October 2016, the Network of Schools for Intercultural Education was also launched, resulting from a partnership between the ACM, the Directorate‐General for Education and the Aga Khan Portugal Foundation. Its aim is to set up a network of education and teaching establishments – public, private and cooperative – involved in the transformation of the school, its organization and its pedagogical approach, aiming at interculturality.
Projeto “Educação para o Desenvolvimento: Migrações e Interculturalidade – Formação de professores/as e formadores/as de professores/as” (2023), uma parceria entre a APEDI e o ACM, financiada pelo Camões, Instituto da Cooperação e da Língua, no contexto da Estratégia Nacional de Educação para o Desenvolvimento.
APEDI - Associações de Professores para a Educação Intercultural
http://www.apedi.pt/
RESMI is a Higher Education Network dedicated to Intercultural Mediation – an initiative of the High Commission for Migration, I.P. – made up of 32 higher education institutions nationwide. The appreciation of interculturality is assumed, in this network, as an essential pillar for social cohesion, highlighting intercultural mediation as a preventive and constructive management strategy of social diversity. RESMI – Rede de Ensino Superior para a Mediação Intercultural 
https://www.acm.gov.pt/-/resmi-rede-de-ensino-superior-para-a-mediacao-intercultural
Articles:
2023 - Desafios da Educação Inclusiva
https://www.esec.pt/wp-content/uploads/2023/07/E-Book_Desafios_educacao_inclusiva-23_06.pdf
2022 - Gestão curricular inclusiva e formação de professores do 2.º Ciclo do Ensino Básico em Portugal: Perceções de coordenadores de cursos de formação inicial
https://www.redalyc.org/journal/374/37471881017/html/
2022 - Migrações e interculturalidade: conhecer para intervir em sala de aula. Recursos pedagógicos para formadores/as e professores/as 
https://www.acm.gov.pt/documents/10181/0/Migracoes-e-Interculturalidade-Conhecer-para-Intervir-em-Sala-de-Aula-APEDI-ACM-2022.pdf/7e93f6d7-e578-4d6f-b2f0-4d7aea31f892
2021 - Formação docente para gerir diversidades em sala de aula regular em Portugal
https://repositorioaberto.uab.pt/handle/10400.2/11693
</t>
  </si>
  <si>
    <t xml:space="preserve">b)
All citizens who are granted temporary protection can apply for the status of student in an emergency situation for humanitarian reasons (Art. 8.º-A (Art. 8.º-A, amendment to Decree-Law Nº. 36/2014, of 10/03 by the Decree-Law n.º 62/2018, of 06/08), regardless of the nationality of the applicant or his/her family members. It should be noted that the application must be accompanied by a document from the Foreigners and Borders Service that grants temporary protection (it should not be considered as proof of the request, but only as proof of attribution).
Cf. Decree-Law n.º 62/2018, of 06/08, with the specifics of the legal framework approved to support the granting of temporary protection to displaced persons from Ukraine (Council of Ministers Resolutions n.ºs 29-A/2022 and 29 -D/2022; Decree-Laws No. 24-B/2022, of 11/03, and No. 28-A/2022 of 25/03; Cf. Portugal for Ukraine platform: https://portugalforukraine.gov.pt/en/pagina-inicial-english/). Students already enrolled in Portuguese higher education on March 26 (date of entry into force of Decree-Law no. 28-A/2022) and who are beneficiaries of temporary protection may also apply for the of a student in an emergency situation for humanitarian reasons.
Source and more information: https://www.dges.gov.pt/pt/noticia/estudantes-em-situacoes-de-emergencia-humanitaria-nacionais-da-ucrania
</t>
  </si>
  <si>
    <t>a) and c) 
Order n.º 2044/2022, of 16/02 establishes norms to guarantee support for students whose mother tongue is not Portuguese (See here in PT: https://diariodarepublica.pt/dr/detalhe/despacho/2044-2022-179188085)
Know more (PT):  https://www.dge.mec.pt/portugues-lingua-nao-materna-plnm</t>
  </si>
  <si>
    <t>Cf. Order n.º 2044/2022, of 16/02 establishes norms to guarantee support for students whose mother tongue is not Portuguese</t>
  </si>
  <si>
    <t>The National Institute of Administration (INA), in partnership with ACM,I.P. created an e-learning course Skills for Interculturality, in 2022, aimed at public service workers and the general public, which already had 6,000 enrollments. Cf. https://www.acm.gov.pt/-/ina-e-acm-lancam-curso-e-learning-gratuito-competencias-para-a-interculturalidade-
It was also promoted by several entities – ACM,I.P.,  Institute of Employment and Professional Training (IEFP), National Agency for Qualification and Professional Education (ANQEP) and SEF – training for more than 5 thousand civil servants in areas that contribute to the integration of migrants, such as cultural diversity, identification and referral in the context of international protection, prevention of human trafficking, forced return, prevention of discriminatory practices, among others.</t>
  </si>
  <si>
    <t>As foreseen in the 21|23 Escola+ Plan (https://escolamais.dge.mec.pt/mensagem), the TEIP Programme (Programme for Priority Intervention Educational Areas) will now include schools with a high percentage of migrant students or those whose mother tongue is not Portuguese. Through this initiative, schools with more than 20% of migrant students will have more resources of teachers and technicians and the support of specialists for the development of their activity plan.
Know more: https://www.dge.mec.pt/teip
Cf. Resolution of the Council of Ministers n.º 74/2023 of 14/07 - Extends the 8th generation of the «Programa Escolhas» until September 2023 and approves the 9th generation of the «Programa Escolhas», for the period from 2023 to 2026 (https://portugal2020.pt/wp-content/uploads/rcm74_2023.pdf). 
Programa Escolhas is a national governmental programme, created in 2001, upheld by the Presidency of the Council of Ministers and integrated in High Commission for Migration with the central mission of promoting social inclusion for children and youngsters from vulnerable social economical contexts, aiming  equal opportunities and social cohesion reinforcement. Ex. During the SARS-CoV-2 confinement period there was weekly support for more than 4,000 children and young immigrants and descendants through the Projeto Escolhas, with delivery of meals and delivery and collection of school work.</t>
  </si>
  <si>
    <r>
      <rPr>
        <b/>
        <sz val="10"/>
        <color theme="1"/>
        <rFont val="Calibri"/>
        <family val="2"/>
      </rPr>
      <t>100</t>
    </r>
    <r>
      <rPr>
        <sz val="10"/>
        <color theme="1"/>
        <rFont val="Calibri"/>
        <family val="2"/>
      </rPr>
      <t xml:space="preserve"> - Regular consultation, together with a) and b) 
</t>
    </r>
    <r>
      <rPr>
        <b/>
        <sz val="10"/>
        <color theme="1"/>
        <rFont val="Calibri"/>
        <family val="2"/>
      </rPr>
      <t>75</t>
    </r>
    <r>
      <rPr>
        <sz val="10"/>
        <color theme="1"/>
        <rFont val="Calibri"/>
        <family val="2"/>
      </rPr>
      <t xml:space="preserve"> -  Regular consultation, with members elected or appointed by foreign residents or associations (with or without state intervention)
</t>
    </r>
    <r>
      <rPr>
        <b/>
        <sz val="10"/>
        <color theme="1"/>
        <rFont val="Calibri"/>
        <family val="2"/>
      </rPr>
      <t>50</t>
    </r>
    <r>
      <rPr>
        <sz val="10"/>
        <color theme="1"/>
        <rFont val="Calibri"/>
        <family val="2"/>
      </rPr>
      <t xml:space="preserve"> - Regular consultation of foreign residents on national level, with members selected/appointed by state only
</t>
    </r>
    <r>
      <rPr>
        <b/>
        <sz val="10"/>
        <color theme="1"/>
        <rFont val="Calibri"/>
        <family val="2"/>
      </rPr>
      <t>25</t>
    </r>
    <r>
      <rPr>
        <sz val="10"/>
        <color theme="1"/>
        <rFont val="Calibri"/>
        <family val="2"/>
      </rPr>
      <t xml:space="preserve">  - ad-hoc consultation of foreign residents on national level
</t>
    </r>
    <r>
      <rPr>
        <b/>
        <sz val="10"/>
        <color theme="1"/>
        <rFont val="Calibri"/>
        <family val="2"/>
      </rPr>
      <t xml:space="preserve">0 </t>
    </r>
    <r>
      <rPr>
        <sz val="10"/>
        <color theme="1"/>
        <rFont val="Calibri"/>
        <family val="2"/>
      </rPr>
      <t xml:space="preserve">- No consultation at the national level
</t>
    </r>
  </si>
  <si>
    <t xml:space="preserve">Right to vote in local elections: Conditions: reciprocity (countries allowed - EU, Brazil, Cape Verde; Argentina, Chile, Colombia, Island, Norway, New Zealand, Peru, Uruguay, Venezuela; residence requirements (EU- none, Brazil &amp; Cape Verde -&gt; 2 years, TCN´s -&gt; 3 years); and registration procedures (registration with the voting authority of the area of residence). Right to stand in local elections: Conditions - reciprocity (countries allowed - EU, Brazil, Cape Verde); residence requirements (TCN's - &gt; 5 anos; Portuguese Speaking Countries (PSC's/PLOP) - &gt; 4 anos); and registration procedures (registration with the voting authority of the area of residence). (Cf. Organic Law No. 1/2001, 14/08 - regulates the election of the holders of the bodies of the local authorities; Declaration n.º 30/2017, of 03/05 - Recognition of countries, whose citizens have in Portugal, in elections for local authority bodies, active and passive electoral capacity)
The most significant special treatment is in relation to Brazilians who reside in Portugal and are granted the status of equality of political rights, who enjoy a form of internal quasi-citizenship based on the Treaty of Friendship, Cooperation and Consultation between the Portuguese Republic and the Federal Republic of Brazil, signed on 22 April 2000.
</t>
  </si>
  <si>
    <t>u</t>
  </si>
  <si>
    <t>Regular consultation together with a). 
The Council for Migrations (Decree-Law no. 31/2014 of 27/02) is the body for consultation, support and participation in the definition of broad lines of action of the ACM, I.P., and in decision-making of the governing council, ensuring the participation and collaboration of public and private entities in the definition and implementation of migration policies. It is incumbent upon the Council to: a) Give an opinion on draft diplomas relevant to the rights of migrants; b) Give an opinion on issues relating to public, transversal and sectoral policies, relevant, namely for social inclusion, citizenship rights and fundraising and integration of migrants; c) Participate in the definition of migration policy measures and actions, formulating proposals with a view to their promotion; d) Give an opinion on any obstacles detected to a swift and effective response by the Public Administration to integration problems of migrants; e) Give an opinion on the questions put to them by the High Commissioner; f) Approve the respective internal regulations; g) Exercise any other powers conferred upon it by law. know more here: https://www.acm.gov.pt/-/conselho-para-as-migracoes-cm-</t>
  </si>
  <si>
    <t>There are 4 National Immigrant Support Centres (CNAIMs Lisbon, Porto, Faro and Beja) composed of different offices, some under the responsibility of certain public institutions and others (GAEI - Offices of Specialized Support to Immigrants) under the responsibility of the High Commission for Migration (ACM, I.P.) .  There is also the CLAIM network (more than 155 Local Centers to Support Migrants’ Integration).  There is also the Migrant Support Line and ACM also created two channels of communication, interaction and participation, to facilitate the access of migrants and refugees to services promoted by the institute: the app MY CNAIM and the Migrant Forum. Know more about these and other services: https://www.acm.gov.pt/acm/servicos</t>
  </si>
  <si>
    <t>Cf. Organic Law No. 1/2001, 14/08, changed by Organic Law No. 1/2021, of 06/04 - regulates the election of the holders of the bodies of the local authorities;  and Declaration n.º 29/2021, of 25/03 - Recognition of countries, whose citizens have in Portugal, in elections for local authority bodies, active and passive electoral capacity.
Cf. Resolution of the Assembly of the Republic No. 158/2019, of 04/09 - proves the Agreement between the Portuguese Republic and the United Kingdom of Great Britain and Northern Ireland on the Participation in Local Elections of Nationals of each of the States Resident in the Territory of the Other
Right to vote in local elections: Conditions: reciprocity (countries allowed - EU, Brazil, Cape Verde; Argentina, Chile, Colombia, Island, Norway, New Zealand, Peru, United Kingdom, Uruguay, Venezuela; residence requirements (EU- none; Brazil &amp; Cape Verde -&gt; 2 years; UK and TCN´s -&gt; 3 years); and registration procedures (registration with the voting authority of the area of residence). Right to stand in local elections: Conditions - reciprocity (countries allowed - EU, Brazil, Cape Verde, United Kingdom); residence requirements (UK and TCN's - &gt; 5 anos; PLOP - &gt; 4 anos); and registration procedures (registration with the voting authority of the area of residence). The most significant special treatment is in relation to Brazilians who reside in Portugal and are granted the status of equality of political rights, who enjoy a form of internal quasi-citizenship based on the Treaty of Friendship, Cooperation and Consultation between the Portuguese Republic and the Federal Republic of Brazil, signed on 22 April 2000.</t>
  </si>
  <si>
    <t>Portugal requires a basic knowledge of the Portuguese language - (Portuguese Immigration Law, Act 23/2007, Art 126(1)(e). Proof. of knowledge of the Portuguese language may be established in one of the following ways: i) An educational certificate issued by a legally recognised official, private or cooperative Portuguese educational institution, proving the successful completion of the level of education; ii)  A certificate of  a Portuguese language course issued by the Institute for Employment and Vocational Training (IEFP); iii) - A certificate of Portuguese as a foreign language, issued following a test at a Portuguese as a Foreign Language evaluation centre recognised by the Ministry of Education.</t>
  </si>
  <si>
    <t xml:space="preserve">A permanent residence permit has no expiry date.  Cf. Art. 76º (nº1) of Law 23/2007 of 4/07, changed by Law 18/2022, of 25/08
</t>
  </si>
  <si>
    <t>A permanent residence permit must be renewed every five years (like the citizen card for portuguese nationals under 25 years old). Moreover, the residence permit has to be renewed when it loses its validity or whenever any personal data on the document change. Cf. Art. 76º (nº2) of Law 23/2007 of 4/07, changed by Law 18/2022, of 25/08
In 2020, the MySEF system was implemented, for a more efficient and integrated document management, with special focus on streamlining the resident status decision process, allowing foreign citizens to request the renewal of their residence permit without having to go to any service desk.</t>
  </si>
  <si>
    <t>Holders of a permanent residence permit shall lose the resident status in the event of absence from Portuguese territory for a period of 2 consecutive years or 30 interpolated months over a period of three years, unless absence is justified for specific or exceptional reasons, namely to pursue a professional or business activity, or of a cultural or social nature and a request is made to the SEF prior to the resident's departure from the national territory or, in exceptional cases, after his departure (Law n.º 102/2017, of 28/08  - 6th change to Imigration Law n.º 23/2007, of 04/07, n.º 2-a-b, n.º 3-4 of art. 85º). Long-term residents shall lose the resident status in the event of absence from Portuguese territory for a period of more than 6 consecutive years or absence from EU territory for more than 12 consecutive months, unless absence is justified for specific or exceptional reasons, in particular when the long-term resident has remained in the country of origin in order to pursue a professional or business activity, or of a cultural or social nature (Law n.º 29/2012, de 09/08 , 2nd change to Imigration Law n.º 23/2007, of 04/07, n.º 2-3 of art. 131º).</t>
  </si>
  <si>
    <t>In January 2020, the new model for assigning Social Security Identification Numbers - NISS na Hora, came into force allowing citizens with an employment contract to start their regularization process. Since then, more than 109,000 citizens have acceded to this measure.</t>
  </si>
  <si>
    <t>In 2021, a new model of Residence Title for foreigners was created, which now includes information equivalent to that of the national Citizen Card, with tax, health and social security identification numbers, guaranteeing resident citizens access to basic services.</t>
  </si>
  <si>
    <t xml:space="preserve">Cf. Art. 6º of Portuguese Nationality Law (Law 37/81 of 3/10, as amended by Organic Law 2/2020 of 10/11)
</t>
  </si>
  <si>
    <t>Art. 1º of the Portuguese Nationality Law (Law 37/81 of 3/10, as amended by Organic Law 2/2020 of 10/11) determines that Portuguese nationality (original nationality) will be attributed to those born in Portuguese territory, children of foreign citizens that are not in service of their respective State, that do not declare objection to being Portuguese, as long as, at the time of birth, one of the parents legally resided in Portuguese territory for at least one year; To those born in Portuguese territory, children of foreign citizens, if at least one of the parents was also born in Portuguese territory and with residence there, regardless of permit, at the time of birth; To those born in Portuguese territory without any other nationality.</t>
  </si>
  <si>
    <t>Knowledge of the Portuguese language referred to in paragraph c), of n.º1, of Art. 6º of Nationality Law, (Law 37/81 of 3/10, as amended by Organic Law 2/2020 of 10/11)  presumably exists for applicants who are natural and nationals of Portuguese-speaking countries.
Source: https://caple.letras.ulisboa.pt/exame/2/ciple</t>
  </si>
  <si>
    <t xml:space="preserve">Crimes with sentences of imprisonment for ≥ 3 years; Cf. Art. 6º, nº 1, paragraph c)  of Portuguese Nationality Law (Law 37/81 of 3/10, as amended by Organic Law 2/2020 of 10/11) </t>
  </si>
  <si>
    <t>Decree-Law 26/2022 of 18/03 amends the Regulation on Portuguese Nationality (Decree-Law 237-A/2006 of 14/12). Amendments to the Nationality Act are now introduced, in particular as regards:
        The attribution of the original nationality to individuals born on Portuguese territory from foreign citizens;
        The acquisition of nationality by adoption;
        The acquisition of nationality by naturalisation (in this context as regards the general requirements for naturalisation, the naturalisation of minors, the new regime for the naturalisation of minors hosted by institutions, the naturalisation of foreigners born in Portugal, the new naturalisation regime for ascendants of Portuguese citizens, the guarantee, at the time of application, to effectively fulfill the objective requirements of a proven connection to Portugal by descendants of Portuguese Sephardic Jews);
        The amendment of rules governing the opposition to the acquisition of nationality; and
        New regimes of nullity and consolidation of nationality.
This decree-law makes it possible to process nationality cases fully by electronic means and to consult them online.
It improves and speeds up the procedure for acquisition of Portuguese nationality.
Source: https://diariodarepublica.pt/dr/detalhe/decreto-lei/26-2022-180657814</t>
  </si>
  <si>
    <t>Law 93/2017 of 23/08 establishing the legal regime of prevention, prohibition and fight against discrimination on the ground of race/ethnic origin, colour, nationality, ancestry and territory of origin.</t>
  </si>
  <si>
    <t>Approval of the first National Plan to Combat Racism and Discrimination 2021-2025 (PDF EN - https://www.portugal.gov.pt/download-ficheiros/ficheiro.aspx?v=%3d%3dBQAAAB%2bLCAAAAAAABAAzNDI3NgYAMqHeagUAAAA%3d)
In this context, the Plan for the Prevention of Manifestations of Discrimination in the Security Forces and Services, dated 18 March 2021, was also approved at sectoral level, and a human rights officer was created in all security forces and services (PDF PT: https://www.portugal.gov.pt/download-ficheiros/ficheiro.aspx?v=%3d%3dBQAAAB%2bLCAAAAAAABAAzNDQxsQQAXM%2b51QUAAAA%3d)</t>
  </si>
  <si>
    <t>The National Health Plan 2021-2030, aligned with the 2030 Agenda, provides for a strong fight against inequalities and inequalities in health, to “guarantee access to quality health and promote well-being for all”, regardless of migration status.
In accordance with the legislation in force, all Portuguese citizens are beneficiaries of the National Health Service (SNS), as well as all citizens with permanent residence or in a situation of temporary stay or residence in Portugal, who are nationals of Member States of the European Union or equivalent, third-country nationals or stateless persons, applicants for international protection and migrants, with or without the respective legalized status, under the terms of the applicable legal regime.
Cf. Law No. 95/2019, of 04/09 (Nos. 1 and 2 of Base 21); Decree-Law No. 52/2022, of 04/08 (Nº4); and Informative Circular No. 12/DQS/DMD/07.05.09
Foreign citizens who hold a valid stay or residence permit (temporary or permanent) in the national territory are registered in the National User Registry (RNU) under the typology of “active registration” and are assigned a national user number. Once this number is obtained, the financial responsibility is predictably assumed by the SNS, regardless of benefit by any public subsystem. These citizens are, therefore, subject to the same principles and rules in terms of payment and exemption from user fees as national citizens.
Cf. Informative Circular No. 12/DQS/DMD/07.05.09; Order No. 25360/2001, of 12/12; and Order No. 1668/2023, of 02/02. 
There are International Cooperation Agreements in the field of health signed between Portugal and Portuguese-speaking African Countries (PALOP) that have access to free care as they come in treatment agreements. Also, there are social security and health bilateral treaties/protocols (i.e. Andorra, Brazil, Cape Verde, Quebec, Morocco,Tunisia and United Kingdom) that allows access to health services in cases of stay or residency, however citizens of these countries must present a proper form.  Workers, pensioners and their families are covered by these bilateral conventions.</t>
  </si>
  <si>
    <t>A.
According to Law, neither. The legislation is clear regarding the right and conditions of access (Ex. Order No. 1668/2023, of 02/02 - Defines the organizational rules and management mechanisms for the National User Register, as well as the rules for registering citizens in the National Health Service and enrolling in primary health care). The Health Regulation Authority (ERS - Entidade Reguladora da Saúde) has been developing an intense work of disseminating the legal documents and respective clarifications on the access of immigrants to the provision of health care in the National Health Service (SNS). Know more: https://www.ers.pt/pt/utentes/perguntas-frequentes/faq/acesso-de-imigrantes-a-prestacao-de-cuidados-de-saude-no-servico-nacional-de-saude /
But in practice can happen A., though difficult to implement.
Example:
In the case of a temporary stay, the NPT citizen will have access to the health care units of the National Health Service, and it is essential to present the certificate of entitlement valid on the date of the provision of health care. The certificate of entitlement must be requested in the country of residence. The presentation of the certificate of entitlement will enable the provision of all necessary health care, with the respective billing being presented by Portugal to the country of residence for payment. This document will only be accepted in public units of the National Health Service (SNS). Also law Cf. Law No. 95/2019, of 04/09 (Nos. 1 and 2 of Base 21);</t>
  </si>
  <si>
    <t>Applicants for and holders of international protection (asylum or subsidiary protection) and their family members are granted free access to the SNS (they are exempt from paying user fees - Cf. Art. 4º Decree-Law No. 113/2011, of 19/11).
To obtain this access, it is necessary for the citizen to have a “declaration proving the submission of an application for international protection”, issued by the Foreigners and Borders Services (SEF), until there is a final decision on the application.
Applicants for international protection (asylum or subsidiary protection) and family members are temporary registred in the information systems of health establishments in the SNS,  (the registration in the National User Register only happens when they acquire the refugee or subsidiary protection status and it is then that they are granted the right to access the SNS, under the same conditions as national citizens, upon presentation of their residence permit).
Cf. Art. 52º and 56º of Law 27/2008, of 30/06 (current wording) and ACSS and DGS joint information circular No. 13/2016/CS/ACSS, of 12/05."</t>
  </si>
  <si>
    <t xml:space="preserve">B.
According to Law, neither. The legislation is clear regarding the right and conditions of access (Ex. Order No. 1668/2023, of 02/02 - Defines the organizational rules and management mechanisms for the National User Register, as well as the rules for registering citizens in the National Health Service and enrolling in primary health care). The documents that applicants and beneficiaries of international protection (asylum or subsidiary protection), and their family members, need to present do not constitute difficulties in obtaining them. But in practice can happen B., though difficult to implement.
Example: Art. 56º Law 27/2008, of 30/06 (nº4 and nº5) stipulates that:
1. Where it is established that an applicant has sufficient resources they may be requested to contribute, in whole or in part, to cover the cost of the material reception conditions and health care.
2. If it is proved that an applicant had sufficient means to cover material reception conditions and health care at the time when these basic needs were being covered, the competent authority may require the respective reimbursement. 
</t>
  </si>
  <si>
    <t xml:space="preserve">Immigrants who do not hold a stay or residence permit or who are in an irregular situation with regard to the immigration legislation in force have access to the SNS by presenting a document from the Parish Council of their area of residence certifying that have been residing in Portugal for more than 90 days. 
These citizens are registered in the RNU in the typology of "transitory registration" and are required to pay for the care received according to the tables in force, except for cases that configure situations that may endanger public health and provided for in point 7 of the Informative Circular Nº12/DQS/DMD of the DGS, in which case care is provided under the same terms as any other citizen.
After a period of 90 days after registration with the RNU under a “transitory regime”, this can automatically become “active registration”, if the required documentation is presented, or it becomes “ inactive record”. In the latter case, the charges will be borne by the citizen.
Cf. Art. 34º of Decree Law No. 135/99, of 22/04; Informative Circular No. 12/DQS/DMD/07.05.09; Dispatch No. 25.360/2001, of 12/12; and Dispatch No. 1668/2023, of 02/02
In principle, undocumented migrants are required to pay fees for all treatment received, although the law has provided for certain important exemptions:
1) Urgent and life-saving health care;
2) Communicable diseases that pose a danger or threat to public health (tuberculosis or AIDS, for example);
3) Care in the field of maternal and child health and reproductive health, including access to family planning consultations, abortion, monitoring and voluntary termination of pregnancy, monitoring and surveillance of women during pregnancy, childbirth and the puerperium and health care provided to newborns;
4) Health care for children / minors residing in Portugal, as defined in Decree-Law No. 67/2004 of 25 March;
5) Vaccination, according to the National Vaccination Program in force;
6) Citizens in a situations of social exclusion or in a situation of financial need, according to the proof issued by the competent authorities.
</t>
  </si>
  <si>
    <t>A+B
The Health Regulation Authority (ERS - Entidade Reguladora da Saúde) has been developing an intense work of disseminating the legal documents and respective clarifications on the access of immigrants to the provision of health care in the National Health Service (SNS). Know more: https://www.ers.pt/pt/utentes/perguntas-frequentes/faq/acesso-de-imigrantes-a-prestacao-de-cuidados-de-saude-no-servico-nacional-de-saude /
But in practice can happen A + B.
Examples:
A: UDMs have to present a certificate from their local town hall showing they have been residing for 90 days (with signatures of two witnesses).
B: The assessment of  “urgent and life-saving health care” or proof of situations of social exclusion or financial need, can be subject to clinical and administrative discretion.
Minors in an irregular situation are one of the cases provided for in paragraph 7 of DGS Informative Circular Nº12/DQS/DMD, which means that they have full access to the SNS with the same rights that the law attributes to minors in a regular situation in the territory national, namely in terms of payment and exemption from user fees, however, they must be registered in the national register of foreign minors who are in an irregular situation in the national territory, foreseen in Decree-Law n.º 67/2004, of 25/03; and Ordinance No. 995/2004, of 09/08.
The High Commission for Migration, I.P. is the service responsible for collecting, processing and maintaining the personal data of foreign minors who are in an irregular situation in the national territory (n.º 1 of article 2.º of Ordinance n.º 995/2004).
Cf. DGS Informative Circular No. 12/DQS/DMD; Decree-Law n.º 67/2004, of 25/03; and Ordinance No. 995/2004, of 09/08."</t>
  </si>
  <si>
    <t xml:space="preserve">There is a Telephone Translation Service (STT) that offers a database of 107 translators/interpretersand  and there is the Migrant Support Line, currently available in 16 different languages/dialects. Both  are available free of charge.
</t>
  </si>
  <si>
    <t xml:space="preserve">A
There is no explicit policy measures to encourage migrants’ involvement in service provision, service design and delivery. 
Policy promoting migrants’ involvement in service delivery focuses almost exclusively on municipal and intercultural mediators following the project Intercultural Mediation in Public Services (MISP) - More info: https://poise.portugal2020.pt/documents/10180/111406/Aviso+33-2021-02_v2.pdf/7c5a5e3f-dad9-4335-8585-59bf8ad03e74; There are no official numbers on the amount of mediators currently working, or where they are employed. 
Services provided by ACM, I.P. that involves migrants:
Telephone Translation Service (STT) - The STT offers a database of 107 translators/interpreters that fluently speak, besides Portuguese, one or more languages, and is aimed at Portuguese speakers / foreigners who need to communicate with foreigners and Portuguese citizens / entities. know more: https://www.acm.gov.pt/-/servico-de-traducao-telefonica
The Migrant Support Line - is a telephone support service by the High Commission for Migration (ACM, I.P.) in partnership with the civil society and is currently available in 16 different languages/dialects. know more: https://www.acm.gov.pt/-/linha-sos-imigrante
B
No policies explicitly encouraging migrants’ involvement in the development and dissemination of information were found.
Nevertheless some migrant organisations produce and desiminate information on these issues.
Leaflets informing on health issues on different languages are available at the National and Local Support Centre for Migrants Integration (CNAIM/CLAIM), but are produced by ACM, I.P. and we don't know whether they were designed together with migrant representatives. Also in the context of the SARS-CoV-2 pandemic and the epidemiological COVID-19 infection (2020 and 2021) there was extensive material being produced, in several languages, concerning the vacination and general informations about the pandemic situation, but also in those cases we don't know whether they were designed together with migrant representatives or not. eX. Guide on COVID-19 from the Associação Médicos do Mundo Portugal (25 languages); IOM brochure on COVID-19, in over 30 languages; Three IOM documents on Covid-19 for migrants, in multiple languages (Know more: https://www.acm.gov.pt/-/covid-19-medidas-orientacoes-e-recomendacoes).
C
There are no policy measures explicitly promoting migrants’ involvement in research.
Some academics establish partnerships with migrant organisations and /or migrants themselves in order to carry out research projects, but this is done out of personal initiative and ad hoc.
D
There are no policy measures explicitly promoting migrants’ involvement in the evaluation, planning and running of services.
E
There are no policy measures explicitly promoting migrants’ involvement in the design of services.
</t>
  </si>
  <si>
    <t xml:space="preserve">3-4 of these topics: A, B, C, D 
Several funding bodies have supported research on all four topics in the past 5 years.
Governmental funding for research on migrant health is provided by: 
1) Secretary General of Ministry of Home Affairs (SGMAI) in partnership with the High Commissariat for Migration (ACM), which run the Fund for Asylum, Migration and Integration (FAMI). FAMI had two funding calls on migrant health, in 2017 and in 2018. https://www.acm.gov.pt/-/fundo-para-o-asilo-a-migracao-e-a-integracao-fami- 
2) Foundation for Science and Technology, which funds individual and team projects. It has no specific calls for migrant health research. Applications on this topic depend on researchers.
3) Municipalities may fund projects related to migrant health, occasionally. These tend to be health promotion or action-research projects.
Non-governmental funding is provided by:
1) Calouste Gulbenkian Foundation, which funds projects related to migration (including health)
2) EU Health programme 2014-2020. DGS got two projects funded under this programme: SH-CAPAC – Supporting health coordination, assessments, planning, access to health care and capacity building in member states under particular migratory pressure; and, CARE – Common Approach for REfugees and other migrants’ health.
</t>
  </si>
  <si>
    <t>The Ministry of Health, and its Health Directorate General (DGS), does not objectively prioritise migrant or ethnic minority health through national-wide programmes, in any part of the health system or with allocation of funds. General policies are preferred over targeting populations. Measures are left to individual initiative.</t>
  </si>
  <si>
    <t>Cf.:
Decree-Law No. 113/2011, of 29/11 - regulates access to SNS benefits by users with regard to user fees and the application of special benefit regimes
Informative Circular No. 15/2020 - Exemption from charging user fees in Primary Health Care | Application of Article 273 of Law No. 2/2020, of 31/03</t>
  </si>
  <si>
    <t>Within the scope of the SARS-CoV-2 pandemic, Order no. 12870-C/2021, of 31/12 was published, which determined that on December 31, 2021, all foreign citizens with pending cases at the Foreigners and Borders Service (SEF) were in a situation of regular stay in national territory. Despite the end of the pandemic situation, the said order remains in force, not affecting the maintenance of the rights conferred by it during the entire period of appreciation and processing of the respective processes. Moreover, it is advisable to consult ERS Supervision Alert No. 6/2020 (Update) of 08/06, in particular, to primary health care providers on the access of foreign citizens to health care in the SNS.</t>
  </si>
  <si>
    <t>The National Health Plan 2021-2030, aligned with the 2030 Agenda, provides for a strong fight against inequalities and inequalities in health, to “guarantee access to quality health and promote well-being for all”, regardless of migration status.</t>
  </si>
  <si>
    <t xml:space="preserve">Immediate accces for permanent residents. Family members same as sponsor </t>
  </si>
  <si>
    <t xml:space="preserve">Certain class of positions, defined as "public authority funtions", restricted to nationals. </t>
  </si>
  <si>
    <t xml:space="preserve">Certain classes of activitis, mainly related to judiciary, restricted to nationals. The TCN are restricted to the following: notary public, and official translator/interpreter when employed by the by several institutions (the Superior Council of Magistrates, the Ministry of Justice, the Public Attorney Office of the High Court of Cassation and Justice, the National Anti-corruption Public Attorney Office, criminal prosecution bodies, public notaries and judicial executors).  Law no. 178/1997 on the certification and payment of interpreters and translators employed by the Superior Council of Magistrates, the Ministry of Justice, the Public Attorney Office of the High Court of Cassation and Justice, the National Anti-corruption Public Attorney Office, criminal prosecution bodies, public notaries and judicial executors.
Otherwise, they can operate as self-employed in similar conditions as nationals. Including, for example, translator/interpreter for other public or private organizations. </t>
  </si>
  <si>
    <t>All of them have access to 1). A and C have access to 2)</t>
  </si>
  <si>
    <t>Same procedure but TCN pay additional fees: 100 lei (20 euro) for the procedure, and 50 lei (10 euro) for each document.</t>
  </si>
  <si>
    <t>Beneficiaries of international protection have access to A and B. Other TCN (e.g. labour migrants) do not.</t>
  </si>
  <si>
    <t>Beneficiaries of international protection have access to A and B, in the same conditions as the country nationals (e.g. the programs may be interupted due to lack of funding). Other TCN (e.g. labour migrants) do not.</t>
  </si>
  <si>
    <t>No residence required</t>
  </si>
  <si>
    <t>Restrictive definition for both a) and b):
a) parents that cannot sustain themselves and do not enjoy an adequate family care in the country of origin;
b) unmarried adult children of the sponsor or of the spouse, if they can not support themselves for medical reasons.</t>
  </si>
  <si>
    <t>No requirment</t>
  </si>
  <si>
    <t>Sponsor must bring evidence of economic resources at the level of the national minimum economy wage for each family member. In addition, the sponsor must be insured in the public health insurance fund (automatically for employed persons or voluntarily, for a fee, for unemployed). Refugees and beneficiaries of subsidiary protection are extempted.</t>
  </si>
  <si>
    <t>Proof of apprpriate accommodation, similar with a regular national family of similar size. Refugees and beneficiaries of subsidiary protection are extempted.</t>
  </si>
  <si>
    <t xml:space="preserve">Equal to sponsor's residence permit and renewable </t>
  </si>
  <si>
    <t>Grounds include a, b, c, and these additional grounds: bigamy, polygamy, lack of conjugal relations</t>
  </si>
  <si>
    <t>Included: a, b, d.</t>
  </si>
  <si>
    <t>After 5 years</t>
  </si>
  <si>
    <t>Compulsory education includes 11 years of preuniversity education (grades 0-10). Access to b) is restricted for undocumented migrants.</t>
  </si>
  <si>
    <t>No target measures</t>
  </si>
  <si>
    <t>a) and b) apply</t>
  </si>
  <si>
    <t>Only a) applies</t>
  </si>
  <si>
    <t>a) and c) apply</t>
  </si>
  <si>
    <t>Only a) applies, and only during compulsory education. Migrant children may receive remedial education support, depending on their needs and available resources.</t>
  </si>
  <si>
    <t>The stand-alone intercultural education subject is optional, at school decision. There is no data on how many schools have selected this subject but, theoretically, it is available for everybody</t>
  </si>
  <si>
    <t>Starting with 2020, the intercultural (or multicultural) education was mainstreamed in teacher training, with some caveats:
A - initial training is provided by universities. Intercultural education is one of the optional subjects that can be picked in the training package. There is no data on how many students have picked it.
B - the transversal competence 'understanding and respecting diveristy and multiculturality' is compulsory for all teachers but it is unclear how it is actually evaluated.</t>
  </si>
  <si>
    <t>Comment from previous scoring:The official aims of intercultural education include the appreciation of cultural diversity, and is delivered integrated throughout the curriculum. The intercultural education as stand-alone subject is not included in the compulsory curriculum but it is available for school decision.</t>
  </si>
  <si>
    <t>Change in score from 50 to 100 is justified due to actual well implementation.</t>
  </si>
  <si>
    <t>Beneficiaries of temporary protection (and only them) benefit from target measures: easier enrollement procedures and dedicated government funded places in universities.</t>
  </si>
  <si>
    <t>Since the comment above only applies to Ukrainians on TP, the score is changed back to 0. (Expert's score was 50)</t>
  </si>
  <si>
    <t>No right to vote for non-EU citizens.</t>
  </si>
  <si>
    <t>Membership in political parties allowed only for RO citizens and (in some conditions) for EU citizens.</t>
  </si>
  <si>
    <t>Ad-hoc consultations at national level.</t>
  </si>
  <si>
    <t>No active campaign in the last year.</t>
  </si>
  <si>
    <t>No specific support funding for immigrant organizations.</t>
  </si>
  <si>
    <t>5 years. Exception: 4 years for refugees and BIPs, if they participation to an integration programme.</t>
  </si>
  <si>
    <t>The law stipulates: „knowledge of the Romanian language at a satisfactory level”. The condition is verified though a test organized by the Immigration authority.</t>
  </si>
  <si>
    <t>Economic conditions: Income at least at the level of minimum wage (no income source is excluded); accomodation; and health insurance.</t>
  </si>
  <si>
    <t>5 years (10 years if EU ciziten or family member of a Romanian citizen)</t>
  </si>
  <si>
    <t xml:space="preserve">Upon application </t>
  </si>
  <si>
    <t>12 months</t>
  </si>
  <si>
    <t>Equal access with nationals</t>
  </si>
  <si>
    <t>Change from 100 to 50. Ovidiu will check and get back to us.</t>
  </si>
  <si>
    <t>8 years. Exceptions: 4 years for refugees or married with nationals</t>
  </si>
  <si>
    <t>Naturalization procedure (facilitated)</t>
  </si>
  <si>
    <t>No standard. The language proficieny is established through an interview.</t>
  </si>
  <si>
    <t>Requirment to pass a test/interview on Romanian culture and traditions.</t>
  </si>
  <si>
    <t>Minimum wage income and proof of living space.</t>
  </si>
  <si>
    <t>No crime making the applicant ”unworthy of Romanian citizenship” (discretionary administrative evaluation)</t>
  </si>
  <si>
    <t>No requirment for anyone</t>
  </si>
  <si>
    <t>All three grounds</t>
  </si>
  <si>
    <t xml:space="preserve">All four of these </t>
  </si>
  <si>
    <t xml:space="preserve">Three of these </t>
  </si>
  <si>
    <t>Both of these. Starting with 2020, the practice of the Equality Body has improved and better statistics are available (compared to the previous years). Please note that there are no actual positive action measures implemented but, in theory, there could be.</t>
  </si>
  <si>
    <t>There's no legislative change.
Acces to emergency health services (or 'minimal health package') is unconditional. Inclusion in the wider public health system is conditioned one of: being employed; being a spouse of dependent of an employed/insured; being insured as a voulnerable person (includes refugees and BIPs); paying a fee. 
BUT the conditions are the same for nationals (no discrimination).</t>
  </si>
  <si>
    <t>Situation has improved in the recent years (compared to the previous years), in the sense that the administrative requirments are easier to understand and comply to.</t>
  </si>
  <si>
    <t>Inclusion is unconditional</t>
  </si>
  <si>
    <t>Undocumented migrants have free access to the minimal health package, same as everybody else (see comment at indicator 145a) but they can't get insured because they lack residence documents.</t>
  </si>
  <si>
    <t>Both:
A - undocument migrants lack recognized identity documents, so they can't get insured. 
B - there are still clinics and professionals that reject undocumented migrants becaues of lack of documents.</t>
  </si>
  <si>
    <t>Campaigns are usually targting groups A and B.</t>
  </si>
  <si>
    <t>C and D</t>
  </si>
  <si>
    <t>No systematic attention is paid.</t>
  </si>
  <si>
    <t>Exception introduced: beneficiaries of temporary protection fleeing from Ukraine have unconditional access to all services.</t>
  </si>
  <si>
    <t xml:space="preserve">comment from previous evaluation: Undocumented migrants may benefit, free of charge, according to the Law 95/2006 regarding the reform of the healthcare system, with latest updates only of “emergency medical assistance, national vaccines programs, monitoring of the pregnancy and of the woman that gave birth, family planning services and all the other medical services that have been approved as part of the minimal healthcare package (which contains emergency care, family medicine, family planning and access to consultations for serious diseases), in the annual framework program”. In 2019 it was reported that the Romanian General Inspectorate for Immigration is making sure that funds are available (from AMIF national funding) to cover for the healthcare insurance and medical assistance for the migrants that are beneficiaries of NGOs'. </t>
  </si>
  <si>
    <t>For beneficiaries of temporary protection fleeing from Ukraine (and only them), also D</t>
  </si>
  <si>
    <t>No changes. All have equal access except labour migrants. They need to stay at the same employer for 2 years and in the same profession for 4 years.</t>
  </si>
  <si>
    <t>No changes. For study grants there are different rules for those without a permanent residence permit. https://www.csn.se/languages/english/the-right-to-swedish-student-finance/study-in-sweden-as-a-foreign-citizen/for-citizens-of-countries-outside-the-eu-eea-or-switzerland.html</t>
  </si>
  <si>
    <t xml:space="preserve">No changes. </t>
  </si>
  <si>
    <t>No changes. Note: There have been and are many special programs and initiatives for both young migrants and women migrants. There is a recent state commission report about improving labour market integration for foreign born women. https://www.regeringen.se/pressmeddelanden/2023/05/utredning-foreslar-battre-och-mer-jamstallda-mojligheter-till-integration/. An 8 year program for youths (focus on newly arrived) have been in place: https://www.regeringen.se/rattsliga-dokument/kommittedirektiv/2021/09/dir.-202173</t>
  </si>
  <si>
    <t>A one year residence permit is needed</t>
  </si>
  <si>
    <t>Only in very special surcomstances</t>
  </si>
  <si>
    <t>Sweden has no such policy but offer free language training for all migrant newcomers.</t>
  </si>
  <si>
    <t>Sweden has no such policy but offer social orientation courses for family to persons granted international protection</t>
  </si>
  <si>
    <t>No requirements. Offer free voluntary language courses.</t>
  </si>
  <si>
    <t>This indicator is difficult to answer. The Swedish income requirement for foreigners is low and similar to social assistence. For Swedish citizens there are no requirements. For refugees and persons on subsidiary income there are no income requirements if you apply within 3 months. I think that the previous years score of 0 is wrong. However, an increase in income requirements is due in october 2023 for labour migrants. https://www.migrationsverket.se/English/Private-individuals/Moving-to-someone-in-Sweden/Spouse-registered-partner-or-cohabiting-partner/For-the-relative-in-Sweden/Documents-to-fulfil-the-maintenance-requirement.html</t>
  </si>
  <si>
    <t>For most cases (not all), you need appropriate accommodation. https://www.migrationsverket.se/English/Private-individuals/Moving-to-someone-in-Sweden/Spouse-registered-partner-or-cohabiting-partner/For-the-relative-in-Sweden/Documents-to-fulfil-the-maintenance-requirement.html</t>
  </si>
  <si>
    <t>Many exceptions can grant an extension. https://www.migrationsverket.se/Privatpersoner/Flytta-till-nagon-i-Sverige/Forlanga-tillstand/Om-forhallandet-tar-slut.html</t>
  </si>
  <si>
    <t>As a rule, the partner get an autonomous permit for as long as the sponsor.
A residence permit referring to a connection will be granted as a permanent residence permit independent of the reference person’s residence permit</t>
  </si>
  <si>
    <t>Rights for all to compulsary and non-compulsary education.</t>
  </si>
  <si>
    <t xml:space="preserve">All universities has a mission to increase the diversity in universities and have measures to support successful participation (B). </t>
  </si>
  <si>
    <t>In Sweden, municipal authorities have a responsibility to inform newly arrived families of their rights with regard to preschool and school education. Interpreting services must be made available, where required, at the special welcome meetings for recently-arrived families. These families are also entitled to an interpreter to enable them to participate in the 'personal development discussion' held with all parents twice yearly. Outside of these meetings, there are no express recommendations to schools on the use of interpreters, but schools have an obligation to ensure effective communication with all parents and must therefore adopt the measures necessary. There are also websites in different languages.
a) The curriculum for Swedish preschools stresses the right of multilingual child-ren to develop all of their languages. The preschool shall provide opportunities for children whose first language is not Swedish to develop both that language and Swedish. b) The curriculum for Swedish preschools stresses the right of multilingual child-ren to develop all of their languages. The preschool shall provide opportunities for children whose first language is not Swedish to develop both that language and Swedish.</t>
  </si>
  <si>
    <t>There are laws/policies for this, and special development programs run by The National Agency for Education</t>
  </si>
  <si>
    <t>Students who attend Swedish schools and whose first language is not Swedish may study Swedish as a Second Language (SSL) as a subject. The goal of SSL is to help students develop daily communication skills and give them the proficiency required to study their other school subjects in Swedish. Achievement levels and proficiency requirements for SSL are similar to those for studying Swedish (as a first language). The differences between the two subjects are related pri-marily to first- versus second language acquisition. The right and opportunity to study SSL applies to both compulsory and upper secondary school. As a subject, SSL is equivalent to Swedish (as a first language) with respect to eligibility for admission to university or other post-secondary study. SSL has its own syllabus</t>
  </si>
  <si>
    <t xml:space="preserve">Curricilum, regular follow-ups and teachers certifications are present. </t>
  </si>
  <si>
    <t xml:space="preserve">The Swedish National Agency for Education has for many years had a national program to support the education of newly arrived migrant children and youths. With pedagogical support and special funding.  https://www.skolverket.se/skolutveckling/leda-och-organisera-skolan/organisera-nyanlanda-elevers-skolgang.
Since 2005, a new system has been in place for the equalisation of municipalities' finances--"compensatory principle"--This system has five different parts - income equalisation, cost equalisation, a structural grant, an implementation grant and an adjustment grant/charge. The aim of the equalisation system is to put all municipalities in the country on an equal financial footing to deliver equal levels of services to their residents, irrespective of the income of the municipality's residents and other structural factors. 128 million SEK extra is allocated to improve school results for bilingual pupils 2014-2016. http://www.regeringen.se/sb/d/16743/a/210011
20 million SEK extra is given to 10 schools in disadvantaged housing areas 2012-2014. http://www.regeringen.se/sb/d/8151/a/182492
</t>
  </si>
  <si>
    <t>All education should reflect the diversity, it is written in the education law. Targeted education falls under the general umbrella of equal respect and tolerance. Is included in the curriculum. https://www.skolverket.se/undervisning/grundskolan/laroplan-och-kursplaner-for-grundskolan/laroplan-lgr11-for-grundskolan-samt-for-forskoleklassen-och-fritidshemmet</t>
  </si>
  <si>
    <t xml:space="preserve">There are several university programs for migrants to study to be teachers. https://www.studera.nu/att-valja-utbildning/lararutbildningar/lararutbildningsguiden/ulv/. And also programs for newly arrived migrants to try out the occupation (fast track programs). </t>
  </si>
  <si>
    <t>A covered: No compulsory and standardized program provided. It is not a standard compulsory element in training, although it may be in schools/municipalities where it is conceived as especially needed. Intercultural education programmes in teacher training are marginalised and geenrally provided as optional courses to student teachers. trainings on intercultural education are not required, but are primarily part of initial teacher training. However this score will change. A new teacher edutation will start in Sweden autumn 2011. All teacher educations have had to plan for this. One of the requirements have concerned "internationalisation". In e.g. Malmö we have now planned for three courses under an international umbrella: Intercultural education, Citizenship education and Education for a sustainable society
onal Agency for Education has given schools the discretion to address issues like dress codes and activities on a case-by-case basis</t>
  </si>
  <si>
    <t>Residence for 3 years to vote in local elections and to be a candidate.</t>
  </si>
  <si>
    <t>Sweden does not have any structural consultative bodies of immigrants in Sweden. They do fund immigrant organisations. And all organisations in Sweden can send their opinions on the suggestions for new laws to the parliament.</t>
  </si>
  <si>
    <t>Courses of Civic orientation for all refugees and their families. All new residents get a welcome book with information. Information in many languages for most services. Councellers in Swedish language training etcetera.</t>
  </si>
  <si>
    <t>All ethnic organisations can apply for economic support from the state. https://www.mucf.se/bidrag/statsbidrag/organisationsbidrag/etniska-organisationer/sa-fordelas-bidraget-till-etniska. The only requirement is to support democratic principles. No role in conslutation.</t>
  </si>
  <si>
    <t xml:space="preserve">In theory persons with international protection can get a permenent residence after one year. Labour migrants after four years. </t>
  </si>
  <si>
    <t>Currently no tests, but the parliament has decided to introduce it 2027.</t>
  </si>
  <si>
    <t xml:space="preserve">Information here: https://www.migrationsverket.se/English/Private-individuals/Working-in-Sweden/Extending-a-permit/Special-requirements-for-permanent-residence-permits.html. The income requirement is set very low (at the level of social assistence for the applicant). The score is close to be 100. Howerver, many forms of income are excluded (for example unemployment benefits).  </t>
  </si>
  <si>
    <t>A permenent residence permit is permanent. Or du you mean the temporary permit?</t>
  </si>
  <si>
    <t>A permanent residence permit is permanent. No renewal needed. The temporary residence permits are short. 1 or 3 years for persons granted international protection, 2+2 years for a labour migrant.</t>
  </si>
  <si>
    <t>Can liveoutside Sweden for 1 year. Up to two year if they report to the Migration Board.</t>
  </si>
  <si>
    <t>The same rights as nationals</t>
  </si>
  <si>
    <t>The normal requirement is 5 years of residence. Shorter for some categories. The time as temporary resident is counted as residence.</t>
  </si>
  <si>
    <t xml:space="preserve">A child can be citizen by application after three years of residence and a pemanent residence permit. </t>
  </si>
  <si>
    <t>The plan is to introduce requirements 2025</t>
  </si>
  <si>
    <t>You can always be a citizen, but qualification periods are used depending on the crime.</t>
  </si>
  <si>
    <t>Nationality and race is in Sweden subsumed under the ethnicity ground. The ground of religion is always treated identically to the ground of ethnicity. There has even been a debate on whether or not it shall be regarded as one and the same ground or two separate grounds. A new comprehensive law went into effect on 1 January 2009. Basically seven different laws against discrimination covering various grounds and fields of social life were merged in the Discrimination Act (2008:657).</t>
  </si>
  <si>
    <t>https://www.do.se/choose-language/english</t>
  </si>
  <si>
    <t>There is a requirement to activly promote equality for education providers and employers in the Discrimination Act. When it comes to statistics it is only required with regard to wage surveys and those are required only with regard to sex. Furthermore it is not allowed to register, race ethnicity or religion against the wish of the person so statistics can not be required. There is also a duty to undertake active measures to promote equality in working life related to ethnicity and religion. However, if you mean positive treatment in terms of the decision to employ, this is not allowed concerning ethnicity, but is allowed in regard to sex. There is little follow up. Previous score was 100. But take note that while many efforts are done to prevent discrimination, and also measures to promote underrepresented groups in many areas, direct positive discrimination is not allowed.</t>
  </si>
  <si>
    <t>All persons with a permit (temporary or permanent) enjoy the same rights under the Health and Medical Services Act [Hälso- och sjukvårdslag (1982:763)].</t>
  </si>
  <si>
    <t>100 might be too high. Children have the same right to health care. Adults don´t have right to health care that can wait. https://www.migrationsverket.se/English/Private-individuals/Protection-and-asylum-in-Sweden/While-you-are-waiting-for-a-decision/Health-care.html</t>
  </si>
  <si>
    <t>B.  Definition of “care that cannot be postponed” (for asylum seekers and UDMs) involves discretion and is decided on the regional level.</t>
  </si>
  <si>
    <t xml:space="preserve">From July 2013 there is a law regulating the level of entitlement for UDM. Under the new law titled Healthcare for persons that reside in Sweden without permission (Governmental proposition 2012/13:109,  Lag
om hälso- och sjukvård till vissa utlänningar som
vistas i Sverige utan nödvändiga tillstånd SFS 2013: 407), the county councils are responsible for offering adult persons (above 18 years of age) the same subsidised care (including dental care) as to asylum seekers as outlined in The Act on Healthcare for asylum seekers and others. This involves ´care that cannot be postponed´ maternal care, reproductive counselling, abortion (section 7) and one health examination (section 10). The county councils may provide care beyond what is stated in section 7 (section 9). Children (person under 18 years of age) shall be offered the same level of care (i.e. full care) as children who are residents (section 6) or asylum seekers regardless of pathway into irregularity (prop 2012/13:109).
The patient fee is 50 SEK (as for asylum seekers)
</t>
  </si>
  <si>
    <t>Yes for A and B. There is a lot of information for a newly arrived migrant in Sweden. Less sure about undocumented, but there are support at the Red Cross. https://www.rodakorset.se/en/get-help/care-for-undocumented-immigrants/</t>
  </si>
  <si>
    <t xml:space="preserve">Yes, The Act of administration (Förvaltningslagen para. 8). This law states  a right to interpreter or, more specific, it states that whenever a public authority are communicating with a person who do not dominate the Swedish language, the authority should use an interpreter and pay the cost. This involves also persons with problems to hear. Interpreting services are most often organised at the level of municipalities and in practice executed by a certain bureau with contracts with authorized interpreters. </t>
  </si>
  <si>
    <t>In the examples mentioned above on health communication targeting newly arrived refugees correspond with B and C. Those examples are supported by policies at regional level and might not be present in every region.</t>
  </si>
  <si>
    <t>A,B.C.D   Much research is being carried out on different aspects of migrant health and funded by the state.</t>
  </si>
  <si>
    <t>Option 1 and 2 runs in parallel due to the universalistic (“integrated” approach), complemented with the programs targeting newly arrived (“categorical” approach). However, there are regional differences so one cannot say that it is present everywhere.</t>
  </si>
  <si>
    <r>
      <rPr>
        <b/>
        <sz val="10"/>
        <color rgb="FF000000"/>
        <rFont val="Calibri"/>
        <family val="2"/>
      </rPr>
      <t>100</t>
    </r>
    <r>
      <rPr>
        <sz val="10"/>
        <color rgb="FF000000"/>
        <rFont val="Calibri"/>
        <family val="2"/>
      </rPr>
      <t xml:space="preserve"> - All of them
</t>
    </r>
    <r>
      <rPr>
        <b/>
        <sz val="10"/>
        <color rgb="FF000000"/>
        <rFont val="Calibri"/>
        <family val="2"/>
      </rPr>
      <t>50</t>
    </r>
    <r>
      <rPr>
        <sz val="10"/>
        <color rgb="FF000000"/>
        <rFont val="Calibri"/>
        <family val="2"/>
      </rPr>
      <t xml:space="preserve"> - A and (C or certain categories of B) 
</t>
    </r>
    <r>
      <rPr>
        <b/>
        <sz val="10"/>
        <color rgb="FF000000"/>
        <rFont val="Calibri"/>
        <family val="2"/>
      </rPr>
      <t>0</t>
    </r>
    <r>
      <rPr>
        <sz val="10"/>
        <color rgb="FF000000"/>
        <rFont val="Calibri"/>
        <family val="2"/>
      </rPr>
      <t xml:space="preserve"> - Only A or none</t>
    </r>
  </si>
  <si>
    <r>
      <rPr>
        <b/>
        <sz val="10"/>
        <color rgb="FF000000"/>
        <rFont val="Calibri"/>
        <family val="2"/>
      </rPr>
      <t>100</t>
    </r>
    <r>
      <rPr>
        <sz val="10"/>
        <color rgb="FF000000"/>
        <rFont val="Calibri"/>
        <family val="2"/>
      </rPr>
      <t xml:space="preserve"> - A and b (please specify content)
</t>
    </r>
    <r>
      <rPr>
        <b/>
        <sz val="10"/>
        <color rgb="FF000000"/>
        <rFont val="Calibri"/>
        <family val="2"/>
      </rPr>
      <t>50</t>
    </r>
    <r>
      <rPr>
        <sz val="10"/>
        <color rgb="FF000000"/>
        <rFont val="Calibri"/>
        <family val="2"/>
      </rPr>
      <t xml:space="preserve"> - A or b (please specify content)
</t>
    </r>
    <r>
      <rPr>
        <b/>
        <sz val="10"/>
        <color rgb="FF000000"/>
        <rFont val="Calibri"/>
        <family val="2"/>
      </rPr>
      <t>0</t>
    </r>
    <r>
      <rPr>
        <sz val="10"/>
        <color rgb="FF000000"/>
        <rFont val="Calibri"/>
        <family val="2"/>
      </rPr>
      <t xml:space="preserve"> - Only ad hoc (mainly through projects implemented by NGOs)</t>
    </r>
  </si>
  <si>
    <r>
      <rPr>
        <b/>
        <sz val="10"/>
        <color rgb="FF000000"/>
        <rFont val="Calibri"/>
        <family val="2"/>
      </rPr>
      <t>100</t>
    </r>
    <r>
      <rPr>
        <sz val="10"/>
        <color rgb="FF000000"/>
        <rFont val="Calibri"/>
        <family val="2"/>
      </rPr>
      <t xml:space="preserve"> - Both (please specify content)
</t>
    </r>
    <r>
      <rPr>
        <b/>
        <sz val="10"/>
        <color rgb="FF000000"/>
        <rFont val="Calibri"/>
        <family val="2"/>
      </rPr>
      <t>50</t>
    </r>
    <r>
      <rPr>
        <sz val="10"/>
        <color rgb="FF000000"/>
        <rFont val="Calibri"/>
        <family val="2"/>
      </rPr>
      <t xml:space="preserve"> -One of these (please specify content)
</t>
    </r>
    <r>
      <rPr>
        <b/>
        <sz val="10"/>
        <color rgb="FF000000"/>
        <rFont val="Calibri"/>
        <family val="2"/>
      </rPr>
      <t>0</t>
    </r>
    <r>
      <rPr>
        <sz val="10"/>
        <color rgb="FF000000"/>
        <rFont val="Calibri"/>
        <family val="2"/>
      </rPr>
      <t xml:space="preserve"> - Only ad hoc (mainly through projects implemented by NGOs)</t>
    </r>
  </si>
  <si>
    <r>
      <rPr>
        <b/>
        <sz val="10"/>
        <color rgb="FF000000"/>
        <rFont val="Calibri"/>
        <family val="2"/>
      </rPr>
      <t xml:space="preserve">100 - </t>
    </r>
    <r>
      <rPr>
        <sz val="10"/>
        <color rgb="FF000000"/>
        <rFont val="Calibri"/>
        <family val="2"/>
      </rPr>
      <t xml:space="preserve">All of them
</t>
    </r>
    <r>
      <rPr>
        <b/>
        <sz val="10"/>
        <color rgb="FF000000"/>
        <rFont val="Calibri"/>
        <family val="2"/>
      </rPr>
      <t>50</t>
    </r>
    <r>
      <rPr>
        <sz val="10"/>
        <color rgb="FF000000"/>
        <rFont val="Calibri"/>
        <family val="2"/>
      </rPr>
      <t xml:space="preserve"> - A and (C or certain categories of B) 
</t>
    </r>
    <r>
      <rPr>
        <b/>
        <sz val="10"/>
        <color rgb="FF000000"/>
        <rFont val="Calibri"/>
        <family val="2"/>
      </rPr>
      <t>0</t>
    </r>
    <r>
      <rPr>
        <sz val="10"/>
        <color rgb="FF000000"/>
        <rFont val="Calibri"/>
        <family val="2"/>
      </rPr>
      <t xml:space="preserve"> - Only A or none</t>
    </r>
  </si>
  <si>
    <t xml:space="preserve">Article 6 of the Employment, Self-employment and Work of Foreigners Act, in force since 2015 allows family reunion permit holders but ONLY if they are in union with a Slovenian national; this means it is only for one category of TCNs. To cite Article 6: The right of free access to the labour market shall apply to: 
1. foreigners residing in the Republic of Slovenia on the basis of a temporary residence permit for family reunification with a Slovenian citizen; 
2. foreigners residing in the Republic of Slovenia on the basis of a permanent residence permit; 
3. foreigners residing in the Republic of Slovenia on the basis of a temporary residence permit issued to foreigners of Slovenian origin; 
4. foreigners residing in the Republic of Slovenia on the basis of a temporary residence permit issued to victims of trafficking in human beings; 
5. foreigners residing in the Republic of Slovenia on the basis of a temporary residence permit issued to victims of illegal employment; 
6. foreigners granted the right to international protection in the Republic of Slovenia and their family members residing in the Republic of Slovenia on the basis of a residence permit for family reunification; 
7. foreigners granted temporary protection status demonstrated by the identity card of a person granted temporary protection; 
8. foreigners whose identity has been established beyond doubt and who have been granted the status of an applicant for international protection in the Republic of Slovenia; such foreigners shall be granted this right nine months after filing an application for international protection, provided that no decision of the competent authority has been served thereon in that period and the delay cannot be attributed to the foreigner. Foreigners shall demonstrate fulfilment of the aforementioned conditions by means of a certificate from the ministry responsible for internal affairs. 
(3) The foreigners referred to in the preceding paragraph shall also have the right to free access to the labour market during their residence in the Republic of Slovenia on the basis of a certificate demonstrating that the application for extension of a residence permit or status was submitted in due time. </t>
  </si>
  <si>
    <t>Civil Servants Act (ZJO) prescribes that  one of the conditions for appointment of civil servants.
holding a citizenship of the Republic of Slovenia (Art.88).</t>
  </si>
  <si>
    <t xml:space="preserve">Article 15 of the Employment, Self-employment and Work of Foreigners Act, in force since 2015, states that all foreigners with permanent residence can, and others after 1 year resindence. </t>
  </si>
  <si>
    <t xml:space="preserve">https://pisrs.si/pregledPredpisa?id=ZAKO6655. </t>
  </si>
  <si>
    <t>Only permanent residents have equal access to higher education (Art 7 Higher Education Act) and state scholarships (Art 12 Scholarship Act)   Exceptions are certain bilateral agreements, for example, Scholarships AD FUTURA -For foreign nationals studying in the Republic of Slovenia under development agreements. The programme is implemented in cooperation with the Ministry of Foreign Affairs (MFA).</t>
  </si>
  <si>
    <t>under the same conditions that apply to Slovenian citizens</t>
  </si>
  <si>
    <t xml:space="preserve">Project-based learning for young adults (PUM-O+) is an active employment policy programme for the empowerment of young adults, with project work as its main learning method. The programme's main objective is to develop the resources for integration into the labour market or education.PUM-O+ is available for young people aged 15 to 26. The programme is open for  foreigners including persons with international protection registered at the Employment Office as active job seekers. </t>
  </si>
  <si>
    <t>Only some of b) and only some of c) do have. Social assistance is the main differentiating factor, hence, we assign "0".</t>
  </si>
  <si>
    <t>There are only ad hoc programmes - In 2021, Ministry for Labour (MDDSZ) launched a pilot project - programme Social activation aimed to help long term unemployed residents including foregners with permanent residence (embracing refugees as well)- till the end 0f 2022.</t>
  </si>
  <si>
    <t xml:space="preserve">Project-based learning for young adults (PUM-O+) is an active employment policy programme for the empowerment of young adults, with project work as its main learning method. The programme's main objective is to develop the resources for integration into the labour market or education. The programme is open for persons with international protection as well. </t>
  </si>
  <si>
    <t xml:space="preserve">There are only ad hoc programmes -The Employment Office invites/incites employeers to engage foreigners who don't speak Slovenian and receive social assistance and persons with recognised international prostection in training programmes for 6 months (the Employment Office will cover the expences for the medical check up and will pay 373 eur per month to the employer). </t>
  </si>
  <si>
    <t>Project-based learning for young adults (PUM-O+) is an active employment policy programme for the empowerment of young adults, with project work as its main learning method. The programme's main objective is to develop the resources for integration into the labour market or education. PUM-O+ is for young people aged 15 to 26.</t>
  </si>
  <si>
    <t>Article 6 (8)of the Employment, Self-employment and Work of Foreigners Act, was ammendend in 2023, when applicant for international protection were entitled with free access to the labour market after 3 months from the date of submission of the application (before they needed to wait for 9 months). Article 5 was ammended as well by claiming that the provisions of the law shall not apply to foreignres who are employed by public sector employers carrying out health care and social protection activities (due to the fact that there is an evident deficiency of qualified staff the Employment Office is not going to give its consent to public sector recruitments). Another ammendment in favour of foreign workers is made by allowing the holders of single permit during the validity period of the single permit to change employer and job position, or take up employment with several employers, only with the consent of the Employment Service of the Republic of Slovenia (ZRSZ), i.e. without a decision of the administrative unit.</t>
  </si>
  <si>
    <t xml:space="preserve">The Government Integration Strategy from 2023 sets a goal: The Employment Service of the Republic of Slovenia will, through a special INFO point inform, advise, train and educate migrant workers in the Republic of Slovenia and, within the framework of pre-integration measures, also in their countries of origin where the Republic of Slovenia has concluded agreements (Republic of Serbia, Bosnia and Herzegovina, etc.)
The purpose of pre-integration measures in countries of origin is multilayered and is a direct result of employers' information that they are not getting the number of workers they need, nor are they getting suitably skilled staff. The measures will aim to:
- face-to-face meetings of employers with potential workers,
- job fairs and opportunities to obtain information on rights and obligations, culture and requirements in the Republic of Slovenia before concluding an employment contract,
- for sought-after workforce, a language training with the purpose of obtaining a the work permit 
</t>
  </si>
  <si>
    <r>
      <t>The</t>
    </r>
    <r>
      <rPr>
        <sz val="12"/>
        <color theme="1"/>
        <rFont val="Aptos"/>
        <family val="2"/>
        <charset val="1"/>
      </rPr>
      <t xml:space="preserve"> </t>
    </r>
    <r>
      <rPr>
        <sz val="11"/>
        <color rgb="FF242424"/>
        <rFont val="Aptos Narrow"/>
        <family val="2"/>
        <charset val="1"/>
      </rPr>
      <t xml:space="preserve">Government Integration Strategy from 2023 includes  social activation programmes that in the special strand target (adult) women from other cultural backgrounds with language barriers who are: beneficiaries of the financial social assisstance  or registered as unemployed persons or registered as temporarily unemployable or inactive persons with complex social problems. </t>
    </r>
  </si>
  <si>
    <t>Article 6 (8) of the Employment, Self-employment and Work of Foreigners Act, was ammendend in 2023, when applicant for international protection were entitled with free access to the labour market after 3 months from the date of submission of the application (before they needed to wait for 9 months). Article 5 was ammended as well by claiming that the provisions of the law shall not apply to foreignres who are employed by public sector employers carrying out health care and social protection activities (due to the fact that there is an evident deficiency of qualified staff the Employment Office is not going to give its consent to public sector recruitments). Another ammendment in favour of foreign workers is made by allowing the holders of single permit during the validity period of the single permit to change employer and job position, or take up employment with several employers, only with the consent of the Employment Service of the Republic of Slovenia (ZRSZ), i.e. without a decision of the administrative unit.</t>
  </si>
  <si>
    <t>As above</t>
  </si>
  <si>
    <t xml:space="preserve">0 - bb29a=0 &amp; bb29b=0 &amp; bb29c=0
10 - bb29a=0 &amp; bb29b=50 &amp; bb29c=0
20 - bb29a=0 &amp; bb29b=100 &amp; bb29c=0
30 - bb29a=0 &amp; bb29b=0 &amp; bb29c=50
40 - bb29a=0 &amp; bb29b=50 &amp; bb29c=50
50 - bb29a=0 &amp; bb29b=100 &amp; bb29c=50
60 - bb29a=0 &amp; bb29b=0 &amp; bb29c=100
70 - bb29a=0 &amp; bb29b=50 &amp; bb29c=100                                                                                                                                                                                                                                                                                                                                                                                                                                                                                                                                 80 - bb29a=0 &amp; bb29b=100 &amp; bb29c=100
90 - bb29a=50
100 - bb29a=100
</t>
  </si>
  <si>
    <r>
      <rPr>
        <b/>
        <sz val="10"/>
        <color rgb="FF000000"/>
        <rFont val="Calibri"/>
        <family val="2"/>
      </rPr>
      <t>100</t>
    </r>
    <r>
      <rPr>
        <sz val="10"/>
        <color rgb="FF000000"/>
        <rFont val="Calibri"/>
        <family val="2"/>
      </rPr>
      <t xml:space="preserve"> - Allowed for both a) and b)
</t>
    </r>
    <r>
      <rPr>
        <b/>
        <sz val="10"/>
        <color rgb="FF000000"/>
        <rFont val="Calibri"/>
        <family val="2"/>
      </rPr>
      <t>75</t>
    </r>
    <r>
      <rPr>
        <sz val="10"/>
        <color rgb="FF000000"/>
        <rFont val="Calibri"/>
        <family val="2"/>
      </rPr>
      <t xml:space="preserve"> - Allowed for either a) or b)
</t>
    </r>
    <r>
      <rPr>
        <b/>
        <sz val="10"/>
        <color rgb="FF000000"/>
        <rFont val="Calibri"/>
        <family val="2"/>
      </rPr>
      <t>50</t>
    </r>
    <r>
      <rPr>
        <sz val="10"/>
        <color rgb="FF000000"/>
        <rFont val="Calibri"/>
        <family val="2"/>
      </rPr>
      <t xml:space="preserve"> - Restrictive definition of dependency (e.g. only one ground e.g. poor health or income or no access to social benefits) for both a) and b)
</t>
    </r>
    <r>
      <rPr>
        <b/>
        <sz val="10"/>
        <color rgb="FF000000"/>
        <rFont val="Calibri"/>
        <family val="2"/>
      </rPr>
      <t>25</t>
    </r>
    <r>
      <rPr>
        <sz val="10"/>
        <color rgb="FF000000"/>
        <rFont val="Calibri"/>
        <family val="2"/>
      </rPr>
      <t xml:space="preserve"> - Restrictive definition of dependency (e.g. only one ground e.g. poor health or income or no access to social benefits) for either a) or b)
</t>
    </r>
    <r>
      <rPr>
        <b/>
        <sz val="10"/>
        <color rgb="FF000000"/>
        <rFont val="Calibri"/>
        <family val="2"/>
      </rPr>
      <t>0</t>
    </r>
    <r>
      <rPr>
        <sz val="10"/>
        <color rgb="FF000000"/>
        <rFont val="Calibri"/>
        <family val="2"/>
      </rPr>
      <t xml:space="preserve"> - Not allowed or by discretion/exception for both a) and b)</t>
    </r>
  </si>
  <si>
    <r>
      <rPr>
        <b/>
        <sz val="10"/>
        <color rgb="FF000000"/>
        <rFont val="Calibri"/>
        <family val="2"/>
      </rPr>
      <t xml:space="preserve">100 </t>
    </r>
    <r>
      <rPr>
        <sz val="10"/>
        <color rgb="FF000000"/>
        <rFont val="Calibri"/>
        <family val="2"/>
      </rPr>
      <t xml:space="preserve">- No Requirement OR Voluntary course/information (please specify which)
</t>
    </r>
    <r>
      <rPr>
        <b/>
        <sz val="10"/>
        <color rgb="FF000000"/>
        <rFont val="Calibri"/>
        <family val="2"/>
      </rPr>
      <t>50</t>
    </r>
    <r>
      <rPr>
        <sz val="10"/>
        <color rgb="FF000000"/>
        <rFont val="Calibri"/>
        <family val="2"/>
      </rPr>
      <t xml:space="preserve"> - Requirement to take a language course
</t>
    </r>
    <r>
      <rPr>
        <b/>
        <sz val="10"/>
        <color rgb="FF000000"/>
        <rFont val="Calibri"/>
        <family val="2"/>
      </rPr>
      <t>0</t>
    </r>
    <r>
      <rPr>
        <sz val="10"/>
        <color rgb="FF000000"/>
        <rFont val="Calibri"/>
        <family val="2"/>
      </rPr>
      <t xml:space="preserve"> - Requirement includes language test/assessment</t>
    </r>
  </si>
  <si>
    <r>
      <rPr>
        <b/>
        <sz val="10"/>
        <color rgb="FF000000"/>
        <rFont val="Calibri"/>
        <family val="2"/>
      </rPr>
      <t>100</t>
    </r>
    <r>
      <rPr>
        <sz val="10"/>
        <color rgb="FF000000"/>
        <rFont val="Calibri"/>
        <family val="2"/>
      </rPr>
      <t xml:space="preserve"> -  A1 or less set as standard
</t>
    </r>
    <r>
      <rPr>
        <b/>
        <sz val="10"/>
        <color rgb="FF000000"/>
        <rFont val="Calibri"/>
        <family val="2"/>
      </rPr>
      <t>50</t>
    </r>
    <r>
      <rPr>
        <sz val="10"/>
        <color rgb="FF000000"/>
        <rFont val="Calibri"/>
        <family val="2"/>
      </rPr>
      <t xml:space="preserve"> - A2 set as standard
</t>
    </r>
    <r>
      <rPr>
        <b/>
        <sz val="10"/>
        <color rgb="FF000000"/>
        <rFont val="Calibri"/>
        <family val="2"/>
      </rPr>
      <t>0</t>
    </r>
    <r>
      <rPr>
        <sz val="10"/>
        <color rgb="FF000000"/>
        <rFont val="Calibri"/>
        <family val="2"/>
      </rPr>
      <t xml:space="preserve"> - B1 or higher set as standard. OR no standards, based on administrative discretion. (please specify which)</t>
    </r>
  </si>
  <si>
    <t>Art. 47. of the  Foreigners Acts lists eligible relatives for family reunification. Exceptionally, the competent authority may also consider another relative of the foreigner to be a family member if special circumstances are in favour of family reunification in the Republic of Slovenia.</t>
  </si>
  <si>
    <t>at the level of social assistance and no income source  is excluded (savings count)</t>
  </si>
  <si>
    <t>For applications for family reunification submitted after 26.05.2021 (amendment ZTuj  2F enters into force), family reunification requires the provision of means of subsistence, which now includes only the net salary, excluding allowances and reimbursements, social benefits.</t>
  </si>
  <si>
    <t>Family reunification requires  the provision of means of subsistence, which now includes only the net salary, excluding allowances and reimbursements, and the applicant's savings.</t>
  </si>
  <si>
    <t xml:space="preserve">Following the entry into force of the amendment to the Foreignrs Act (ZTuj-2H) in 2023, the period for which a foreigner gets the right to family reunification has been reduced from two years to one year. </t>
  </si>
  <si>
    <t xml:space="preserve">In November 2023, the Amendment of the Foreigners Act (ZTuj-2H) entered into force.
For the extension of a temporary residence permit for the purpose of family reunification to an adult family member (aged between 18 and 60), the amendments  introduced the language requirement - knowledge of the Slovenian language at the so-called survival level is also set. Note: initial temporary residence permit for a family member can be issued for the maximum period of 1 year (or less, depending on the duration of the sponsor’s permit)
A transitional period has been established by the law under which family members do not have to comply with the requirement in 2023 and until May 2024; the language requirement comes into force in 2024, so that by the end of October, in the process of extending a temporary residence permit for the purpose of family reunification, it is necessary to submit a certificate of enrolment in a non-formal adult education programme for learning the Slovene language or a certificate of enrolment in a publicly valid adult education programme; as of 1 November 2024, the requirement of Slovenian language proficiency shall be proved by a certificate of passing an examination in Slovenian language proficiency at the subsistence level. We therefore propose that the score for 2023 should not be changed, but that the score for 2024 should be changed in the light of the described regulation, which will come into force on 1 November 2024.
</t>
  </si>
  <si>
    <t>In November 2023, the Amendment of the Foreigners Act (ZTuj-2H) entered into force, establishing language requirement for the extension of the temporary residence permit for family members (See bb29a 2023). It set 'survival' language level as condition - equal to A1. Therefore we propose no changes to the score.</t>
  </si>
  <si>
    <t>Family reunification requires the provision of means of subsistence, which now includes only the net salary, excluding allowances and reimbursements, and the applicant's savings.</t>
  </si>
  <si>
    <t>See above</t>
  </si>
  <si>
    <t xml:space="preserve">Family reunification requires the provision of means of subsistence, which now includes only the net salary, excluding allowances and reimbursements, and the applicant's savings. the amount of cash social assistance has been increased from 1 April 2024 (census) and now also applies to family reunification financial criteria. </t>
  </si>
  <si>
    <t>Applications  for a prolongation of the family reunification permit for an adult family member:
submimtted from 1.5.to 31.10.2024, must be accompanied by a certificate of enrolment in a non-formal adult education programme for learning the Slovene language or in a publicly valid programme which does not lead to a publicly valid qualification.from November 2024 onwards, proof of Slovenian language skills at a survival level must be provided.</t>
  </si>
  <si>
    <r>
      <rPr>
        <b/>
        <sz val="10"/>
        <color rgb="FF000000"/>
        <rFont val="Calibri"/>
        <family val="2"/>
      </rPr>
      <t>100</t>
    </r>
    <r>
      <rPr>
        <sz val="10"/>
        <color rgb="FF000000"/>
        <rFont val="Calibri"/>
        <family val="2"/>
      </rPr>
      <t xml:space="preserve"> - Both of these
</t>
    </r>
    <r>
      <rPr>
        <b/>
        <sz val="10"/>
        <color rgb="FF000000"/>
        <rFont val="Calibri"/>
        <family val="2"/>
      </rPr>
      <t>50</t>
    </r>
    <r>
      <rPr>
        <sz val="10"/>
        <color rgb="FF000000"/>
        <rFont val="Calibri"/>
        <family val="2"/>
      </rPr>
      <t xml:space="preserve"> - One of these (please specify)
</t>
    </r>
    <r>
      <rPr>
        <b/>
        <sz val="10"/>
        <color rgb="FF000000"/>
        <rFont val="Calibri"/>
        <family val="2"/>
      </rPr>
      <t>0</t>
    </r>
    <r>
      <rPr>
        <sz val="10"/>
        <color rgb="FF000000"/>
        <rFont val="Calibri"/>
        <family val="2"/>
      </rPr>
      <t xml:space="preserve"> - Intercultural education not included in curriculum, or intercultural education does not include appreciation of cultural diversity (please specify).</t>
    </r>
  </si>
  <si>
    <t>Undocumented migrants have only right to primary (compulsory) education (Art. 10 Primary Law Act). Asylum seekers do not have access to public pre-primary education (the Law on Kindergartens in Art. 10 and 28. prescribes that children of TCNs have same access to pre-primary education, if at least one of the parents is "personal income taxpayer" (zavezanec za dohodnino).Foreign nationals residing in the Republic of Slovenia who are themselves, or at least one of the parents/guardians are resident in the RS for tax purposes, and persons granted international/temporary protection and applicants for this status shall register in  the application deadlines and the places available for Slovene citizens and nationals of EU Member States (source: https://www.uni-lj.si/studij/dodiplomski-in-enoviti-magistrski-studij/razpis-za-vpis). TCNs have same access as nationals under the condition of reciprocity - otherwise they need to pay tuition (bilateral agreement (Bosnia and Herzegovina, North Macedonia, Montenegro, Kosovo and Serbia).</t>
  </si>
  <si>
    <r>
      <rPr>
        <sz val="10"/>
        <color rgb="FF000000"/>
        <rFont val="Calibri"/>
        <family val="2"/>
      </rPr>
      <t>There is a lack of support for pre-primary education. The Primary School Act (ZOsn) (Art.8) stipulates: For children residing in the Republic of Slovenia whose mother tongue is not Slovene, instruction in Slovene language and culture shall be organised at the time of enrolment in primary school, and, in cooperation with the countries of origin, instruction in their mother tongue and culture shall also be organised. The Act on Gymnasia (ZGim) (Art.9) stipulates:
For students referred to in the previous paragraph who have passed the Common Framework of Reference for Languages at A2 level and want additional help, the school organises additional Slovenian lessons. For students who have not passed the Slovenian language proficiency test, the school organises additional Slovenian lessons, which are compulsory for them.</t>
    </r>
    <r>
      <rPr>
        <b/>
        <sz val="10"/>
        <color rgb="FF000000"/>
        <rFont val="Calibri"/>
        <family val="2"/>
      </rPr>
      <t xml:space="preserve"> The formal language support in primary and secondary education  lacks full implementation in practice due to lack of staff and insufficient number of hours for languauge instruction.) </t>
    </r>
  </si>
  <si>
    <t>PRIMARY SCHOOL In February 2020, the General Education Council adopted the curricula for the initial teaching of Slovenian to immigrant pupils in the first, second and third educational periods in primary school. The curricula also provide for the knowledge of the providers, with the first and second educational periods being taught by classroom teachers or Slovenian teachers, and the third educational period being taught by Slovenian teachers. The Ministry offers lessons in Slovenian language to primary schools with immigrant pupils. The organisation of the initial lessons or the organisation of additional Slovenian lessons is carried out in accordance with Article 43c of the Regulations on Norms and Standards for the Implementation of the Primary School Curriculum, which entered into force in full in the 2021/22 school year. For pupils whose mother tongue is not Slovene (foreign pupils), when they enrol in a primary school in the Republic of Slovenia, the school organises additional lessons in Slovene in the first year. For foreign pupils who join a primary school in the first assessment period, the school shall organise additional Slovenian lessons.</t>
  </si>
  <si>
    <t>Integration courses and language support do not qualify for a and b</t>
  </si>
  <si>
    <t xml:space="preserve">Mrs. Maja Mihelič Debeljak, Director of the Office for Educational Development and Quality explained that although there is no direct obligation for the teachers to attend programmes focusing on intercultural education and cultural diversity, certain contents (such as cultural sensitivity) are included in the regular curriculum in the frames of the pedagogical and andragogical education. Also, the teachers have the right to continuing professional education and training (3 days per year or 15 days in 3 years) according to the Collective agreement for the education and training sector in the Republic of Slovenia by setting an obligation to the employer to cover the costs for professional education and training activities. (Article 53, Collective agreement for the education and training sector). Catalogue of training courses: https://paka3.mss.edus.si/Katis/KatalogProgramov.aspx
</t>
  </si>
  <si>
    <t>SECONDARY SCHOOL Act on Gymnasia (ZGim) (Art.9) and Vocational and Professional Education Act (Art.7) stipulate: For secondary school pupils who have not completed their primary education in the Republic of Slovenia or who have entered the ninth grade of primary school in the Republic of Slovenia for the first time and have not passed the Common European Framework of Reference for Languages at A2 level, the school organises an intensive course in Slovenian at the beginning of the school year, at the time of their first entry into secondary school, according to the relevant publicly valid curriculum, which is compulsory for these pupils. For pupils referred to in the previous paragraph who, after completing the course, have successfully passed the Slovenian language proficiency test according to the Common Framework of Reference for Languages at A2 level and wish to receive additional assistance, the school shall organise additional Slovenian language lessons. For pupils who have not passed the Slovenian language proficiency test, the school organises additional Slovenian lessons, which are compulsory for them. The Centre for Slovene as a Second and Foreign Language at the Faculty of Arts of the University of Ljubljana also organises courses for adult immigrants and enables users to prepare for and pass the Slovene language exam at various levels. In October 2020, it completed the Evaluation of Models of Learning and Teaching Slovene as a Second Language for Students for whom Slovene is not their first language. The report was approved by the Quality and Evaluation Council in May 2021. https://www.gov.si/teme/jeziki-v-vzgoji-in-izobrazevanju/.                                 In a phone conversation (5.8.2024), Mrs. Ina Ferbežar, PhD, Head at the Exam Centre at the Centre for Slovene as a Second and Foreign Language explained that they are following internationally recognised language standards, and the implementation of language courses and evaluation of language tests are internationally monitored and controlled. The interviewed expert expressed her worries regarding introduction and implementation of the survival-level Slovenian tests administered by the Government Office of the Republic of Slovenia for the Support and Integration of Migrants and the European Asylum, Migration and Integration Fund (AMIF) that would hand over the testing to private institution(s) that might not have established common standard rules.</t>
  </si>
  <si>
    <t>The education was provided to Ukrainians who have fled to Slovenia since 24 February 2022, thanks to a government decision on the introduction of temporary protection for displaced persons from Ukraine, which entered into force 10.3.2022.</t>
  </si>
  <si>
    <t>Foreigners and Slovenes without Slovenian citizenship are given the opportunity to learn Slovene. The detailed arrangements for the development and teaching of Slovene shall be determined by the Minister responsible for higher education. (Article 8 of the Higher Education Act (ZViS) The legislator stipulates that funds shall be allocated to higher education institutions and other bodies for the pursuit of nationally important tasks in the public interest in the field of higher education such as the development and teaching of the Slovene language. Concern for the development and teaching of the Slovene language mentioned in the Higher Education Act among other things includes teaching and advanced training in Slovene for foreigners. Article 72l. of ZViS https://pisrs.si/pregledPredpisa?id=ZAKO172 In this sense, it is important to mention the so-called Year Plus that could be perceived as a state led initiative having in mind that the core ground for its establishment can be found in the above-mentioned legal act. The Year Plus is available at almost all universities in Slovenia (both state and private ones): Ljubljana, Maribor, Primorska and Nova Gorica. See: https://studyinslovenia.si/study/learning-slovene/. Year plus programme - https://arhiv.uni-lj.si/study/year-plus/ included: Learning Slovene for free to help international students to adapt to the Slovenian system and culture; Extension of student status possible when meeting certain requirements; Learning Slovene and fullfiling the study obligations in your degree programme parallely. Although first introduced in 2017 at the University in Ljubljana, its visibility has not been actual since the arrival of the Ukrainian students (2022). In 2022, the University of Maribor has made it possible for refugee students from Ukraine to enrol for the current academic year through the Erasmus+ programme. Although it is not clear from the websites when exactly the universities have started implementing the Year Plus, in some universities already since 2018.</t>
  </si>
  <si>
    <r>
      <rPr>
        <sz val="10"/>
        <color rgb="FF000000"/>
        <rFont val="Calibri"/>
        <family val="2"/>
      </rPr>
      <t xml:space="preserve">Consultation of foreign residents on national level:
</t>
    </r>
    <r>
      <rPr>
        <b/>
        <sz val="10"/>
        <color rgb="FF000000"/>
        <rFont val="Calibri"/>
        <family val="2"/>
      </rPr>
      <t>Regular consultation</t>
    </r>
    <r>
      <rPr>
        <sz val="10"/>
        <color rgb="FF000000"/>
        <rFont val="Calibri"/>
        <family val="2"/>
      </rPr>
      <t xml:space="preserve">: consultation of immigrant population or of immigrant associations is structurally organised for policies which are relevant for foreign residents
</t>
    </r>
    <r>
      <rPr>
        <b/>
        <sz val="10"/>
        <color rgb="FF000000"/>
        <rFont val="Calibri"/>
        <family val="2"/>
      </rPr>
      <t>Ad-hoc consultation</t>
    </r>
    <r>
      <rPr>
        <sz val="10"/>
        <color rgb="FF000000"/>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</si>
  <si>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t xml:space="preserve">100 </t>
    </r>
    <r>
      <rPr>
        <sz val="10"/>
        <color rgb="FF000000"/>
        <rFont val="Calibri"/>
        <family val="2"/>
      </rPr>
      <t xml:space="preserve">- Policy of information  by state targeted at migrant on individual basis (through individualised meeting or one-stop-shop)
</t>
    </r>
    <r>
      <rPr>
        <b/>
        <sz val="10"/>
        <color rgb="FF000000"/>
        <rFont val="Calibri"/>
        <family val="2"/>
      </rPr>
      <t xml:space="preserve">50 </t>
    </r>
    <r>
      <rPr>
        <sz val="10"/>
        <color rgb="FF000000"/>
        <rFont val="Calibri"/>
        <family val="2"/>
      </rPr>
      <t xml:space="preserve">- Policy of information on general basis  (through individual campaigns in certain regions, brochures, websites updated on a regular basis)
</t>
    </r>
    <r>
      <rPr>
        <b/>
        <sz val="10"/>
        <color rgb="FF000000"/>
        <rFont val="Calibri"/>
        <family val="2"/>
      </rPr>
      <t>0</t>
    </r>
    <r>
      <rPr>
        <sz val="10"/>
        <color rgb="FF000000"/>
        <rFont val="Calibri"/>
        <family val="2"/>
      </rPr>
      <t xml:space="preserve"> - No active policy of information in the last year</t>
    </r>
  </si>
  <si>
    <t>Local elections Act (ZLV) , Art. 5: A citizen of another Member State of the European Union who holds a certificate of registration of permanent residence and a registered permanent place of residence in the Republic of Slovenia or a certificate of registration of residence and a registered temporary place of residence in the Republic of Slovenia shall also have the right to vote and stand for election as a member of a municipal council 
TCN who have a permanent residence permit and a registered permanent residence in the Republic of Slovenia shall also have the right to vote for a member of the municipal council.</t>
  </si>
  <si>
    <r>
      <rPr>
        <sz val="10"/>
        <color rgb="FF000000"/>
        <rFont val="Calibri"/>
        <family val="2"/>
      </rPr>
      <t xml:space="preserve">Political Parties Act (ZPolS), Articles 6. and 7. A foreigner cannot become a member of the Party, but </t>
    </r>
    <r>
      <rPr>
        <b/>
        <sz val="10"/>
        <color rgb="FF000000"/>
        <rFont val="Calibri"/>
        <family val="2"/>
      </rPr>
      <t xml:space="preserve">may become an honorary member </t>
    </r>
    <r>
      <rPr>
        <sz val="10"/>
        <color rgb="FF000000"/>
        <rFont val="Calibri"/>
        <family val="2"/>
      </rPr>
      <t>of the Party if the Party's statutes so provide.</t>
    </r>
  </si>
  <si>
    <t>National consulting body (Svet za vključevanje tujcev -Council for the Integration of Foreigners was established in 2012, but it has only advisory role. (https://www.gov.si/zbirke/delovna-telesa/svet-za-vkljucevanje-tujcev/)</t>
  </si>
  <si>
    <r>
      <t>The</t>
    </r>
    <r>
      <rPr>
        <b/>
        <sz val="10"/>
        <color rgb="FF000000"/>
        <rFont val="Calibri"/>
        <family val="2"/>
      </rPr>
      <t xml:space="preserve"> Info Point (information one-stop-shop) for foreigners was established by the Employment Service of Slovenia as a pilot project in 2010. </t>
    </r>
    <r>
      <rPr>
        <sz val="10"/>
        <color rgb="FF000000"/>
        <rFont val="Calibri"/>
        <family val="2"/>
      </rPr>
      <t>It ceased to operate in 2015 due to a lack of funding and during this time the information was provided only through website and on ad hoc basis. The Info Point was re-established  in 2019 (https://www.ess.gov.si/iskalci-zaposlitve/zaposlitev-tujih-drzavljanov/).</t>
    </r>
    <r>
      <rPr>
        <b/>
        <sz val="10"/>
        <color rgb="FF000000"/>
        <rFont val="Calibri"/>
        <family val="2"/>
      </rPr>
      <t xml:space="preserve"> In</t>
    </r>
    <r>
      <rPr>
        <sz val="10"/>
        <color rgb="FF000000"/>
        <rFont val="Calibri"/>
        <family val="2"/>
      </rPr>
      <t xml:space="preserve"> April </t>
    </r>
    <r>
      <rPr>
        <b/>
        <sz val="10"/>
        <color rgb="FF000000"/>
        <rFont val="Calibri"/>
        <family val="2"/>
      </rPr>
      <t>2010, the Ministry of Interior I launched an independent website www.infotujci.si</t>
    </r>
    <r>
      <rPr>
        <sz val="10"/>
        <color rgb="FF000000"/>
        <rFont val="Calibri"/>
        <family val="2"/>
      </rPr>
      <t xml:space="preserve"> to provide information to foreigners. The original website offered information in Slovenian and six foreign languages. The site has been redesigned and updated several times and is currently active in Slovenian and English. It offers information for third-country nationals, for beneficiaries of international protection and information on integration into Slovenian society. (https://infotujci.si/drzavljani-tretjih-drzav/)</t>
    </r>
  </si>
  <si>
    <r>
      <rPr>
        <b/>
        <sz val="10"/>
        <color rgb="FF000000"/>
        <rFont val="Calibri"/>
        <family val="2"/>
      </rPr>
      <t xml:space="preserve">The Integration Strategy (november 2023) foresees establishment of Municipal Councils for Foreigners as a consultative body of local authorities or designation of a person in the municipal administration for the rights of aliens relating to the competences of municipalities (Government Office for Integration and Care of Migrants - UOIM). </t>
    </r>
    <r>
      <rPr>
        <sz val="10"/>
        <color rgb="FF000000"/>
        <rFont val="Calibri"/>
        <family val="2"/>
      </rPr>
      <t>The Peace Institute, the Gmajna Cultural Association and the Community of Municipalities of Slovenia, the Slovenian partners in the EMVI project, have addressed an initiative to the Municipality of Ljubljana (MOL) to cooperate in the establishment of a council for the integration of migrants. In March 2023, at the invitation of the Vice-Mayor of the MOL, a joint meeting of the EMVI project partners and representatives of the MOL took place on this topic. (https://skupnostobcin.si/2023/03/10/z-mestno-obcino-ljubljana-o-vzpostavitvi-sveta-za-integracijo-migrantov/#). In 2023 DECIDIM pilot platform aimed at strengthening the political participation of migrants living in Ljubljana was launched. (https://skupnostobcin.si/2023/11/06/pilotna-platforma-decidim-krepitev-politicne-participacije-migrantov/)</t>
    </r>
  </si>
  <si>
    <r>
      <rPr>
        <sz val="10"/>
        <color rgb="FF000000"/>
        <rFont val="Calibri"/>
        <family val="2"/>
      </rPr>
      <t xml:space="preserve">Between 28 July and 8 September 2023, a public call for proposals was opened for the selection of cultural projects in the field of various minority ethnic communities and immigrants in the Republic of Slovenia, to be co-financed in 2023 by the Public Fund for Cultural Activities of the Republic of Slovenia (Etn-2023). The average amount awarded per approved project was €1,126.74. - </t>
    </r>
    <r>
      <rPr>
        <sz val="10"/>
        <color rgb="FFFF0000"/>
        <rFont val="Calibri"/>
        <family val="2"/>
      </rPr>
      <t xml:space="preserve">the answer is 0, because it is only project based. </t>
    </r>
  </si>
  <si>
    <r>
      <rPr>
        <b/>
        <sz val="10"/>
        <color rgb="FF000000"/>
        <rFont val="Calibri"/>
        <family val="2"/>
      </rPr>
      <t>100</t>
    </r>
    <r>
      <rPr>
        <sz val="10"/>
        <color rgb="FF000000"/>
        <rFont val="Calibri"/>
        <family val="2"/>
      </rPr>
      <t xml:space="preserve"> - None or at/below level of social assistance and no income source is excluded (please specify)
</t>
    </r>
    <r>
      <rPr>
        <b/>
        <sz val="10"/>
        <color rgb="FF000000"/>
        <rFont val="Calibri"/>
        <family val="2"/>
      </rPr>
      <t>50</t>
    </r>
    <r>
      <rPr>
        <sz val="10"/>
        <color rgb="FF000000"/>
        <rFont val="Calibri"/>
        <family val="2"/>
      </rPr>
      <t xml:space="preserve"> - Higher than social assistance and no income source is excluded
</t>
    </r>
    <r>
      <rPr>
        <b/>
        <sz val="10"/>
        <color rgb="FF000000"/>
        <rFont val="Calibri"/>
        <family val="2"/>
      </rPr>
      <t>0</t>
    </r>
    <r>
      <rPr>
        <sz val="10"/>
        <color rgb="FF000000"/>
        <rFont val="Calibri"/>
        <family val="2"/>
      </rPr>
      <t xml:space="preserve"> - Income source linked to employment or no use of social assistance</t>
    </r>
  </si>
  <si>
    <t>Foreigners who apply for a permit for permanent residence, must at the request of the competent body, enclose with the application, evidence of the funds required to support themselves, evidence demonstrating their entitlement; the law states that the funds must equal efficient means of subsistence (per month at least in the amount of the basic minimum income in the Republic of Slovenia).</t>
  </si>
  <si>
    <t>no time limit</t>
  </si>
  <si>
    <t>Once long term residence is acquired there is no need to renew it as it is not limited with time.</t>
  </si>
  <si>
    <t>This is not condition for renewal (since perit is permanent and there is no need for renewal) but for termination: permanent residence permit can be terminated if the person stays outside of EU MS for one year or more, unless he/she was sent abroad for work, studies or medical treatment.</t>
  </si>
  <si>
    <r>
      <rPr>
        <sz val="10"/>
        <color rgb="FF000000"/>
        <rFont val="Calibri"/>
        <family val="2"/>
      </rPr>
      <t xml:space="preserve">Art. 35 of Law on  Amendments to the Foreigners Act (ZTuj-2F) introduces the requirement of knowledge of the Slovene language at the basic level, as evidenced by a certificate of successful completion of the examination in Slovene at the basic level (A2 of the Common European Framework of Reference for Languages). </t>
    </r>
    <r>
      <rPr>
        <sz val="10"/>
        <color rgb="FFFF0000"/>
        <rFont val="Calibri"/>
        <family val="2"/>
      </rPr>
      <t>The condition of knowledge of the Slovene language at the basic level does not have to be fulfilled by a foreigner who, due to health impairments that prevent everyday communication, is unable to pass the examination in the required form. Proof of fulfilment of this condition in the event of an alleged factual situation of inability to pass the examination shall be carried out by an expert. The foreigner shall bear the costs incurred in making such proof.   These provisions become applicable in 2024, this is why we propose that the score changes accordingly for 2024.</t>
    </r>
  </si>
  <si>
    <t xml:space="preserve">For applications for permanent residence submitted after 26.05.2021 (amendment ZTuj 2F enters into force), applicants must prove sufficient means of subsistence in the monthly amount at least equal to the basic amount of the minimum income in the Republic of Slovenia.  This may be achieved by means of work or insurance entitlements other than reimbursement of work-related expenses, by means of income from property, capital and other sources, or by means of assistance from those who are obliged to support him, by means of a grant, or by means of funds in an account opened with a bank or savings bank in the Republic of Slovenia or abroad. This means than now only net salary is considered (without any work-related subsistence and transport allowances/reimbursements) and  excluding  any social benefits. </t>
  </si>
  <si>
    <t>Art. 52 of the Foreigners Act</t>
  </si>
  <si>
    <t>Art. 51(1) of the Foreigners Act prescribes:  A permanent residence permit may be issued to a foreigner who has been lawfully residing in the Republic of Slovenia for five continuous years on the basis of a temporary residence permit or a certificate of an application for the extension or further issue of a temporary residence permit or a certificate of an application for the issue of a first temporary residence permit</t>
  </si>
  <si>
    <r>
      <t xml:space="preserve">100 </t>
    </r>
    <r>
      <rPr>
        <sz val="10"/>
        <color rgb="FF000000"/>
        <rFont val="Calibri"/>
        <family val="2"/>
      </rPr>
      <t xml:space="preserve">- No requirement for anyone
</t>
    </r>
    <r>
      <rPr>
        <b/>
        <sz val="10"/>
        <color rgb="FF000000"/>
        <rFont val="Calibri"/>
        <family val="2"/>
      </rPr>
      <t xml:space="preserve">50 </t>
    </r>
    <r>
      <rPr>
        <sz val="10"/>
        <color rgb="FF000000"/>
        <rFont val="Calibri"/>
        <family val="2"/>
      </rPr>
      <t xml:space="preserve">- Yes, but with multiple substantive exemptions: a. On humanitarian grounds (e.g. for refugees, stateless); b. On accessibility grounds (e.g. cost, distance, impossibility))
</t>
    </r>
    <r>
      <rPr>
        <b/>
        <sz val="10"/>
        <color rgb="FF000000"/>
        <rFont val="Calibri"/>
        <family val="2"/>
      </rPr>
      <t xml:space="preserve">0 </t>
    </r>
    <r>
      <rPr>
        <sz val="10"/>
        <color rgb="FF000000"/>
        <rFont val="Calibri"/>
        <family val="2"/>
      </rPr>
      <t>- Yes, and no substantive exceptions (beyond humanitarian reasons, e.g., exemptions only for spouses, citizens of certain countries /person not being able to renounce origin country citizenship)</t>
    </r>
  </si>
  <si>
    <t xml:space="preserve">Article 10 of the Citizenship Act requires that the person has actually been living in Slovenia for 10 years, of which for the past 5 years prior to the submission of the application continuously and has the lawful status of a feoreigner. Persons with  refugee status may apply for citizenship of the Republic of Slovenia after five years of residence in the Republic of Slovenia if they also fulfil the other conditions prescribed by the Citizenship of the Republic of Slovenia Act. Beside long term of residence prescribed, another issue is the lengthy procedures for obtaining citizenship, which can last for several years. </t>
  </si>
  <si>
    <r>
      <rPr>
        <sz val="10"/>
        <color rgb="FF000000"/>
        <rFont val="Calibri"/>
        <family val="2"/>
      </rPr>
      <t>Based on Article 9 of the Citizenship Act, A child born or found in the territory of the Republic of Slovenia shall acquire citizenship of the Republic of Slovenia if his/her father and mother</t>
    </r>
    <r>
      <rPr>
        <b/>
        <sz val="10"/>
        <color rgb="FF000000"/>
        <rFont val="Calibri"/>
        <family val="2"/>
      </rPr>
      <t xml:space="preserve"> are unknown or of unknown citizenship, or stateless</t>
    </r>
    <r>
      <rPr>
        <sz val="10"/>
        <color rgb="FF000000"/>
        <rFont val="Calibri"/>
        <family val="2"/>
      </rPr>
      <t>. Upon request of the parents, citizenship of the Republic of Slovenia of a child who acquired citizenship of the Republic of Slovenia in accordance with the preceding paragraph, shall be lost if prior to the age of 18 years it is discovered that the parents are foreign citizens. Citizenship shall be lost on the day the decision was handed over.</t>
    </r>
  </si>
  <si>
    <t xml:space="preserve">There is no requerement. </t>
  </si>
  <si>
    <t xml:space="preserve">Ina Ferbežar, PhD responsible for the Exam Centre in the frames of the Centre for Slovene as a Second and Foreign Language has confirmed that the scoring standard is unchanged since 2015 – the candidates who have successfully passed the test receive A2 or B1 certificate depending on the score achieved. According to the claiming of persons approaching the exam and employees and volunteers at some CSOs providing support to migrants that there is a slight tendency to make tests stricter by time. </t>
  </si>
  <si>
    <t>Protection against Discrimination Act (PADA) - adopted in 2016</t>
  </si>
  <si>
    <t>Protection against Discrimination Act (adopted in 2016)</t>
  </si>
  <si>
    <t>Protection against Discrrimination Act</t>
  </si>
  <si>
    <t>Protection against Discrimination Act</t>
  </si>
  <si>
    <t>Protection Against Discrimination Act</t>
  </si>
  <si>
    <t>In 2016 the National Assembly of the Republic of Slovenia adopted a Protection Against Discrimination Act (PADA) which established the Advocate of the Principle of Equality, an independent and autonomous state body mandated to deal with discrimination.</t>
  </si>
  <si>
    <t>The Advocate accepts complaints of alleged victims of discrimination and investigates discrimination in official procedures. At the same time, the equality body provides independent assistance in exercising the rights of victims in administrative and judicial proceedings related to discrimination, participates in judicial proceedings linked to discrimination by representing or accompanying a discriminated person in judicial proceedings. The Advocate also assesses the discriminativeness of regulations and may also lodge an appeal for an assessment of the constitutionality and legality of regulations and general legal instruments. Before 2020 legal services that systematically worked on these cases didn’t actually exist. It took some time to actually set up the legal service by the advocates. C already existed in the previous evaluation, and there have been improvements.</t>
  </si>
  <si>
    <t>Law is always unchanged. Articles 17. and 18. of the Protection Against Discrimination Act (Slv. Zakon o varstvu pred diskriminacijo - ZVarD)</t>
  </si>
  <si>
    <t xml:space="preserve">Art. 15 of the Heath Care and Health Insurance Act lists states that migrant with permanent residence permit are covered by the same system as nationals. </t>
  </si>
  <si>
    <t xml:space="preserve">Migrants who are not included in  the national system of health care in Slovenia have the right to urgent or necessary health care services. The right to emergency health care (nujno zdravljenje)  is considered to be an universal right accessible to the general population living in Slovenia or passing through its teritory. </t>
  </si>
  <si>
    <r>
      <t xml:space="preserve">Condition: residence in asylum-seeker centre. In line with the Law on international protection (Art. 78) asylum seekers </t>
    </r>
    <r>
      <rPr>
        <b/>
        <sz val="10"/>
        <color rgb="FF000000"/>
        <rFont val="Calibri"/>
        <family val="2"/>
      </rPr>
      <t>in reception centres</t>
    </r>
    <r>
      <rPr>
        <sz val="10"/>
        <color rgb="FF000000"/>
        <rFont val="Calibri"/>
        <family val="2"/>
      </rPr>
      <t xml:space="preserve"> are entitled to emergency health care. According to Art. 86, the emergency health care includes the right to:
1. emergency medical treatment and emergency ambulance transport as decided by a doctor, and the right to emergency dental treatment;
2. emergency medical treatment at the discretion of the attending physician, including:
- preservation of vital functions, stopping major bleeding or preventing bleeding;
- preventing a sudden deterioration of a medical condition that could lead to permanent impairment of individual organs or vital functions;
- treatment of shock;
- services for chronic diseases and conditions, the failure of which would lead directly and in a short time to disability, other permanent impairment of health or death;
- treatment of febrile conditions and prevention of the spread of infection which could lead to a septic condition;
- treatment or prevention of poisoning;
- treatment of bone fractures or sprains and other injuries requiring medical attention;
- positive and intermediate list medicines in accordance with the list of interchangeable medicines prescribed on prescription for the treatment of the diseases and conditions listed;
3. women's healthcare: contraceptives, termination of pregnancy, medical care in pregnancy and childbirth.
(2) A </t>
    </r>
    <r>
      <rPr>
        <b/>
        <sz val="10"/>
        <color rgb="FF000000"/>
        <rFont val="Calibri"/>
        <family val="2"/>
      </rPr>
      <t>vulnerable person with special needs</t>
    </r>
    <r>
      <rPr>
        <sz val="10"/>
        <color rgb="FF000000"/>
        <rFont val="Calibri"/>
        <family val="2"/>
      </rPr>
      <t xml:space="preserve">, and exceptionally another applicant, shall be </t>
    </r>
    <r>
      <rPr>
        <b/>
        <sz val="10"/>
        <color rgb="FF000000"/>
        <rFont val="Calibri"/>
        <family val="2"/>
      </rPr>
      <t>entitled to an additional range of health services,</t>
    </r>
    <r>
      <rPr>
        <sz val="10"/>
        <color rgb="FF000000"/>
        <rFont val="Calibri"/>
        <family val="2"/>
      </rPr>
      <t xml:space="preserve"> including psychotherapeutic assistance, approved and determined by the committee . (3) </t>
    </r>
    <r>
      <rPr>
        <b/>
        <sz val="10"/>
        <color rgb="FF000000"/>
        <rFont val="Calibri"/>
        <family val="2"/>
      </rPr>
      <t>Minor asylum seekers and asylum seekers who are unaccompanied minors</t>
    </r>
    <r>
      <rPr>
        <sz val="10"/>
        <color rgb="FF000000"/>
        <rFont val="Calibri"/>
        <family val="2"/>
      </rPr>
      <t xml:space="preserve"> shall be entitled to health care to the </t>
    </r>
    <r>
      <rPr>
        <b/>
        <i/>
        <sz val="10"/>
        <color rgb="FF000000"/>
        <rFont val="Calibri"/>
        <family val="2"/>
      </rPr>
      <t>same extent as children who are compulsorily insured as members of the family.</t>
    </r>
    <r>
      <rPr>
        <sz val="10"/>
        <color rgb="FF000000"/>
        <rFont val="Calibri"/>
        <family val="2"/>
      </rPr>
      <t xml:space="preserve"> Children attending school after the age of 18 shall be entitled to the same extent to health care until the end of their schooling, up to the age of 26.</t>
    </r>
  </si>
  <si>
    <t>All migrants who do not have access to the national system of health care also do not have access to medical treatments covered by compulsory health contribution (voluntary health insurance system was terminated in December 2023) are entitled to emergency health care. The right to emergency health care is supposed to be a universal right accessible to the general population living in Slovenia or passing through its territory. 
Asylum seekers are entitled to urgent medical care only, but there is also a nurse in the reception center for asylum seeker, who they can turn to in all cases of illness. It is the nurse who refers the asylum seekers to a local health center, in case a need arises. In that sense, whether the asylum seeker will receive treatment depends on the discretion of the nurse in question. For the services that are not covered by the urgent medical care, a special commission, appointed by the Ministry of the Interior, makes a decision of whether the asylum seeker needs the treatment or not.</t>
  </si>
  <si>
    <t>Undocumented migrants are excluded from system of health care coverage.Theoretically they have the possibility of paying for private insurance (e.g. Coris), which is costly and provides a narrow range of services. They are entitled to emergency care declared as a right of anybody in need on the territory of Slovenia but there are some obstacles in excersizing this right.
Since the majority of undocumented migrants is uninsured they have a possibility of treatment in health care centers for people without health insurance in Ljubljana, Maribor,  Koper, Kranj  (Fajdigova ambulanta). These centers are based on voluntary work of medical staff and donated medicine, and do not provide the same quality and range of health care as other public health centers –- they are thus not a systematic solution and they operate only few times per week).</t>
  </si>
  <si>
    <r>
      <rPr>
        <sz val="10"/>
        <color rgb="FF000000"/>
        <rFont val="Calibri"/>
        <family val="2"/>
      </rPr>
      <t xml:space="preserve">Even though emergency health care is supposed to be given to anyone who needs it without additional requirements, undocumented migrants often need to provide additional documentation.
There is a common practice in different health institutions that migrants and other vulnerable individuals are asked to present health card in/or personal documents. When they do not have it, they may be denied treatment, even in urgent cases. (This is also due to the administrative discretion in granting coverage – see the answer below).      Even though undocumented migrants have the right to urgent medical treatment, the decision of whether they will receive treatment in a particular case depends on the administrators and health workers making a clinical judgement about the critearia for what is “urgent”. </t>
    </r>
    <r>
      <rPr>
        <b/>
        <sz val="10"/>
        <color rgb="FF000000"/>
        <rFont val="Calibri"/>
        <family val="2"/>
      </rPr>
      <t xml:space="preserve">In cases when a a treatment of an emergency case turns out to be non-urgent, the medical staff are expected to take personal responsibility for the costs. </t>
    </r>
  </si>
  <si>
    <t xml:space="preserve">Information can be reached (via internet, brochures in public places etc.) by all three groups. However since the information is difficult to find, the access to it depends on personal initiative and motivation. Asylum seekers tend to be better informed, due to their accomodation in reception center where information is centralized and provided also by employees and various NGOs. </t>
  </si>
  <si>
    <t xml:space="preserve">A -only legal migrants </t>
  </si>
  <si>
    <t>Even though the Patient Rights Act (ZPacP, Zakon o pacientovih pravicah) prescribes the right of the paient to be informed about the medical treatments available in a way he/she understands,  that this right is jeopardized due to lack of intepretation services. In 2020, the vocation Intercultural mediator (medkulturni mediator) was introduced in the Slovenian National Vocational Qualification (NPK) which opened the opportunity of engaging the intercultural mediators by interested Health institutions. The MOST project - Model of Community Approach for Health Promotion and Reduction of Health Inequalities in Local Communities at the National Institute of Public Health included the module Ensuring the presence of an interpreter and/or a cultural mediator in the implementation of preventive treatments (2017 - end of 2020).</t>
  </si>
  <si>
    <t xml:space="preserve">
A conviction prevails about objectivity and neutrality of service providers, which provide equal health care regardless of origin of patient.</t>
  </si>
  <si>
    <t xml:space="preserve">Asylum seekers only have access to emergency health care, therefore many of their medical needs remain unmet having in mind that in many cases the procedures for recognising international protection last excelively long. </t>
  </si>
  <si>
    <t>All migrants who do not have an access to the national system of health care also do not have an access to medical treatments covered by compulsory health contribution (. 
Suggest to keep 50. 
All migrants who do not have access to the national system of health care also do not have access to medical treatments covered by compulsory health contribution (voluntary health insurance system was terminated in December 2023) are entitled to emergency health care. 
The right to emergency health care is supposed to be a universal right accessible to the general population living in Slovenia or passing through its territory. However, the analysis of legislation and policies shows that this universal right is violated by different administrative and structural obstacles preventing the possibility of exercising this right. 
Asylum seekers are entitled to urgent medical care only, but there is also a nurse in the reception center for asylum seeker, who they can turn to in all cases of illness. It is the nurse who refers the asylum seekers to a local health center, in case a need arises. In that sense, whether the asylum seeker will receive treatment depends on the discretion of the nurse in question. For the services that are not covered by the urgent medical care, a special commission, appointed by the Ministry of the Interior, makes a decision of whether the asylum seeker needs the treatment or not.</t>
  </si>
  <si>
    <t>In 2021 health care center for people without health insurance was opened in Jesenice (Fajdigova ambulanta).</t>
  </si>
  <si>
    <t>Experts also salute the introduction on trainings for health workers (primarily in the field of  prevention) on cultural competences . It is good that this training are organized regularly on systemic level (consultation with Uršula Lipovec Čebron, PhD), 10.5.2024.</t>
  </si>
  <si>
    <t xml:space="preserve">Explanatory memorandum on the preparation of the budget for  year 2023 explains: Emergency treatment is provided to uninsured persons in accordance with the provisions of the Act on
Health Care and Health Insurance Act, the Act on the Financial Relief of Municipalities, the Act on International Protection, the Act on Temporary Protection,
the Foreigners Act, the Act on the Relations of the Republic of Slovenia with Slovenians Outside its Borders, other laws, regulations or recommendations adopted and being
relating to uninsured persons, and with the Instruction for the admission of patients for medical treatment in emergency medical aid clinics, in order to
to avert an imminent danger of deterioration of health or danger to life. </t>
  </si>
  <si>
    <t>In health care center for people without health insurance in Ljubljana are currently working 23 volunteer doctors who come to the clinic on a regular basis, five of them are family medicine doctors, and the rest are specialists - a paediatrician, a psychiatrist, a pulmonologist, a radiologist, a psychologist, a specialist in occupational medicine, transport and sports medicine, and an orthopaedic surgeon.This year, they want to improve access for people with disabilities and to introduce electronic management of donated and dispensed medicines (source: https://www.rtvslo.si/zdravje/v-ambulanti-pro-bono-povabili-vse-osebe-brez-zdravstvenega-zavarovanja-da-jih-obiscejo/700808)</t>
  </si>
  <si>
    <t xml:space="preserve"> It is important to emphasize that the costs for intercultural mediators are stil exclusively project funded, so this is not yet regulated on system level and is depending on the willingness and preparedness on the individual health facilities that are applying for project funding. The new Integration Strategy (2023) sets out that  one of the priority areas set in the should be transferred to the local level is the provision of intercultural mediation and community interpretation to help foreigners communicate in institutions (schools, health centres, administrative units). The legal basis would need to be in place by the end of 2026 if local communities could also be eligible for AMIF funding.      Experts also salute the introduction on trainings for health workers (primarily in the field of  prevention) on cultural competences . It is good that this training are organized regularly on systemic level (consultation with Uršula Lipovec Čebron, PhD), 10.5.2024. (Hence the eminent progres has been made in the past few years, we stil think that "0" is most convenient indicator. </t>
  </si>
  <si>
    <t xml:space="preserve">Although migrants are sporadically involved in service delivery
  (as inter cultural 
    mediators') and through some NGOs in disemination of information, yet we believe that "0" is most convenient indicator. </t>
  </si>
  <si>
    <t>There are no systematic public funds available for reserach, and no continuation of projects after they end due to lack of funding.</t>
  </si>
  <si>
    <t xml:space="preserve">Only a) permanently residing third country nationals ("TCNs") enjoy the same status as Slovaks and EU/EEA nationals. Category b) does not enjoy equal access to labour market.                                       Category c) Pursuant to Article 21 par. 1 letter d) of Act on Employment Services there is an obligation to apply for a work permit during the first 12 months of the stay. </t>
  </si>
  <si>
    <t xml:space="preserve">In Slovakia, the public service is generally governed by three main acts (Act No. 552/2003 Coll., Act No. 55/2017 Coll., Act No. 73/1998 Coll.). (1) Pursuant to Act No. 73/1998 Coll. on Police force, only a citizen of the Slovak Republic over 21 years of age can be a member of the Police Force. A foreigner can serve as a "volunteer law enforcement officer" if he/she meets separate conditions. (2) Pursuant to Act No. 55/2017 Coll. on State Service (hereinafter only as "Act on State Service") only Slovak citizen, EU/EEA and Swiss nationals (except for several professions) has the right to seek admission into the state (civil) service (Article 2). State service positions, where only a citizen of the Slovak Republic can be hired, are established by the government by a separate governmental regulation no. 114/2017 Coll. This regulation established a list of professions for which only a Slovak citizen can apply, to a state employee position: a) in the field of state service in following sectors: Justice, Defense, Industrial property, Interior, Protection of classified facts, Cyber security, Investments (until 2023), Computerization (until 2023), and also for the position of of b) head office at: Ministry of Foreign Affairs and European Affairs of the Slovak Republic, Supreme Audit Office of the Slovak Republic, General Prosecutor's Office of the Slovak Republic, regional prosecutor's office, and in the areas of extraordinary significance, requiring authorization to become familiar with classified information. (3) According to Act no. 552/2003 Coll. on the Performance of work in the public interest, some professions can also be filled by foreigners if they meet the same conditions as citizens.    </t>
  </si>
  <si>
    <t>According to Act No. 404/2011 Coll. on Residence of Foreigners (hereinafter as "Act on Residence of Foreigners)" newcoming TCNs can apply for a residence permit for purpose of business prior to their arrival (there are 2 types of business activities recognized under this permit, 1) carried out as managers of business companies or 2) as natural persons, with issued trade licence. Generally, access to self employment is not restricted by main legislation, however, separate acts stipulate detailed conditions for access to self employment in several regulated professions. Certain regulated professions, for instance authorized architects, or advocates, are restricted for non-OECD nationals. Examples: Pursuant to article 23a par. 1-3 of Act No. 442/2004 Coll. on Private Veterinary Surgeons, Veterinary Surgeons and on the Chamber of the Slovak Republic; TCN may carry out only private veterinary activities (not public health activities), if at the same time they have been granted residence under Act on Residence of Foreigners, and they have received special training. Pursuant to Article 15 par. 1 of Act No. 138/1992 Coll. on Authorized Architects and authorized construction engineers as amended, TCN cannot be registered with the Chamber of architects and may not carry out profession of architect or landscape architect and civil engineer. Good command of Slovak language might be also a condition.</t>
  </si>
  <si>
    <t>Pursuant to Article 2 par. 2 of Act No. 5/2004 Coll. on Employment Services as amended (hereinafter as "Act on Employment Services") Slovak citizen, EU/EEA national and (from 2017) a TCN who has been granted long-term residence has an access to public employment services. A TCN who has been granted long-term residence,  asylum, subsidiary protection or temporary refuge, can be registered in a job seekers database by the Labour office in whose territorial district the third-country national is resident. People who were granted permanent residence for a purpose of family reunification are not allowed to register in the database of job seekers officially.</t>
  </si>
  <si>
    <t xml:space="preserve">The access of a foreigner to education is not specified in the Act on Residence of Foreigners but it is guaranteed by separate acts such as Act No. 131/2002 Coll. "Act on Universities", or Act No. 245/2008 Coll. "School Act". The access to vocational training, initial and further training and retraining is not specifically transposed into the Act on Residence of Foreigners but is guaranteed by Act on Employment Services.  GRANTS: When it comes to enrollment and admission process, it is equal. But there are two different perspectives - one aspect is when the whole study takes place in Slovakia (loans, grants etc), another aspect is when a foreign student wants to use the mobility and move to study abroad (The National Scholarship Program, "národný štipendijný program", is tied to permanent residence, Erasmus depends on the selected university, bilateral programs are tied to citizenship, etc). Admission is guaranteed for everyone. If the study is carried out in the Slovak language, there is no obligatory tuition fee, but if the study is carried out in English, the tuition must be paid. General requirements for university study are the same as for Slovak/EU nationals, but each University adopts its own "study order". Grants (scholarships) for study in Slovakia are mainly social and motivational. Pursuant to the separate regulation every applicant for a social scholarship must fulfil conditions stipulated therein. Motivational grants (scholarships) are determined by each school itself. There are also study loans available from the Educational Support Fund which may only be granted to nationals (Fond na podporu vzdelávania).
1) When it comes to enrollment and admission process, it is equal. 2) For grants there are two different perspectives - one aspect is when the whole study takes place in Slovakia (loans, grants etc), another aspect is when a foreign student wants to use the mobility and move to study abroad (The National Scholarship Program, "národný štipendijný program", is tied to permanent residence, Erasmus depends on the selected university, bilateral programs are tied to citizenship, etc). Admission is guaranteed for everyone. If the study is carried out in the Slovak language, there is no obligatory tuition fee, but if the study is carried out in English, the tuition must be paid. General requirements for university study are the same as for Slovak/EU nationals, but each University adopts its own "study order". Grants (scholarships) for study in Slovakia are mainly social and motivational. Pursuant to the separate regulation every applicant for a social scholarship must fulfil conditions stipulated therein. </t>
  </si>
  <si>
    <t>Academic recognition (level of achieved education evaluated) is undertaken under Act No. 422/2015 Coll. on the recognition of academic documents, on the recognition of professional qualifications and on the amendment of certain laws as amended. If we only take into consideration recognition of diplomas, then procedures are the same for TCNs as for the Slovak nationals. Only country of university which issued diploma is taken into account for both categories. For regulated professions, there is a second procedure, afterwards applicant has to apply with "recognized" diploma, notarized copies of documents needed for a certain regulated profession.</t>
  </si>
  <si>
    <t>Ad hoc</t>
  </si>
  <si>
    <t>There are no national economic integration measures of youth and women, only ad hoc (mainly through projects implemented by NGOs).</t>
  </si>
  <si>
    <t>Equal access is only granted to long-term residents - to other cathegories it is not guaranteed in following areas mainly because Act on Residence of Foreigners are in conflict with separate provisions of the Social Security Act: a) Unemployment benefits: Every employed TCN with temporary residence for a purpose of employment pays the social security contributions for unemployment insurance however, in the event of unemployment, he/she is not entitled to support. In principle, if purpose of the residence ended, the residence permit is cancelled and TCN must leave Slovakia; b) Maternity benefit: If a woman with temporary residence for purpose of employment wants to receive a maternity benefit, she must suspend a business licence, not to have an income. However, if the exercise of this activity is interrupted, purpose of residence ended, and thus the temporary residence permit in Slovakia is cancelled; c) Invalidity benefits: Only several categories of TCN may apply for a financial contribution to compensate the severe physical disability pursuant to Act No. 447/2008 (family member of a Slovak national or EEA national, recognized refugee and migrant whose rights to compensation are guaranteed by international treaty).</t>
  </si>
  <si>
    <t>Ibid</t>
  </si>
  <si>
    <r>
      <t xml:space="preserve">comments after follow-up with the expert: "Academic recognition (level of achieved education evaluated) is undertaken under Act No. 
422/2015 Coll. on the recognition of academic documents, on the recognition of professional qualifications and on the amendment of certain laws as amended. If we only take into consideration recognition of diplomas, then procedures are the same for TCNs as for the  Slovak nationals. Only the country of university which issued the diploma is taken into account for both categories. For regulated professions, there is a special procedure, afterwards applicant has to apply with "recognized" diploma, notarized copies of documents needed for a certain regulated profession. For unregulated professions recognition is not necessary." 100 b
 The same was valid in 2019 (due to legal change in 2016) I am worried.
The question seems to be about general mobility, not about the system of academic recognitionas such nor regulated professions, and recognition of diplomas is not necessary for all types of professions (e.g.,  waiter, baker, etc.), only for the regulated ones. 
Conclusion:
Acts on Employment Services and on Residence of foreigners provide details related to Single permit procedure. The Employment Services Act does not, in my opinion, require any further recognition of a diploma for the granting of a single permit for unregulated professions, although the Interior Ministry wanted it so badly, and there was quite a bit of discussion with the Labour Ministry about whether they were capable of assessing the authenticity of a chef's diploma from any third country, and what that would mean for the Ministry of Education (they rebelled against such a condition).
There are some "issues" with professions such as architects or state vets, for instance, 
only citizens of following countries can be registered in the Chamber of Architects: 
EU + EEA and the Switzerland and, within the scope of an international treaty, an OECD 
country. So, </t>
    </r>
    <r>
      <rPr>
        <sz val="10"/>
        <color rgb="FFFF0000"/>
        <rFont val="Calibri"/>
        <family val="2"/>
      </rPr>
      <t>there are tiny holes in this system, where some TCNs can be limited to work 
in their profession due to their citizenship</t>
    </r>
    <r>
      <rPr>
        <sz val="10"/>
        <rFont val="Calibri"/>
        <family val="2"/>
      </rPr>
      <t>, but I think it can be close to zero.
(and I have no data on this). Also, see evaluation of aa5 where I found above examples
problematic. If this is an insignificant issue, we can return to aa5 indicator too.</t>
    </r>
  </si>
  <si>
    <t>Ibid. Note: Self employment is also restricted for Ukrainian refugees who were granted temporary refuge and for asylum seekers.</t>
  </si>
  <si>
    <t xml:space="preserve">In 2023 the above mentioned regulation no. 114/2017 has been amended. A list of professions for which only a Slovak citizen can apply, in a state employee position has been updated (Two industries were removed from the list - Investment and computerization).
a) in the field of civil service only Slovak citizen can be currently employed in:
1. 2.06 Justice,
2. 2.09 Defense,
3. 2.12 Industrial property,
4. 2.17 Interior,
5. 2.23 Protection of classified facts,
6. 2.27 Cyber security.                                      </t>
  </si>
  <si>
    <t>As of 1.1.2023 an Amendment to Act on Employment Services (Act No 488/2022 Coll.) entered into effect. Article 2 par. 2 has been amended. Pursuant to the new law the same status in legal relations as a Slovak citizens have following categories:
a) EU national,
b) a family member of EU national and a family member of a Slovak citizen who are TCNs and who have a residence in the territory of the Slovak Republic,
c) a national of the United Kingdom of Great Britain and Northern Ireland and his/her family member who is TCN, who have exercised the right to free movement according to a special regulation and for whom this right remains preserved according to an international treaty to which the Slovak Republic is bound,
d) a TCN who has been granted asylum or who has been granted subsidiary protection,
e) a TCN who has been granted residence in the Slovak Republic  with the recognized status of a person with a long-term residence of the European Union ("long-term residence").</t>
  </si>
  <si>
    <t>Ibid. Note: Act on Residence of Foreigners is not limiting the right to study in Slovakia. According to Article 20 par. 5 A third-country national who has been granted a temporary residence permit may study during the temporary residence. Other purposes are limited.</t>
  </si>
  <si>
    <t xml:space="preserve">If this question has been aimed at professional recognition for a purpose of regulated professions, then answer will be different. Please let me know. </t>
  </si>
  <si>
    <t>No residence requirement.</t>
  </si>
  <si>
    <t xml:space="preserve">Restrictive definition of dependency (e.g. only one ground e.g. poor health or income or no access to social benefits) for both a) and b).
Allowed  only to sponsors on certain types of residence permits. Also more favourable measures apply to TCNs who are family members of EU nationals. </t>
  </si>
  <si>
    <t>No measures.</t>
  </si>
  <si>
    <t>No requirement.</t>
  </si>
  <si>
    <t>Economic resources requirement for family members is required by Act on Residence of Foreigners in a level higher than social assistance and no income source is excluded. Sponsor of the stay has to provide relevant documents on behalf of the applicant (family member as defined by the law) - either an affidavit with a work contract stipulating the amount of wages paid to the sponsor, or a final bank account balance of the sponsor.  
Applicant for temporary residence permit for purpose of family reunification must prove sufficient financial means in the amount of a "monthly subsistance minimum per each month of residence, for example by a bank statement or by a declaration of a spouse to provide funds for the entire period of stay. Amount of a subsistance minimum stated by Act No. 601/2003 Coll. on the Subsistence Minimum and on Amendment and Supplement to Certain Acts, is in 2020 - 214,83EUR.</t>
  </si>
  <si>
    <t>Applicant for temporary residence permit for purpose of family reunification must prove according to Article 32 par. 8 of Act on Residence of Foreigners that he/she has accommodation for at least 6 months of stay (excluding students and researchers). The police department rejects an application for temporary residence if it is obvious that the accommodation in the territory of the Slovak Republic does not meet the minimum requirements according to a special regulation. Proof of accommodation is also attached to the application for a permanent residence permit for purpose of family reunion with Slovak national.</t>
  </si>
  <si>
    <t>Equal to sponsor's residence permit and renewable, but valid for a maximum of five years.  
Given permit can be cancelled in case of a divorce. Further permanent residence permit can be issued for an unlimited period of time.</t>
  </si>
  <si>
    <t>A police department may pursuant to Article 33(6) of Act on Residence of Foreigners reject an application for a temporary residence if a third country national a) is an undesirable person, b) during his/her stay would endanger state security, public order or public health, c) if a third country national does not meet the conditions for granting of a temporary residence, d) if he/she entered into marriage with the aim to obtain a temporary residence, e) deliberately stated false or misleading data or submitted false or modified documents, or documents of other person, f) if the data in the travel document do not correspond to reality, g) if granting of a temporary residence is not in the public interest, h) if it is obvious that the accommodation on the territory of the Slovak Republic does not meet the minimum requirements according to a special regulation, or, o) if according to Art 125(6) Slovak Intelligence service disagree with the granting of temporary residence. A police department may withdraw the residence under conditions stipulated in the Article 36 (1) letters: a) if the purpose for which the temporary residence was granted ceased to exist, b) if the facts which constitute a reason for rejection of an application for a temporary residence has been identified, d) if a third country national stayed abroad for over 180 consecutive days without a written notification submitted to a police department, and e) if a third country national severely violated obligation imposed by this law.</t>
  </si>
  <si>
    <t>Article 33 par. 1 of Act on Residence of Foreigners opens space for some evaluation of personal circumstances before rejection or granting:
When deciding on application for a temporary residence, the police department takes into account
(...) b) the interests of a minor child of a third-country national, the personal and family circumstances of the third-country national, his/her financial situation and the length of his current and anticipated stay,
c) opinion of the representative office on the granting of temporary residence (this provision creates space for administrative discretion). Also, the provision of Article 36 par. 1 on the cancellation of residence does not apply if the consequences of the cancellation of temporary residence would be disproportionate to the reason for cancellation of temporary residence, especially with regard to the private and family life of a national of a third country.</t>
  </si>
  <si>
    <t>According to Article 31par. 7 of Act on Residence of Foreigners - a third country national who was granted temporary residence for the purpose of family reunification, whose marriage has ended, and whose continuous temporary residence lasts at least three years, or who has reached the age of majority, may submit an application for a change of purpose of residence to a police department in the Slovak Republic within 30 days of the issuance death certificate, validity of the decision on divorce or reaching the age of majority. Until the decision on this application is made, his/her stay is considered justified. Similar provision of Article 50 par. 2 applies in case of a permanent residence.</t>
  </si>
  <si>
    <r>
      <rPr>
        <b/>
        <sz val="10"/>
        <rFont val="Calibri"/>
        <family val="2"/>
        <scheme val="minor"/>
      </rPr>
      <t xml:space="preserve">Last comment by the expert </t>
    </r>
    <r>
      <rPr>
        <sz val="10"/>
        <rFont val="Calibri"/>
        <family val="2"/>
        <scheme val="minor"/>
      </rPr>
      <t>(the initial part is repeating the comment to the left)</t>
    </r>
    <r>
      <rPr>
        <b/>
        <sz val="10"/>
        <rFont val="Calibri"/>
        <family val="2"/>
        <scheme val="minor"/>
      </rPr>
      <t>:</t>
    </r>
    <r>
      <rPr>
        <sz val="10"/>
        <rFont val="Calibri"/>
        <family val="2"/>
        <scheme val="minor"/>
      </rPr>
      <t xml:space="preserve"> According to Article 31par. 7 of Act on Residence of Foreigners - a third country national who was granted </t>
    </r>
    <r>
      <rPr>
        <b/>
        <sz val="10"/>
        <rFont val="Calibri"/>
        <family val="2"/>
        <scheme val="minor"/>
      </rPr>
      <t>temporary residence for the purpose of family reunification</t>
    </r>
    <r>
      <rPr>
        <sz val="10"/>
        <rFont val="Calibri"/>
        <family val="2"/>
        <scheme val="minor"/>
      </rPr>
      <t xml:space="preserve">, whose marriage has ended, and whose continuous temporary residence lasts at least three years, or who has reached the age of majority, may submit an application for a change of purpose of residence to a police department in the Slovak Republic within 30 days of the issuance death certificate, validity of the decision on divorce or reaching the age of majority. Until the decision on this application is made, his/her stay is considered justified. Pursuant to Art 50 par. 2 letter a) of Act,  the foreign police shall not cancel the </t>
    </r>
    <r>
      <rPr>
        <b/>
        <sz val="10"/>
        <rFont val="Calibri"/>
        <family val="2"/>
        <scheme val="minor"/>
      </rPr>
      <t>permanent residence (for a purpose of family reunification if the marriage ended sooner than after 5 years</t>
    </r>
    <r>
      <rPr>
        <sz val="10"/>
        <rFont val="Calibri"/>
        <family val="2"/>
        <scheme val="minor"/>
      </rPr>
      <t>) if the consequences of the cancellation of the permanent residence would be disproportionate to the reason for the cancellation of the permanent residence, in particular with regard to the private and family life of the third-country national,</t>
    </r>
  </si>
  <si>
    <t>Conclusion: a spouse and a child may generally apply for independent residence after 3 years</t>
  </si>
  <si>
    <t>Amount of a subsistance minimum in 2021 was 218,06 eur</t>
  </si>
  <si>
    <t>Ibid.</t>
  </si>
  <si>
    <t xml:space="preserve">Ibid   </t>
  </si>
  <si>
    <t>Amount of a subsistance minimum in 2022 was 234,42 eur for one adult person.</t>
  </si>
  <si>
    <t>Amount of a subsistance minimum in 2023 is 268,88 eur for one adult person. Documents have to prove the amount of 12 x subsistence minimum for 1 year of stay.</t>
  </si>
  <si>
    <t>Please take a look ak above requirement of 6 months of accommodation - if it is considered a "further requirements" than it will be 0 points.   Decision: We (Basak and Shabnam) decided to consider it as a further requirement, because it seems to have been the decision in the previous MIPEX evaluation as well.</t>
  </si>
  <si>
    <t>Ibid                                                                           Note: Residence is not cancelled if the consequences of the cancellation of temporary residence would be disproportionate to the reason for the cancellation of temporary residence, especially with regard to the TCNs private and family life. However, consideration remains in descretion of a police officer.</t>
  </si>
  <si>
    <t xml:space="preserve">Pursuant to the Slovak Constitution (Article 42): Everyone has the right to education. According to act No. 245/2008 Coll. School Act, Articles 145 and 146 explicitly specify migrant categories who have the right to education. Upon Article 146 par. 2 of the School Act, documented migrant pupils are provided education, boarding and lodging at basic and secondary schools under the same conditions as the natives. At the public schools, they are also lent textbooks free of charge. All categories of migrant pupils (upon the above definition) have the same access as nationals in non compulsory. There is no explicit exclusion of the undocumented but schools must report the beginning and end of study to the police, also in the law the term “children with granted residence” is used everywhere. Admission for children of foreigners with regular stay on the territory of the Slovak Republic to colleges and universities is without legal obstacles, the same rules apply as to the Slovak citizens. Migrants have the same legal access as nationals to vocational training. </t>
  </si>
  <si>
    <t>Migrants only benefit from general support for all students (and targeted non-governmental initiatives where provided).</t>
  </si>
  <si>
    <t xml:space="preserve">Only general support available. </t>
  </si>
  <si>
    <t>a) only. Article 146 par. 3 of the School Act: "In order to remove language barriers, basic and extended language courses of the state language are organized for the children of foreigners." Although the law does not specify the age, it is further stated in the state educational program for Basic Schools. In addition, it is reimbursed through the negotiation process, which goes to Primary and Secondary Schools - that is, schools that are financed within the framework of transferred competences (unlike Kindergartens).  According to Article 10 par. 12 of Act no 596/2003 Coll. on state administration in education and school self-government, The District Office in the seat of the region, in cooperation with the territorial self-government authorities, organises and financially provides language courses for children of foreigners with a residence permit in the territory of the Slovak Republic.</t>
  </si>
  <si>
    <t>Methodological and pedagogical center in Bratislava prepared and issued Handbook for teachers: Slovak as a foreign language. It is still however, only a methodological advice. Comment: Since experts on this are currently on vacations, I would complete the question upon their return.</t>
  </si>
  <si>
    <t>No systematic support.</t>
  </si>
  <si>
    <t>Not formally required.</t>
  </si>
  <si>
    <t xml:space="preserve">b) Higher education Internationalization Strategy by the year 2030 (hereinafter only as "Higher education Internationalization Strategy"  was adopted in December 2021 by the Ministry of Education, Science, Research and Sports of the Slovak Republic, on the basis of measure no. 76 of the Implementation Plan of the National Program for the Development of Education. The intention of this measure was to create a strategy containing detailed measures to "ensure greater academic mobility of students and university employees, reduce barriers to access to study in the Slovak Republic (language of study programs, options for obtaining visas and residence permits, scholarship programs), change of conditions for staffing positions of university teacher/researcher, re-evaluation of the role of tuition fees in study programs conducted in a foreign language, support of integration activities and support of marketing activities aimed at applicants for studies from abroad." One of the goals is, for example: In order to increase the attractiveness of studying in Slovakia for potential students from Slovakia and abroad, universities will develop the offer of study programs provided in foreign languages, including by creating new joint study programs in cooperation with universities abroad. When promoting study opportunities, the ethnic diversity of the student population will be taken into account at the level of universities, or study programs in order to increase the effects of potential integration and cultural exchange. </t>
  </si>
  <si>
    <t>According to Article 10 par. 13 of Act no 596/2003 Coll. on state administration in education and school self-government, Language courses for children of foreigners legally residing in the Slovak Republic are organised and financially provided by the regional office of school administration in cooperation with in cooperation with the territorial self-government authorities (legal change in 2022).   Methodological guidelines for language support has been issued in 2021, available in Slovak language: https://www.statpedu.sk/files/sk/o-organizacii/projekty/erasmus-slovencina-deti-cudzincov/kurz-statneho-jazyka.pdf                                                  Methodological guidelines for language support has been issued in 2021, available in Slovak language: https://www.statpedu.sk/files/sk/o-organizacii/projekty/erasmus-slovencina-deti-cudzincov/kurz-statneho-jazyka.pdf</t>
  </si>
  <si>
    <t xml:space="preserve">Compulsory schooling -age: 6-16 (10 years), with exemption for Ukrainian refugees derived from the wrong interpretation of the law (based on discretion).  </t>
  </si>
  <si>
    <t>Ibid. Also portal of Slovak Universities is being developed in line with the above Strategy aims: https://www.portalvs.sk/en/</t>
  </si>
  <si>
    <t>a) only. Article 146 par. 3 of the School Act: "In order to remove language barriers, basic and extended language courses of the state language are organized for the children of foreigners." Although the law does not specify the age, it is further stated in the state educational program for Basic Schools. In addition, it is reimbursed through the negotiation process, which goes to Primary and Secondary Schools - that is, schools that are financed within the framework of transferred competences (unlike Kindergartens). According to Article 10 par. 13 of Act no 596/2003 Coll. on state administration in education and school self-government, Language courses for children of foreigners legally residing in the Slovak Republic are organised and financially provided by the regional office of school administration in cooperation with in cooperation with the territorial self-government authorities (legal change in 2022).</t>
  </si>
  <si>
    <t>There was no systematic support in the past. It could be said that there was a systematic financial support, the so-called Euronormative for Ukrainian children, but that actually only replaced the fact that there was no common norm for Ukrainian children, as for other children. Also according to National Institute 
of Education and Youth (NIVAM) NIVaM provides counselling in the framework of the project Supporting the education of Ukrainian refugees. Direct support to schools is provided by regional coordinators, who work in each NIVaM regional office. This includes assistance with the enrolment of children and pupils in schools, communication and assistance with the recognition of documents for pedagogical and professional staff in education, methodological support and advice for schools and teachers.</t>
  </si>
  <si>
    <t>We could not find out when exactly has been introduced this subject into curicculum as a cross cutting issue (it seems 2022) but I will update this question as soon as I get a confirmation from an expert.                                                                                                                               Update: According to an expert, this subject has been added into curicculum as a cross cutting issue (it seems 2022), as a part of a so called "Curricular  reform" which started after 2021. The Recovery and Resilience Plan of the Slovak Republic has been developed and approved on the basis of the criteria of Regulation (EU) 2021/241 of the European Parliament and of the Council of 12 February 2021 establishing a mechanism to support recovery and resilience. One of the priorities of the Curricular reform  is to improve educational outcomes and better teacher training. Raising the quality of Slovak pupils and students above the OECD average. Strengthening the inclusion of socially and medically disadvantaged children in education will contribute significantly to their successful integration into society and the labour market.</t>
  </si>
  <si>
    <t>Formally, a few things happened towards Ukrainian teachers, since Ukrainians now form the biggest migrant community in Slovakia. Almost since the beginning of the war, the Ministry has on its website a form for Ukrainian teachers, where they can register if they want to work in education, more info in Slovak language at: https://ukrajina.minedu.sk/praca-v-skolstve/. Moreover, thanks to the financial support of UNICEF, NIVaM opened "Slovak language courses and certificates for Ukrainian teachers." https://nivam.sk/podpora-cudzincov/</t>
  </si>
  <si>
    <t>Ibid. Please see above. Until 2030, the Ministry of Education plans a gradual transition from the realization of activities in the field of internationalization ad hoc to their implementation based on the system framework for the internationalization of Slovak universities. The measures have different implementation dates. The whole text of Higher education Internationalization Strategy is available in English at: https://www.minedu.sk/28846-sk/strategia-internacionalizacie-vysokeho-skolstva-do-roku-2030/</t>
  </si>
  <si>
    <t>Ibid. Also, Annex to Addendum no. 13 of the State Educational Program has been adopted in 2023. Foreign pupils are provided with language support to acquire the state (Slovak) language in order to remove language barriers. Language support is provided by the school in accordance with the results of the language diagnostics, the currently valid conditions of education of pupils - foreigners and the conditions of the school. Language support may be provided by a pedagogical employee of the school, as decided by the school management, or the school shall arrange a language course provided by an external provider, which is implemented directly at the school, outside the school or by distance learning through means based on the use of computer networks. In the case of distance learning, it is recommended that the pupil receives material and technical assistance from the school. The school forms groups of between 1 and 8 pupils. The group may be mixed in terms of the pupils' first (mother tongue) language and age.</t>
  </si>
  <si>
    <t>With effect from 28.8.2023 an Addendum No. 13 to the State Educational Program was adopted by the Ministry of Education (No. 2023/10619:4-A2140). Addendum No. 13 is amending and aligning the State Educational Programmes for Primary Education with the wording of the Education Act and the Framework Curricula for Primary Schools. The educational standard for Slovak as a second language is formulated for the whole primary education. It sets performance and content standards for two levels of communication: basic (communication level 1) and extension (communication level 2). The general characteristics and content of the communication levels have been sensitively adapted to the conditions of the educational process in the Slovak Republic; they deliberately do not make full use of the range set out in the Common European Framework of Reference for Languages, because the latter is not aimed at teaching a second language, but a foreign language. Individual age categories differ primarily in the requirements for the range of vocabulary and grammatical structures, the requirements for the degree of independent production (speaking, writing), the length and structure of the texts with which they work, the length and degree of structuring of reading texts, etc. In addition, individual factors (e.g. the so-called silent phase, cognitive development, giftedness, temperament, socio-cultural background, school and classroom climate) play an important role.</t>
  </si>
  <si>
    <r>
      <t xml:space="preserve">There is a progress in this issue but legislation has not been updated yet. All the information and guidelines in Slovak language available at: https://www.statpedu.sk/sk/erasmus-slovencina-deti-cudzinccov.html                                       With effect from 28.8.2023 an Addendum No. 13 to the State Educational Program was adopted by the Ministry of Education. Addendum No. 13 is amending and aligning the State Educational Programmes for Primary Education with the wording of the Education Act and the Framework Curricula for Primary Schools. </t>
    </r>
    <r>
      <rPr>
        <b/>
        <sz val="10"/>
        <rFont val="Calibri"/>
        <family val="2"/>
      </rPr>
      <t>See coomment cb51b</t>
    </r>
    <r>
      <rPr>
        <sz val="10"/>
        <rFont val="Calibri"/>
        <family val="2"/>
      </rPr>
      <t>. Pursuant to Annex 1 to Addendum No. 13 "Specific features of education and training of foreigners" during the implementation of the educational process, the individual educational needs of the pupil - the child of a foreigner, are taken into account and support measures are applied to the extent and intensity that corresponds to his/her needs.</t>
    </r>
  </si>
  <si>
    <t>There was no systematic support. It could be said that there was a systematic financial support, the so-called Euronormative for Ukrainian children, but that actually only replaced the fact that there was no common norm for Ukrainian children, as for other children. Also according to National Institute of Education and Youth (NIVaM) NIVaM provides counselling in the framework of the project Supporting the education of Ukrainian refugees. Direct support to schools is provided by regional coordinators, who work in each NIVaM regional office. This includes assistance with the enrolment of children and pupils in schools, communication and assistance with the recognition of documents for pedagogical and professional staff in education, methodological support and advice for schools and teachers. If this is not suffucient, than 0.</t>
  </si>
  <si>
    <t>Multicultural education is a cross-cutting issue within the state educational programmes for primary schools (1st and 2nd grade) and grammar schools.
Cross-cutting issues can be implemented as part of the curricular content of subjects or through individual projects, seminars, teaching blocks, courses, etc. At the same time, cross-cutting topics can form a separate subject from the framework of optional (available) lessons. The two forms can also be freely combined. The effectiveness of cross-curricular topics can be enhanced by relevant extra-curricular activities.
Primary Education Curriculum (2023) - so far implemented in 39 primary schools, from 2026 in all primary schools in the Slovak Republic no longer defines cross-cutting themes, these are directly integrated into individual subjects. In the 2nd and 3rd cycle (4th - 9th grades), the school implements thematic days for each class focused on the development of cross-cutting literacy skills for at least 4 teaching days per school term, with one teaching day representing six teaching hours. The objectives and content of the thematic days for each grade, which are based on the educational standards and support the achievement of the objectives of basic education, shall be defined by the school in the school curriculum.</t>
  </si>
  <si>
    <t>If this initiative towards one group of migrants is not sufficient, score should be updated to 0.</t>
  </si>
  <si>
    <t>Not formally required. However, NIVaM offers various trainings for teachers, e.g. Support for Multilingual Classrooms Support for Multilingual Classrooms IV - (statpedu.sk), from October 2023 also innovative training programmes Acquiring Slovak as a Second/Foreign Language in Kindergarten and Acquiring Slovak as a Second/Foreign Language in Primary and Secondary Schools, where this topic is also included.</t>
  </si>
  <si>
    <t>The communication levels were chosen also because the currently approved compulsory (minimum) time allocation for the state language course does not correspond to the required time allocation for level A1, A2.</t>
  </si>
  <si>
    <r>
      <rPr>
        <b/>
        <sz val="10"/>
        <color theme="1"/>
        <rFont val="Calibri"/>
        <family val="2"/>
      </rPr>
      <t>100</t>
    </r>
    <r>
      <rPr>
        <sz val="10"/>
        <color theme="1"/>
        <rFont val="Calibri"/>
        <family val="2"/>
      </rPr>
      <t xml:space="preserve"> - Equal access with nationals (no restrictions imposed by government)
</t>
    </r>
    <r>
      <rPr>
        <b/>
        <sz val="10"/>
        <color theme="1"/>
        <rFont val="Calibri"/>
        <family val="2"/>
      </rPr>
      <t>50</t>
    </r>
    <r>
      <rPr>
        <sz val="10"/>
        <color theme="1"/>
        <rFont val="Calibri"/>
        <family val="2"/>
      </rPr>
      <t xml:space="preserve"> - Restricted access to internal elected positions
</t>
    </r>
    <r>
      <rPr>
        <b/>
        <sz val="10"/>
        <color theme="1"/>
        <rFont val="Calibri"/>
        <family val="2"/>
      </rPr>
      <t>0</t>
    </r>
    <r>
      <rPr>
        <sz val="10"/>
        <color theme="1"/>
        <rFont val="Calibri"/>
        <family val="2"/>
      </rPr>
      <t xml:space="preserve"> - Other official/legal restrictions apply</t>
    </r>
  </si>
  <si>
    <t>Pursuant to Act No. 118/2014 Coll. on the conditions for the exercise of the right to vote and on the amendment of certain acts as amended, the right to vote and stand in local and regional elections is granted without restrictions for those TCNs who were granted longterm and permanent residence (it can be less or more than five years of residence). In some cases permanent residence may be granted sooner, for a purpose of family reunification with a Slovak national. Since there are no other major restrictions, reciprocity or certain municipalities, score could be 50.</t>
  </si>
  <si>
    <t xml:space="preserve">TCNs have no access. According to Article 4 par. 1 of Act No. 85/2005 Coll. on Political Parties and Political Movements as amended, only Slovak citizens have the right to establish a political party and to associate in it. </t>
  </si>
  <si>
    <t>There is no legislative measure allowing for such participation of foreigners - No consultation at the national level, only ad-hoc is possible, but this is not stipulated by a policy or a separate law (in discretion).</t>
  </si>
  <si>
    <t>Policy of information on general basis rarely, through IOM or ad hoc NGOs campaigns in certain regions.</t>
  </si>
  <si>
    <t>No support funding.</t>
  </si>
  <si>
    <t>No active policy.</t>
  </si>
  <si>
    <t>expert had suggested score of 50, but it was only change in interpretation.</t>
  </si>
  <si>
    <t>If above timeframe (less than or more than 5 years of residence) for permanent residence is acceptable, score is 50. If this is still unacceptable, because after 5 years of temporary stay ordinary TCN without family ties with Slovak national has to apply for a permanent (longterm) residence, therefore he/she will get this right after 5 years plus 3-6 months, it can be lowered to 25, if in comparison to other MIPEX states there are different evaluations of the same situation. It would however be in line with your guideliness.</t>
  </si>
  <si>
    <t>Asked the Ministry of Interior if there are regular working groups inviting migrant communities to consult, at the moment. Info to be updated.</t>
  </si>
  <si>
    <t>There are 2 types of a permanent residence, permanent residence (for a purpose of family reunification with a Slovak national) and a longterm residence. Generally 5 years of a continuous and authorized temporary residence for a longterm residence is needed. Shorter or no period of habitual residence is needed for a permanent residence granted for a purpose of a family reunification with Slovak national. There are categories not allowed to apply for a longterm residence after 5 years of continous residence: a) asylum applicant,
b) TCN who has a tolerated stay according to Article 58 par. 3,
c) TCN who has been granted a temporary shelter,
d) TCN who has the status of "odídenec" (temporary refuge"),
e) TCN who has been granted temporary residence for the purpose of study,
f) TCN who has been granted temporary residence for the purpose of a special activity pursuant to Art. 25 par. 1 letter d) to f),
g) TCN who has been granted temporary residence for the purpose of seasonal employment,
h) TCN who stays in the territory of the Slovak Republic according to Art. 23 par. 6 letters b), c) or letter d), or
i) TCN who enjoys diplomatic privileges and immunities on the territory of the Slovak Republic according to international law.</t>
  </si>
  <si>
    <t xml:space="preserve">There is officially NO language requirement but police department may (during the procedure for a permanent residence) take into account level of applicant's integration into society. Law does not specify details what is considered as integration. This provision does not apply for a long term application.)
</t>
  </si>
  <si>
    <t xml:space="preserve">The third-country national shall document the financial coverage of the stay in the amount of twelve times the subsistence minimum. The minor third-country national shall document the financial coverage of the stay in the amount of half the amount according to the first sentence. For a long term residence only stable and regular resources so the appliacant nor his/her family do not become a burden to the system of assistance in material need of the Slovak Republic, are documented. (could you please provide more details of a meaning: "Social assistance"?). No income source is excluded. Note: In a very rare circumstances (almost majority of applicants is exempt from this provision) If a national of a third country has submitted an application for assistance in material need, his/her permanent residence may be cancelled. Also, the private and family life of the person is taken into account during the process of a cancellation. </t>
  </si>
  <si>
    <t>There are 3 types of a permanent residence: 1) First permanent residence for a purpose of family reunification is issued for 5 years. Such permit can be cancelled in case of a divorce (but personal situation of the TCN is taken into account), as a prolongation a so called "Further permanent residence" can be issued for an unlimited period of time. 2) as a renewal of a previous residence, as a so called "Permanent residence for unlimited period of time" which can be issued for an unlimited time, and 3) "Long-term residence" issued for unlimited period of time for other than family reunification purpose.</t>
  </si>
  <si>
    <t xml:space="preserve">Upon application the first type of a permanent residence ("permanent residence for 5 years") is prolonged for unlimited period of time ("permanent residence for unlimited period of time"). However, "long-term residence" as the third type of a permanent residence, is also granted for an unlimited time, and upon application. </t>
  </si>
  <si>
    <t>1-3 years. There is an obligation to notify the police department in writing that the foreigner will be staying outside the territory of the Slovak Republic for more than 180 days continuously if he/she was granted permanent residence. There is no limit stipulated by Act No. 404/2011 for a first type of a permanent residence  (permanent residence for 5 years and permanent residence for unlimited period of time). If the person notified police in writing about his/her absence exceeding 180 days, permit will not be cancelled. Failure to notify the police about period of absence is considered an administrative offense at the border control, and in such case permit can be cancelled. For a longterm permit (as the third type of a permanent residence) there is a maximum absence for up to 19 monts (for a blue card holder 18 months). But this provision is not related to prolongation of a permanent residence, only for granting of a longterm residence. When it comes to provisions impacting stability of a long term residence, Article 56 of Act on Residence allows different periods of absence: The foreign police cancels the long-term stay:
(b) if the third-country national stays outside the territory of the Slovak Republic for more than six years,
c) if the third-country national (who previously had permanent residence) has been continuously residing outside the territory of the Member States for 12 consecutive months,
(d) a third-country national (blue card holder) has resided continuously outside the territory of the Member States for 24 consecutive months.</t>
  </si>
  <si>
    <t>We did not identify an area where a permanently residing foreigner enjoyed less rights than EU/EEA national or Slovak national.</t>
  </si>
  <si>
    <t>Score is decided based on Slovakia's permanent residence and not EU residence.           From the comment above: The foreign police cancels the long-term stay: ... c) if the third-country national (who previously had permanent residence) has been continuously residing outside the territory of the Member States for 12 consecutive months,</t>
  </si>
  <si>
    <t>TCN under seection 52.a and b for 12 consecutive months, therefore a score of 0.</t>
  </si>
  <si>
    <t>Can you please advice which score it should be in such case? Our system is little bit different. For a prolongation of a permanent residence de facto new residence permit is issued, not its prolongation.</t>
  </si>
  <si>
    <t>Pursuant to Act No. 40/1993 Coll. on Slovak Citizenship as amended (hereinafter only as "Citizenship Act"), generally, permanent residence of at least 8 years in SVK is required at the moment of application. Exemptions are stipulated by the law. Since to obtain the permanent (longterm) residence, at least 5 years of habitual residence should be proved, a total (or minimum) of at least 10 years is to be proved. Article 7 par. 2 of Citizenship Act: "An applicant who has been granted residence on the territory of the Slovak Republic may be granted citizenship of the Slovak Republic without fulfilling the condition specified in par. 1 letter a), unless this law provides otherwise, if he/she: (...)
g) has continuously resided in the territory of the Slovak Republic for at least ten years and at the time of submitting the application for the granting of citizenship of the Slovak Republic, he/she was already granted a permanent residence permit.</t>
  </si>
  <si>
    <t>No ius soli in general. However, in certain cases, the Slovak citizenship is acquired by birth of a child when parents are stateless persons or if parents are unknown foreign nationals and a child did not aquire their citizenship (Article 5 of Citizenship Act). A concept of socialization is unknown in the Slovak context. Article 5 par. 1 letter c): "The citizenship of the Slovak Republic shall be acquired by birth by a child born in the territory of the Slovak Republic whose parents are foreign nationals and who does not acquire the citizenship of either of them by birth."
Article 5 par. 2: "Unless foreign citizenship is proved, a child who is a citizen of the Slovak Republic shall be considered a citizen of the Slovak Republic (a) was born in the territory of the Slovak Republic, or (b) was found in the territory of the Slovak Republic and whose parents are unknown, unless it is proved that he or she acquired by birth the nationality of another State."</t>
  </si>
  <si>
    <t>No standards are defined by Citizenship Act and language test remains based on administrative discretion. Applicant must demonstrate command of the Slovak language by a test, both written and oral and demonstrate a general knowledge of the Slovak Republic according to Article 8., par. 5-8 of Act. Applicant must understand meaning of a question and to give an answer to selected topic.  Language knowledge is examined by an interview in front of the commission.</t>
  </si>
  <si>
    <t>Citizenship Act does not provide for special integration measures. However, implicitly integration has to be demonstrated. "Sufficiently integrated" applicant must pass the language test and demonstrate the general knowledge of the Slovak republic pursuant to the scope stipulated by the Citizenship Act. Under Article 8 par. 4 personal questions about his/her life and their significant others are asked in the Questionnaire. Also questions related to general issues such as Slovak history, geography and socio-political development of the Slovak Republic are asked during the application interview.  Language test is undertaken in the beginning of the procedure by a commission established at the regional office but review of the application is in the hands of the Interior Ministry. The whole period of employment in Slovakia or any other economic activity is taken into account. Evaluation of the language test as well as review of the application and applicants background are based on an administrative discretion.</t>
  </si>
  <si>
    <t xml:space="preserve">Minimum income / no income source is excluded. Together with the application information about applicant's social status in terms of employment, business or other gainful activities and the performance of the duties towards the state are provided. Pursuant to Article 8 par. 3 of Citizenship Act an applicant must attach to the application a) confirmation of the tax office, customs office and the regional authority about payment of taxes and charges, b) confirmation about employment relationship, c) confirmation of payment of health insurance premiums for health insurance issued by a health insurance company, d) employer's confirmation of payment of income tax and payment of insurance premiums for public health insurance, social insurance and old-age pension savings, e) confirmation about study, f) acknowledgment of receipt of a pension, g) confirnation about registration in a job seekers'database, h) confirmation of the source of income sufficient to finance the stay of the applicant and their relatives in the Slovak Republic, if voluntarily unemployed. </t>
  </si>
  <si>
    <t>Applicant must pursuant to Citizenship Act submit criminal records, not older than six months, of any State which is or has been a national and a copy of the criminal records of each State where he/she resided in the last 15 years prior to application or other evidence of good character issued by the competent authorities of those States. Citizenship may not be granted to the TCN who has failed to comply with the obligations arising from the provisions of the laws governing the residence of foreigners in the territory of the Slovak Republic, public health insurance, social insurance, old-age pension savings, taxes, levies, fees, employment of foreigners and other obligations arising for foreigners from the legal order of the Slovak Republic. Integrity of the applicant is evaluated very strictly. Rejected are even those applicants whose prosecution has been stopped. The Ministry also assesses the opinions of the Police Force, the Slovak Information Service and other relevant state bodies.</t>
  </si>
  <si>
    <t>No requirement fot TCNs.</t>
  </si>
  <si>
    <t>Question: ≥10 years + 1 day. There are many exemptions, but this is the most general provision for foreigners who have no family ties or other special status in Slovakia. I understand this is still considered score 0. But how it is in other countries? If we guarantee the max limit of 10 years it is not good but at least there is a limit, before there was nothing so maybe you can add score 25 next time. In our case administrative discretion is the worst.</t>
  </si>
  <si>
    <t>In some cases yes, but not in all.</t>
  </si>
  <si>
    <t>According to the Act No. 365/2004 Coll. on Equal Treatment in Certain Areas and Protection against Discrimination, and on
amending and supplementing certain other laws as amended (hereinafter only as "Antidiscrimination Act")
the adherence to principle of equal treatment lay in the prohibition of discrimination
on grounds of religion or belief, race, nationality or ethnic origin, language, political affiliation or other conviction,
national or social origin, (among other grounds). At the same time there are restrictions applicable when it comes to a migrants. According to Article 2 par 1 letter a) this Act shall not apply to differences of treatment resulting from the requirements for entry and stay of foreigners in the territory of the Slovak Republic, including the treatment of these foreigners provided for under separate provisions, except for EU, EEA and Swiss citizens, stateless persons, and members of their family. However, in other areas discrimination on the ground of nationality (“citizenship” under Slovak legislation) is prohibited under the legal regime of the Anti-discrimination Act. This follows from the open-ended list of prohibited grounds of discrimination contained in the Act which implicitly include nationality (“citizenship”) among the prohibited grounds of discrimination in most areas covered by the Directives.</t>
  </si>
  <si>
    <t xml:space="preserve">According to Antidiscrimination Act natural persons have a right to work and a right to free choice of employment (particular rights are limited by separate laws regulating employment of foreigners or their residence), a right to fair and satisfactory working conditions and to protection against arbitrary dismissal. These rights belong to them without any restrictions and discrimination on grounds of sex, marital status, family status, sexual orientation, race, color, language, age, unfavorable health condition or disability, genetic characteristics, beliefs, religion, political or other opinion, trade union activity, national or social origin, nationality or ethnic origin, property, birth or other status, unless different treatment is justified by the nature of occupational activities or the circumstances under which they are carried out, if this ground constitutes a genuine and determining occupational requirement, provided that the objective is legitimate and the requirement is proportionate. </t>
  </si>
  <si>
    <t>Article 5 par. 2 letter c) of Anti-discrimination Act, and Article 3 letter d) of Act No. 245/2008 Coll. on Education and Training, as amended. Article 2 par. 1): Compliance with the principle of equal treatment consists in the prohibition of discrimination on the grounds of sex, religion or belief, race, belonging to a nationality or ethnic group, disability, age, sexual orientation, marital and family status, skin color, language, political or other opinion, national or social origin, property, gender or other status or due to reporting criminality or other anti-social activity.</t>
  </si>
  <si>
    <t>Article 5 Par. 2 letter a) of Anti-discrimination Act - prohibits discrimination in the access to social protection on the grounds defined in Article 2 (includes all mentioned).</t>
  </si>
  <si>
    <t>Article 5 par.  2 letter d) of Anti-discrimination Act - prohibits discrimination in the services including housing and healthcare on the grounds defined in Article 2 (includes all mentioned).</t>
  </si>
  <si>
    <t>Only b) and c) applies for Slovakia. a) Victims have access to a civil proceedure and in a limited regime to administrative proceedures (if it happened in employment, victims may contact the Labour Inspectorates). According to Article 11 par. 3 of Anti-discrimination Act. victims of discrimination may exercise their rigths in judicial civil procedures. At the same time, discrimination in Slovakia is not defined as a criminal act.           b) Article 11 par. 2 of Anti-discrimination Act: The defendant has the obligation to prove that there was no violation of the principle of
equal treatment if the facts submitted to a court by the plaintiff give rise to a reasonable
assumption that such violation has indeed occurred.                                        c) Legal entities as well as non-govermental organizations may engage in proceedings. Article 2, par. 1 Parties to the proceedings concerning the violation of the principle of equal treatment may also be represented by legal entities a) who have such authority under a separate law, or b) whose activities are aimed at or consist in the protection against discrimination. And specifically, regarding the mandate of the equality body: Article 2, Par. 1, point 3:  Slovak National Centre for Human Rights shall have the authority to represent parties in the proceedings concerning
violation of the principle of equal treatment. d) Only a), b), c) are included explicitly, e) can be derived from the context.  Article 9 of Anti-discrimination Act - sanctions stated under a), b) and c) are included.  The Article 9 enables the victims, i.e. to a person who believes that his/her rights, interests protected by law or freedoms were affected when the principle of non- discrimination was not followed, he/she may sue the violator and demand: (i) to cease such activity, (ii) to repair the unlawful situation or (iii) to provide adequate non-monetary satisfaction.  The Article 9, par. 3 states, that if  satisfaction prove to be not sufficient, especially where the violation of the principle of equal treatment has considerably impaired the dignity, social status and social
functioning of the victim, the victim may also seek non-pecuniary damages in cash.</t>
  </si>
  <si>
    <t>Act No. 308/1993 Coll. on Establishment of Slovak National Centre for Human Rights (hereinafter only as "Slovak National Centre for Human Rights Act"), covers all mentioned grounds.</t>
  </si>
  <si>
    <t>Competence to assist victims according to Article 1 par. 2 letter e) of the Slovak National Centre for Human Rights Act and Article 10 par. 1, letter a) of the Antidiscrimination Act. Competence to investigate granted in 2008, Article 1 Par. 2 letter g) of the Slovak National Centre for Human Rights Act.</t>
  </si>
  <si>
    <t>Act No. 365/2004 Coll. on Equal Treatment in Certain Areas and Protection against Discrimination, amending and supplementing certain other laws (Antidiscrimination Act) Amended by Act No. 32/2013 Coll. The amendment extended the possibility to adopt Affirmative actions on members of racial and ethnic groups and national minorities (reasons for their use could not be based on ethnicity before April 2013), but rather on socio-economic disadvantage. Adoption of temporary measures aimed at eliminating disadvantages (especially social and economic) arising from belonging to these groups will thus not be considered discrimination.  According to "Article 8a par. 4) The authorities adopting positive action measures shall be obliged to monitor, evaluate and publish measures taken in order to assess the justification for their continuation and report to the Slovak National Centre for Human rights of the facts." It seems like assessment is done within their discretion.</t>
  </si>
  <si>
    <t>There was no legal change in last 4 years.</t>
  </si>
  <si>
    <t>In 2020 it was determined by law which categories of foreigners can be given the vaccine against Covid 19. Categories of such foreigners were published on the website of the Ministry of Health. Generally, in 2020, public health insurance has been obligatory for all persons with permanent residence in Slovakia (unless the law stipulated otherwise). Public health insurance is still obligatory also for some categories of a temporary migrants, and any commercial private health insurance for some of those who may not be publically insured but Act on Residence of Foreigners requires the proof of the insurance. There are some groups of foreigners that are falling away from the scope of a public insurance but everybody and under any circumstances is entitled to emergency health care for free.
Constitution of the Slovak Republic (460/1992 Coll.) and the Act No. 576/2004 Coll. on healthcare, healthcare related services and on changes and amendments to certain acts (hereinafter only “Act on Healthcare”) determine equal right to health and health care to everybody.
There are two main types of available health insurance  - compulsory public health insurance and individual, private commercial health insurance. Having a health insurance is a condition to obtain a residence in Slovakia (for instance entrepreneurs, researchers, family members of third country nationals are obliged to have it but can only have private insurance).
The extent of health care provided depends on the type of health insurance, not on type of residence. Everybody under any circumstances is continually entitled to emergency health care for free. 
Majority of migrants who are TCN’s have to prove they are covered by either state or private health insurance within 30 days of arrival.
Tolerated foreigners are generally not covered by state, they have no possibility to enter to the public health insurance due conditions of Act No. 576/2004 Coll. Usually they are without public health insurance despite legal status with possibility to get only urgent health care for free (delivery, emergency circumstances) or, they have the possibility to pay commercial insurance.
Commercial insurance of medical expenses for foreigners who, from different reasons, are in Slovakia either for a short-term stay (visa) or for temporary residence and who cannot be insured in the system of public health insurance in Slovakia. The insurance covers injury or illness, treatment of which requires provable costs for healthcare provided to the insured during the period of insurance. The insurance is applicable on the territory of Slovakia.
The extent of healthcare in the case of public health insurance is guaranteed by legal regulations.</t>
  </si>
  <si>
    <t xml:space="preserve">Administrative procedure is regulated by Act No. 580/2004 Coll. on health insurance and on changing and amending of certain acts (hereinafter only as "Act on Health Insurance"). Act requires declaration of legal address, permanent residence abroad and contact address, nationality, date of birth if a birth identification number has not been issued, and the number of identity card or passport. 
In case of emergency care there are no administrative demands. 
</t>
  </si>
  <si>
    <t>According to article 22 par. 5 of Act No. 480/2002 Coll. on Asylum as amended (hereinafter only as “Act on Asylum”), on behalf of an asylum applicant who is not publicly insured, the Ministry of interior pays urgent medical care; in cases worthy of special attention, and if, based on an individual assessment of the applicant's state of health it is necessary, the Ministry pays for the provision of such extra health care. The Ministry ensures appropriate health care for minor asylum seekers who are victims of abuse, neglect, exploitation, torture or cruel, inhuman and degrading treatment or who have suffered as a result of armed conflict. Pursuant to this Article, the Ministry issues to the applicant a certificate of authorization for the provision of health care. According to Article 23 par. 5 of above Act, the Ministry of interior may decide that the applicant is obliged to adequately cover the expenses associated with his/her stay in an asylum facility or in an integration center or the expenses for the health care provided, if his/her financial or property circumstances are such that at least partial reimbursement of the expenses related to this can be requested from him stay.</t>
  </si>
  <si>
    <t xml:space="preserve">Legal system in Slovakia does not specify condition for their inclusion in a system of health care. However, pursuant to the Constitution of the Slovak Republic (460/1992 Coll.) and the Act on Health care,  everybody has to be provided urgent (life saving) care, without any further conditions. When it comes to a general health care, undocumented foreigners may be detained in the territory of the Slovak Republic are placed in detention centres. The state covers health insurance for person in detention or serving a prison sentence.  Equal access as nationals is therefore not granted. In practice, the cost of health care and a fear to visit health care facility may create obstacles. Unfortunately, there is no research and data of undocumented migrants and their access to health care. </t>
  </si>
  <si>
    <t>A: documents required are difficult to obtain.  B: decision about "emergency" with uncertain outcome.</t>
  </si>
  <si>
    <t>IOM website, since IOM cooperates with the Slovak government they substitute ministries websites in various areas. A) and B).</t>
  </si>
  <si>
    <t>Only A and B in a limited scope (poor).</t>
  </si>
  <si>
    <t xml:space="preserve">We are not aware of any official participation of migrants in this area. </t>
  </si>
  <si>
    <t>1 or 2. "Health of migrants, access to health care and health promotion services." From 2018 to 2021 one project of the Ministry of Health has been funded by AMIF: https://www.minv.sk/?ukoncene-projekty However, impact of this project cannot be evaluated.</t>
  </si>
  <si>
    <t>No systematic attention is paid to migrant or ethnic minority health in any part of the health system. Migrant health is ad hoc studied by NGOs.</t>
  </si>
  <si>
    <t>New article 9h of the Act on Healthcare has been introduced in 2021 stipulating rules for reimbursement of health care for foreigners with subsidiary protection and victims of human trafficking.</t>
  </si>
  <si>
    <t>Ministry of Health worked on a complex project "Health and Migration" in 2021, with following result: https://www.standardnepostupy.sk/zdravie-a-migracia2/ Impact of this project is hard to evaluate.</t>
  </si>
  <si>
    <t>The Ministry of Health in the "summary of nine key priority action areas that need to be paid attention to when creating a national migration policy with regard to the mental health of refugees and migrants" also stated the following priority: "availability of high-quality interpretation and translation services and implementation of cultural mediation services: https://www.health.gov.sk/Zdroje?/Sources/dokumenty/SDTP/standardy/Migracia/005_MIG_OP-prevencia-v-suvislosti-s-mimoriadnymi-udalostami-v-oblasti-psychicke-ochorenia-a-mentalne-zdravie.pdf</t>
  </si>
  <si>
    <t>From 2018 to 2021 one project of the Ministry of Health has been funded by AMIF: https://www.minv.sk/?ukoncene-projekty</t>
  </si>
  <si>
    <t>In 2022, due to the war in Ukraine, soldiers were exempted from the obligation to pay health insurance: Public health insurance is not compulsory for a natural person who is a citizen of another state, during the period in which he stays in this other state for reasons of performing service in the army of this state, the performance of military service or the performance of conscription in this other state."</t>
  </si>
  <si>
    <t>In 2022 NGOs such as EQUITA, Human Rights League or other service organizations focused on health issues of Ukrainian refugees who were provided temporary refuge.</t>
  </si>
  <si>
    <t>New definition of urgent healthcare has been introduced in 2023: Urgent health care (hereinafter referred to as "urgent care") is health care that is provided to a person in the event of a sudden change in his health condition, which immediately threatens his life or one of his basic vital functions, without prompt provision of health care, his health may be seriously endangered, causes her sudden and unbearable pain, the immediate non-treatment of which could lead to a threat to her life or health, or causes sudden changes in behavior and actions, under the influence of which the person immediately endangers herself or her surroundings. Urgent care is also such health care that is provided during childbirth and during the examination, diagnosis and treatment of a rapidly spreading and life-threatening infection, if there is reasonable suspicion that a person may be the source of such a rapidly spreading and life-threatening infection. Emergency care includes the immediate transportation of a person to a medical facility, if the person's health condition requires the provision of emergency care during transportation to or between medical facilities, the immediate transportation of a human organ donor or recipient of a human organ, if their health condition requires the provision of emergency care during transportation, urgent transportation of health workers who perform activities related to the collection of a human organ, if delaying their transportation could endanger the life or health of the recipient of the human organ or could lead to irreversible damage to the human organ intended for transplantation, and urgent transportation of the human organ intended for transplantation, if delaying the transport of this human organ could endanger the life or health of the recipient of the human organ or could lead to irreversible damage to this human organ. Emergency transport is carried out by emergency medical service providers.</t>
  </si>
  <si>
    <t>The provision of health care for a foreigner who is not publicly insured was newly included under the  Act on Health Insurance, by the newly introduced provision of Article 9h par. 2 letter b). According to this recent change in the law, the health care provided to the asylum seeker is no longer covered by the Ministry of the Interior, but by the health insurance company with the largest number of insured persons. Situation of asylum seekers did not change, however, responsibility to pay costs related to health care provided to asylum seekers lies within the health insurance company.</t>
  </si>
  <si>
    <t xml:space="preserve">Main source of information: https://www.mic.iom.sk/en/social-issues/health-care.html </t>
  </si>
  <si>
    <t>There is no legal provision nor policy in place except for the results of abovementioned Ministry of Health project "Health and Migration" in 2021 stating availability of interpreters in health care as a priority.</t>
  </si>
  <si>
    <t xml:space="preserve">teachers in the separate german classes have to have a German language as a foreign language teaching certificate (DAF-DAZ), classes have to bel held according to DAF DAZ standards and there is a curricula, even though the curricula for the separate german classes are very vague and only define gereral targets https://www.bmbwf.gv.at/dam/jcr:f0e708af-3e17-4bf3-9281-1fe7098a4b23/deutschfoerderklassen.pdf </t>
  </si>
  <si>
    <t xml:space="preserve"> the procedures and fees do not depend on nationality, but on where the qualification was obtained. However there are different procedures and fees for qualifications optained in EU countries.</t>
  </si>
  <si>
    <r>
      <t>Identified research projects include:
Statistics Poland, WHO - 'Health of refugees from Ukraine in Poland 2022' (2022-2023) (research report: https://stat.gov.pl/wydarzenia/wydarzenia-miedzynarodowe/health-of-refugees-from-ukraine-in-poland-2022-survey-findings,7,1.html) - (A), (C)
Active Citizens - Fund National - 'Równy dostęp cudzoziemców do usług publicznych: Warszawa' (w tym do służby zdrowia) [Equal access to public services for foreigners: Warsaw (including helath care)] (2021-2023) - (C)
European Commission (Erasmus + KA2) - 'HealthMi – Health Care Professional Guidance for Migrants' (2021-2023) - (C)
National Science Centre - '</t>
    </r>
    <r>
      <rPr>
        <i/>
        <sz val="10"/>
        <rFont val="Calibri"/>
        <family val="2"/>
        <charset val="238"/>
      </rPr>
      <t>Intersecjonalność migracji i niepełnosprawności we współczesnej Polsce'</t>
    </r>
    <r>
      <rPr>
        <sz val="10"/>
        <rFont val="Calibri"/>
        <family val="2"/>
      </rPr>
      <t xml:space="preserve"> [Intersectionality of migration and disability in contemporary Poland] (2023-ongoing) - (A)
National Science Centre - 'Koncepcja obciążenia allostatycznego jako próba zrozumienia biologicznych i psychopatologicznych konsekwencji kryzysu uchodźczego' [The concept of allostatic load as an attempt to understand the biological and psychopathological consequences of the refugee crisis] (2023-ongoing) - (B)                                           The increased score starting from 2023 is due to the research being financed by national funding bodies. 
</t>
    </r>
  </si>
  <si>
    <t xml:space="preserve">Similar comment as previous MIPEX questionnaire in 2019: Education is compulsory from age 6-16. There is no legal restriction - all children have access to non-compulsory and compulsory education (pre-school and primary/secondary) but practical barriers may arise regarding enrolment and access. There are no legal restrictions on access to third level for any category, including asylum seekers but equally there is no legal right to access third level. In practice at third level, access is dicated by financial means and access to student supports is dependent on fulfilment of criteria rather than available to all (see info in Labour Market Mobility strand - Education and vocational training and study grants). </t>
  </si>
  <si>
    <t xml:space="preserve">There has been a national migrant integration strategy  active in 2017-2021, that established a monitoring committee made up of senior officials from Government Departments and Agencies and representatives from NGOs, as opposed to migrant groups/associations, while consultation with migrants was and still is only on ad hoc basis. The strategy also promised continued information for political participation, Migrant Consultative Forum, inclusion of migrant representatives in local fora and Migrant Integration Forum in every municipality and Dublin Integration Network.
No such strategy has been implemented afterwards. See: https://migrant-integration.ec.europa.eu/country-governance/governance-migrant-integration-ireland_en#:~:text=In%20order%20to%20foster%20the,new%20strategy%20has%20been%20announced.: it appears that Action 17, 22, 53 and 54 of the 2017-2020 (later extended to 2021) directly included official national migrant-specific consultative or advisory structure  for all migrants. There are no updates on this strategy and it seems that no new plans are currently discussed at the national level. </t>
  </si>
  <si>
    <t>Same as dc71abd. Score change is explained as the 2017-2020 strategy was only continued until 2021, and no other strategy has been implemented since then. 
Again I think we need a score of 100 till 2021 and 50 for 2022-23.</t>
  </si>
  <si>
    <t>Migrant Integration Strategy 2017-2020 promised funding for political participation and Communities Integration Fund (500K) to local community-based groups. The strategy was continued in 2021, but not in 2022 and 2023, which explains the score change. There is no regular funding stream for political participation available for immigrant organizations, but the government sometimes makes available, by request, once-off funds (we are funded by the Department of Housing, Local Government and Heritage to develop actions in this area). We contacted the Department of Housing, Local Government and Heritage and put forward a proposal. It is also possible to apply for projects related to political participation through AMIF or other integration-related grants, but these do not focus exclusively on political participation.</t>
  </si>
  <si>
    <t>For A):
6.1 Judicial and/or administrative procedures (Article 7 Directive 2000/43, Article 9 Directive 2000/78) a) Available procedures for enforcing the principle of equal treatment In Ireland, the following procedures exist for enforcing the principle of equal treatment: The Workplace Relations Commission (WRC) is the primary first instance forum for complaints under EEA, ESA and the Pensions Acts. 393 It operates as a quasi-judicial body. The Director of the WRC assigns an adjudication officer to investigate complaints received. Complainants may represent themselves, costs may not be awarded against either party, and the procedure is informal. Provided both parties consent, complaints may be referred instead to the WRC’s mediation service.394 Mediation is held in private and the agreement is not published. An appeal lies to the Labour Court for EEA and Pensions Acts cases, while ESA appeals are heard by the Circuit Court. Appeals entail a re-hearing of all matters of fact and law.395 The Labour Court is
For B): 
In Ireland, national law requires a shift of the burden of proof from the complainant to the respondent. Section 85(A)(1) EEA provides: ‘Where in any proceedings facts are established by or on behalf of a complainant from which it may be presumed that there has been discrimination in relation to him or her, it is for the respondent to prove the contrary.’ An identical provision governs cases under the ESA (Section 38(A)(1)). 
For C):
6.2 Legal standing and associations (Article 7(2) Directive 2000/43, Article 9(2) Directive 2000/78) a) Engaging on behalf of victims of discrimination (representing them) In Ireland, associations, organisations, and trade unions are entitled to act on behalf of victims of discrimination, but only in the Workplace Relations Commission (WRC) and Labour Court. Organisations, trade unions or associations may act on behalf of a claimant before the WRC and Labour Court (as may any person authorised by the complainant), 429 but are not entitled to do so in civil courts and may do so only at discretion of those civil courts.430 b) Engaging in support of victims of discrimination In Ireland, associations, organisations and trade unions are entitled to act in support of victims of discrimination, but only before the WRC and Labour Court, not before the civil courts. National law does not distinguish between actions of associations on behalf and in support of victims of discrimination.
All retrieved from:
https://www.equalitylaw.eu/downloads/4685-ireland-country-report-non-discrimination-2018-pdf-2-29-mb</t>
  </si>
  <si>
    <t xml:space="preserve">The Irish Human Rights and Equality Commission is the specialised body. </t>
  </si>
  <si>
    <t xml:space="preserve"> Irish Human Rights and Equality Commission Act 2014 established the Irish Human Rights and Equality Commission (IHREC). It's functions are set out in section 10 of the Act and includes a) and c). As per MIPEX 2019, in accordance with section 40 of the 2014 Act, IHREC on fulfilment of criteria ( section 40 (30 and section 40 (4) may provide practical legal asssistance to persons in vindicating their rights under human rights and anti-discrimination legislation, in particular under the Employment Equality Acts 1998–2015, the Equal Status Acts 2000–2015, the European Convention on Human Rights Acts 2003 and 2014, and more generally in relation to the protection and promotion of human rights and equality. In 2019 the NGO FLAC (Free Legal Advice Centres) called for amendments to the Civil Legal Aid and Equal Status Acts to ensure more accessible rememdies for breaches of the legislation. There is presently no civil legal aid available for people to bring claims of discrimination under the Equal Status Acts or the Employment Equality Acts to the Workplace Relations Commission, no matter how the complex or important the issue is, how little resources the potential complainant may have, or the capacity of the complainant to represent him or herself. In 2022, the Minister for Justice commissioned a review group (coordinated by the Chief Justice of Ireland) to examine civil legal aid reforms in Ireland. There has been a public consultation but the work of the review group has not yet been finalised. </t>
  </si>
  <si>
    <t xml:space="preserve">The Irish Human Rights and Equality Commission Act 2014  introduced  a positive duty on public bodies to have due regard to human rights and equality in their work and to conduct their business in a manner that is consistent with individual human rights. However the public sector duty is not a positive action measure.  Note also previous comments in MIPEX 2019 re positive actions in the Migrant Integration Strategy 2017-2020. The Strategy ended and has not been updated.  Action 46 only shows an intention.  Public sector duty is not a positive action measure. nothing has happened. In my opinion (Basak) it is definitely not 100 anymore because the strategy is not implemented. </t>
  </si>
  <si>
    <t>a,c and some categories of b. In addtion, effective January 21, 2025, only spouses of certain international students and foreign workers will be able to apply for a family Open Work permit. So, this new policy will be applied in 2025. In general, temporary workers are tied to the employer/sector for which they received the permit.</t>
  </si>
  <si>
    <t>a,c and some categories of b. International students are excluded from some study grants. Not all temporary workers can study, depends on your permit.</t>
  </si>
  <si>
    <t xml:space="preserve">Credential assessment services in Canada, such as TRCC regulated WES, IQAS, ICAS, evaluate foreign academic credentials based solely on the country and institution of education, not the applicant’s nationality or immigration status. Both Canadian-born individuals and immigrants educated abroad go through the same process, submit the same documentation, and pay the same fees for credential recognition. Note: some private regulators may charge different fees from nationals and immigrants. </t>
  </si>
  <si>
    <t>The Youth Employment and Skills Strategy (YESS) was launched by the Government of Canada in June 2019 (effective from 2020), modernizing the previous Youth Employment Strategy to better support youth, especially those facing barriers to employment. the Youth Employment and Skills Strategy (YESS)—administered by Employment and Social Development Canada—provides services to migrant youth and migrant women. Link: https://www.canada.ca/en/employment-social-development/programs/youth-employment-strategy.html</t>
  </si>
  <si>
    <t>In Canada, residents with temporary status may be eligible for some social safety net benefits—such as unemployment insurance, maternity and parental leave, and certain family benefits—but not all. They are generally not eligible for Old Age Security (OAS), as it requires meeting   Canadian residency criteria. https://ebsource.ca/government-benefits/</t>
  </si>
  <si>
    <t>The Racialized Newcomer Women Pilot was launched in 2018 to provide employment support to racialized and immigrant women. In December 2022, the Government of Canada announced up to $5.8 million in renewed funding through 2025 for 10 projects supported under the Racialized Newcomer Women Pilot. This funding is in addition to the $15 million over 2 years that was allocated in Budget 2021 to extend support for this pilot. Link: https://www.canada.ca/en/immigration-refugees-citizenship/news/2023/03/expanding-employment-opportunities-for-racialized-newcomer-women.html.   To establish the year, we followed the budget (2021)</t>
  </si>
  <si>
    <r>
      <t>a,c and some categories of b. In addtion, effective January 21, 2025, </t>
    </r>
    <r>
      <rPr>
        <sz val="10"/>
        <color rgb="FF040C28"/>
        <rFont val="Arial"/>
        <family val="2"/>
      </rPr>
      <t>only spouses of certain international students and foreign workers will be able to apply for a family Open Work permit</t>
    </r>
    <r>
      <rPr>
        <sz val="10"/>
        <color rgb="FF1F1F1F"/>
        <rFont val="Arial"/>
        <family val="2"/>
      </rPr>
      <t xml:space="preserve">. So, this new policy will be applied in 2025. </t>
    </r>
  </si>
  <si>
    <t>Note: Migrants with temporary status in Canada are eligible to receive some public employment services, though there are some limitations. For example, they can access services like Job Bank for finding employment and have the same workplace protections as other workers. However, access to services like settlement programs and EI benefits may depend on specific programs or eligibility criteria. Link: https://ircc.canada.ca/english/newcomers/services/index.asp</t>
  </si>
  <si>
    <t>a,c and some categories of b</t>
  </si>
  <si>
    <t xml:space="preserve">Credential assessment services in Canada, such as WES, IQAS, ICAS, evaluate foreign academic credentials based solely on the country and institution of education, not the applicant’s nationality or immigration status. Both Canadian-born individuals and immigrants educated abroad go through the same process, submit the same documentation, and pay the same fees for credential recognition. Note: some private regulators may charge different fees from nationals and immigrants. </t>
  </si>
  <si>
    <t xml:space="preserve">Canada offers robust support programs for the economic integration of TCNs, including targeted training such as bridging programs and job-specific language courses, as well as employer-focused initiatives like wage subsidies, work placements, mentoring scheme. preparations for exams and public sector commitments. </t>
  </si>
  <si>
    <t>The Racialized Newcomer Women Pilot was launched in 2018 to provide employment support to racialized and immigrant women. In December 2022, the Government of Canada announced up to $5.8 million in renewed funding through 2025 for 10 projects supported under the Racialized Newcomer Women Pilot. This funding is in addition to the $15 million over 2 years that was allocated in Budget 2021 to extend support for this pilot. Link: https://www.canada.ca/en/immigration-refugees-citizenship/news/2023/03/expanding-employment-opportunities-for-racialized-newcomer-women.html
The Youth Employment and Skills Strategy (YESS) was launched by the Government of Canada in June 2019, modernizing the previous Youth Employment Strategy to better support youth, especially those facing barriers to employment. the Youth Employment and Skills Strategy (YESS)—administered by Employment and Social Development Canada—provides services to migrant youth and migrant women. Link: https://www.canada.ca/en/employment-social-development/programs/youth-employment-strategy.html</t>
  </si>
  <si>
    <t xml:space="preserve">Restrictive definition of dependent children: Effective 24 October 2017, Immigration, Refugees and Citizenship Canada (IRCC) has increased the age limit for dependent children to include children under the age of 22. The term “dependent child” is defined by Canadian immigration law and is used to determine who is a dependent family member of a principal applicant. As of 24 October 2017, a dependent child is a biological or adopted child who is less than 22 years of age and is not married. Children who are 22 years old or older may qualify as dependents if they are unable to self-support and have relied on the financial support of their parents due to a physical or mental condition. Prior to this change, a dependent child was less than 19 years old.
Children who meet the “dependent child” definition can be included in their parents’ application for temporary or permanent residence.                                                        Decision to increase to 50 because of age increase of 22 in dependent children because it is very good compared to other countries. </t>
  </si>
  <si>
    <t xml:space="preserve">Family sponsorship does not involve a language assessment.  </t>
  </si>
  <si>
    <t xml:space="preserve">There is no assessment on social/cultural integration for family sponsored immigrants.  </t>
  </si>
  <si>
    <t>​ Canada's family sponsorship program does not impose mandatory language requirements—such as tests, interviews, or compulsory courses—on sponsors or their family members upon arrival. Instead, the Canadian government provides voluntary language assessment and training services, such as English as a Second Language (ESL) programs, to support newcomers’ integration into Canadian society. These services are available both before and after arrival and include free language classes and assessments to aid settlement. The federal government offers programs like Language Instruction for Newcomers to Canada (LINC), while provincial programs also exist—for example, those funded by Ontario’s Ministry of Labour, Immigration, Training and Skills Development (MLITSD). Link: https://www.canada.ca/en/immigration-refugees-citizenship/services/settle-canada/language-skills/classes.html</t>
  </si>
  <si>
    <r>
      <t>Canada's family sponsorship program does not impose mandatory social or cultural integration requirements—such as compulsory integration courses or tests—on sponsors or their family members upon arrival. Instead, the Canadian government offers a range of voluntary settlement services to assist newcomers in adapting to life in Canada.</t>
    </r>
    <r>
      <rPr>
        <sz val="12"/>
        <color theme="1"/>
        <rFont val="Aptos"/>
        <family val="2"/>
      </rPr>
      <t xml:space="preserve"> </t>
    </r>
    <r>
      <rPr>
        <sz val="12"/>
        <color theme="1"/>
        <rFont val="Times New Roman"/>
        <family val="1"/>
      </rPr>
      <t>Upon arrival, newcomers can access free services through local service provider organizations. These services offer assistance with finding employment, enrolling children in school, and connecting with community resources. Link: https://www.canada.ca/en/immigration-refugees-citizenship/services/immigrate-canada/family-sponsorship/spouse-partner-children/prepare-arrival.html?utm_source=chatgpt.com</t>
    </r>
  </si>
  <si>
    <t>The sponsor needs to demonstrate sufficient financial means to support the sponsored individual and their dependent children (if any). This is typically done by showing that they have a stable income and can support the sponsored person without relying on government assistance. Link: https://www.canada.ca/en/immigration-refugees-citizenship/services/immigrate-canada/family-sponsorship/spouse-partner-children/eligibility.html</t>
  </si>
  <si>
    <t>The Government of Canada has removed the condition that applied to some sponsored spouses or partners of Canadian citizens and permanent residents to live with their sponsor for 2 years in order to keep their permanent resident status. Conditional permanent residence no longer applies to anyone from April 28, 2017. Link: https://www.canada.ca/en/immigration-refugees-citizenship/news/notices/elminating-conditional-pr.html</t>
  </si>
  <si>
    <t xml:space="preserve">Restrictive definition of dependent children: Effective 24 October 2017, Immigration, Refugees and Citizenship Canada (IRCC) has increased the age limit for dependent children to include children under the age of 22. The term “dependent child” is defined by Canadian immigration law and is used to determine who is a dependent family member of a principal applicant. As of 24 October 2017, a dependent child is a biological or adopted child who is less than 22 years of age and is not married. Children who are 22 years old or older may qualify as dependents if they are unable to self-support and have relied on the financial support of their parents due to a physical or mental condition. Prior to this change, a dependent child was less than 19 years old.
Children who meet the “dependent child” definition can be included in their parents’ application for temporary or permanent residence.                                        Decision to increase to 50 because of age increase of 22 in dependent children because it is very good compared to other countries. </t>
  </si>
  <si>
    <t xml:space="preserve"> 
Compulsory education in Canada typically spans from ages 5 or 6 to 16 or 18, depending on the province or territory. Compulsory education as a legal right - 21(1) 29(1) Education Act resident minors required to attend school and not refused admission for parents' irregular status. Residence or immigration status is not one of the eligibility criteria. Authorised to study at pre-school, primary, or secondary level and to qualify for funding for ESL/ESD. Section 30(2) IRPA still interested to mean children holding visitor's visas are not permitted to study however could be challenged that qualification is about parents, not child.
Access to non-compulsory education, including pre-primary programs, vocational training, and post-secondary education, is generally more restricted for migrants, particularly those without legal status. While permanent residents and individuals with valid study or work permits typically have access to these educational opportunities, undocumented migrants often encounter significant obstacles. These can include higher tuition fees, ineligibility for financial aid, and admission policies that require proof of legal status.
</t>
  </si>
  <si>
    <t>After George Floyd (2020) and the Black lives matter movement, schools and colleges became the center of the movement and more measures to support pupil's access to higher education were introduced.</t>
  </si>
  <si>
    <t xml:space="preserve">a. Some provinces and school boards (e.g., Toronto District School Board, Peel District School Board) provide translated guides and brochures in multiple languages.
b. Programs like Settlement Workers in Schools (SWIS) provide dedicated staff to help orient migrant pupils and their families. These are fairly widespread in large urban centres, but less consistent in rural areas or across all provinces.
c. Interpretation services are offered through SWIS and some school boards, particularly in large cities. 2.8.3, Policies and Procedures for Ontario Elementary and Secondary Schools, K-12 2007 Again, this varies by location and is not systematically provided nationwide.
</t>
  </si>
  <si>
    <t xml:space="preserve">a.	In compulsory education (primary and secondary): Every province and territory offers English or French as a Second Language (ESL/FSL) programs for newcomer and migrant students. These supports are embedded within the public education system, with dedicated ESL teachers, transitional support, and curriculum adaptation. Students may be placed in mainstream or separate ESL classrooms, depending on their needs.
b.	In pre-primary education: Yes. Many public-funded pre-primary programs offer language support or early literacy programs specifically designed for immigrant children. Examples include Language Instruction for Newcomers to Canada (LINC) Childminding support, and ESL-based programs integrated into kindergarten or pre-kindergarten services, especially in urban areas.
</t>
  </si>
  <si>
    <t xml:space="preserve">a. Communicative literacy
Yes. English and French as a Second Language (ESL/FSL) programs across Canada explicitly aim to build basic fluency in reading, writing, speaking, and listening.
These programs are available in both mainstream and transitional support settings, with curriculum and teaching tailored to newcomers' needs.
b. Academic literacy
Yes. ESL/ELL programs in Canadian schools also focus on academic language development—supporting migrant students in mastering the vocabulary and discourse needed for success in subjects like math, science, and social studies.
Provinces like Ontario and British Columbia have formal English Language Learner (ELL) frameworks that distinguish between social/communicative fluency and academic fluency, and provide targeted instruction accordingly.
</t>
  </si>
  <si>
    <t>a. Requirement for courses to use established second-language learning standards
Yes. Most provinces use formal ESL/ELL curriculum frameworks based on second-language acquisition principles.
Example: Ontario's ESL and ELD curriculum includes language proficiency benchmarks tied to specific grade levels and learning outcomes.
Nationally, Language Instruction for Newcomers to Canada (LINC) uses the Canadian Language Benchmarks (CLB) as a standardized framework.
b. Requirement for teachers to be specialised and certified in these standards
Yes. ESL/ELL teachers are generally required to hold additional qualifications (AQ) or certifications in second-language teaching.
In Ontario, for instance, ESL teachers must complete recognized AQ courses in ESL through the Ontario College of Teachers (OCT).
c. Curriculum standards are monitored by a state body
Yes. Provincial Ministries of Education (e.g., in Ontario, BC, Quebec) develop, monitor, and update ESL/FSL curricula as part of their public education mandates.
Compliance and outcomes are also assessed through school board oversight and provincial inspections.</t>
  </si>
  <si>
    <t>There are systematic and school-board-led supports for migrant students across provinces: Settlement Workers in Schools (SWIS) help migrant students and families navigate the education system. English/French language support teachers, peer mentoring, homework clubs, and academic tutoring are often integrated into schools with large migrant populations.
While some provinces and school boards allocate targeted funding (e.g., “ESL funding units”), there is no universal, dedicated financial aid system for migrant pupils (e.g., for school supplies, tutoring, or technology access) based specifically on migrant status.</t>
  </si>
  <si>
    <t>Yes. Cultural diversity, equity, and inclusion are explicitly integrated across curricula in many provinces:
Ontario, British Columbia, Alberta, and others embed intercultural competencies and anti-racism education into subjects such as social studies, history, language arts, and civics.
Teachers are encouraged (and sometimes required) to address diverse cultural perspectives, including those of Indigenous, immigrant, and racialized communities.</t>
  </si>
  <si>
    <t>a. To encourage more migrants to study and qualify as teachers
Yes. Several provinces have programs and bridging initiatives to support internationally educated teachers (IETs) to meet certification requirements:
Ontario College of Teachers (OCT) offers guidance and credential evaluation pathways for foreign-trained teachers.
BC Teacher Regulation Branch also offers alternative pathways and credential recognition.
Some provinces (e.g., Manitoba, Alberta) have teacher qualification bridging programs in partnership with universities.
Programs like CAPLE (Centre for Academic and Professional Language Education) and immigrant-serving organizations offer language and academic support to help migrant professionals prepare for teaching certification.
b. To encourage more migrants to enter the teacher workforce
Limited. While some localized support (e.g., information sessions, credential recognition help, mentorship) exists, there is no consistent national campaign or structured incentive program to recruit migrants into teaching roles.
Hiring practices are often regulated at the school board level, and migrants may face barriers such as provincial certification complexity, lack of Canadian experience, and limited alternative pathways.</t>
  </si>
  <si>
    <t>Covid 19 and Black Lives matter movement (2020) pushed the topic of diversity more at the forefront in terms of implementing th multicultural policies.                                                                                                                                                                                                                                                                                                        a. Topic required in pre-service training to qualify as a teacher
Yes. In most provinces, teacher education programs are required to include coursework on diversity, equity, anti-racism, and intercultural understanding as part of pre-service training.
For example:
Ontario College of Teachers (OCT) requires teacher candidates to demonstrate understanding of equity, inclusive education, and cultural responsiveness.
Similar requirements exist in British Columbia, Alberta, and Manitoba, often including mandatory coursework on Indigenous histories and anti-oppression.
b. Topic required in in-service professional development
Yes. While not always mandated uniformly across all provinces, many school boards and Ministries of Education require ongoing professional development in equity, anti-racism, and inclusive practices, particularly in response to Truth and Reconciliation Calls to Action and systemic racism reviews.</t>
  </si>
  <si>
    <t>Education is under provincial governments. All programs to support access are financed by the provincial government.No nationwide policy mandating targeted pathways for migrant students specifically. Many supports exist at the institutional/provincial level, such as: Language support programs, Bridge-to-university programs and Academic advising and mentorship.
Example of programs: 
1.	Community-based initiatives to support newcomer youth (e.g., through settlement agencies): The SRP is a unique program that combines resettlement with access to post-secondary education for refugee students. Each year, it enables over 130 refugee students to pursue higher education in Canada through partnerships with Canadian universities and colleges.
2.	World University Service of Canada (WUSC) – Student Refugee Program (SRP): The University of Ottawa has integrated Multicultural Liaison Officers into its support system to assist immigrant and refugee students.
3.	Renison University College – English Language Institute (ELI): Affiliated with the University of Waterloo, Renison's ELI provides English language programs designed to prepare international and newcomer students for academic success.
4.	Settlement Workers in Schools (SWIS) (Various Provinces):  SWIS is a partnership between settlement agencies and school boards that places settlement workers in schools to assist newcomer students and their families. They provide information and support on educational pathways, helping students understand and access opportunities for higher education.</t>
  </si>
  <si>
    <t>a. Topic required in pre-service training to qualify as a teacher
Yes. In most provinces, teacher education programs are required to include coursework on diversity, equity, anti-racism, and intercultural understanding as part of pre-service training.
For example:
Ontario College of Teachers (OCT) requires teacher candidates to demonstrate understanding of equity, inclusive education, and cultural responsiveness.
Similar requirements exist in British Columbia, Alberta, and Manitoba, often including mandatory coursework on Indigenous histories and anti-oppression.
b. Topic required in in-service professional development
Yes. While not always mandated uniformly across all provinces, many school boards and Ministries of Education require ongoing professional development in equity, anti-racism, and inclusive practices, particularly in response to Truth and Reconciliation Calls to Action and systemic racism reviews.</t>
  </si>
  <si>
    <t xml:space="preserve">Only Canadian citizens have the right to vote in federal, provincial, and municipal elections, and to run for public office at any level of government.
</t>
  </si>
  <si>
    <t>Permanent residents and other non-citizens are allowed to join and participate in political parties in Canada.There are no government-imposed legal restrictions on foreign nationals becoming members of political parties.</t>
  </si>
  <si>
    <t>Canada does not have a permanent, national-level consultative body composed of foreign residents or immigrant associations with a formalized role in policymaking.
However, ad-hoc consultations with immigrant-serving organizations, advocacy groups, and affected individuals do occur, particularly:
During federal policy reviews (e.g., Immigration Levels Plans).
Through government-commissioned consultations (e.g., IRCC engaging stakeholders via roundtables or surveys).
These processes are not structurally organized or regular, and do not involve direct representation of foreign residents.</t>
  </si>
  <si>
    <t>•	General information is available via federal and provincial government websites (e.g., Immigration, Refugees and Citizenship Canada [IRCC], Elections Canada), which provide materials on: Civic rights and responsibilities, Pathways to citizenship (including the right to vote), The structure of Canadian government and elections
•	Brochures, public campaigns, and videos (in multiple languages) are used periodically—especially during election years or citizenship promotion initiatives.
•	However, Canada does not have a national policy of individualized outreach (e.g., one-on-one meetings, one-stop shops specifically for political rights information) targeted directly at migrants, such as permanent residents or temporary residents.</t>
  </si>
  <si>
    <t>Canada provides substantial funding to immigrant-serving organizations, especially through IRCC’s Settlement Program. Some of these organizations (e.g., OCASI in Ontario, AMSSA in BC) also engage in policy consultation, but this is not their primary or unconditional role—they must meet specific program and reporting requirements set by IRCC. There are some funding conditions. 
Funding is competitive and conditional, often tied to service delivery outcomes, accountability metrics, and alignment with IRCC's strategic priorities. This goes beyond merely being a partner in policy dialogue and differs from the funding criteria applied to non-immigrant civil society groups.</t>
  </si>
  <si>
    <t>Permanent residents and other non-citizens are allowed to join and participate in political parties in Canada. There are no government-imposed legal restrictions on foreign nationals becoming members of political parties.</t>
  </si>
  <si>
    <t xml:space="preserve">Canada does not have a permanent, national-level consultative body composed of foreign residents or immigrant associations with a formalized role in policymaking.
However, ad-hoc consultations with immigrant-serving organizations, advocacy groups, and affected individuals do occur, particularly:
During federal policy reviews (e.g., Immigration Levels Plans).
Through government-commissioned consultations (e.g., IRCC engaging stakeholders via roundtables or surveys). E.g. Syrian refugees after 2015 for Refugee policies.
These processes are not structurally organized or regular, and do not involve direct representation of foreign residents.                                                                     In more recent years, with Covid and racial justice movement, there has been more involvement of racialized groups in the policy-making process. </t>
  </si>
  <si>
    <t>Canada provides substantial funding to immigrant-serving organizations, especially through IRCC’s Settlement Program. Some of these organizations (e.g., OCASI in Ontario, AMSSA in BC) also engage in policy consultation, but this is not their primary or unconditional role—they must meet specific program and reporting requirements set by IRCC.
Funding is competitive and conditional, often tied to service delivery outcomes, accountability metrics, and alignment with IRCC's strategic priorities. This goes beyond merely being a partner in policy dialogue and differs from the funding criteria applied to non-immigrant civil society groups.</t>
  </si>
  <si>
    <t>Most permanent residence (PR) pathways for temporary residents (e.g., skilled workers, international graduates, caregivers, refugees) require less than 5 years of residence in Canada before eligibility:
Express Entry – Canadian Experience Class: Requires 12 months of skilled work experience in Canada within the last 3 years.
Provincial Nominee Programs (PNPs): Some require as little as 6–12 months of residency/work.
Post-Graduation Work Permit holders: Often become eligible for PR within 1–3 years depending on program.
Protected persons (refugees) can typically apply for PR immediately upon acceptance.
There is a clear legal entitlement to apply for permanent residence after fulfilling transparent and regulated criteria.</t>
  </si>
  <si>
    <t>For most permanent residence (PR) programs in Canada, a formal language test is required to demonstrate proficiency in either English or French. Commonly accepted tests include: IELTS General Training (English), CELPIP General (English), TEF/TCF Canada (French). Language testing is mandatory, even if an applicant has lived, worked, or studied in Canada. Some pathways, like the Canadian Experience Class or Federal Skilled Worker Program, have minimum Canadian Language Benchmark (CLB) scores applicants must meet to be eligible.</t>
  </si>
  <si>
    <t>Some PR programs in Canada (e.g., Family Sponsorship, Federal Skilled Worker, Express Entry) require applicants to demonstrate sufficient financial resources, but:
The required income is generally higher than provincial social assistance thresholds.
Multiple income sources are accepted, including employment, self-employment, savings, investments, and, in some cases, joint family income (e.g., for family sponsorships).</t>
  </si>
  <si>
    <t>Permanent resident status in Canada is indefinite, or permanent, subject only to a person’s becoming inadmissible. The PR card, which serves as proof of status and is required for re-entry into Canada, is typically valid for 5 years and must be renewed thereafter. This card validity does not affect legal PR status, but for the purposes of administrative measurement, the document itself is valid for 5 years.
A permanent resident visa, given to a foreign national after their application to immigrate to Canada has been approved, can generally   be exercised anytime up to 12 months from the date of the issuance.</t>
  </si>
  <si>
    <t>PRs must renew their PR card every 5 years if they want to maintain valid proof of status (especially for travel). But for as long as you fullfill the conditions the renewal of the permanent residence status is automatic.
The renewal  involves submitting an application, paying a fee, and providing evidence that the residency obligation (minimum 730 days in Canada in the past 5 years) has been met.
The renewal does not require reassessing the original immigration selection criteria (e.g., language test, income level), only proof of physical presence and continued PR status.</t>
  </si>
  <si>
    <t xml:space="preserve">Canada requires permanent residents to be physically present in Canada for at least 730 days (2 years) within a 5-year period to maintain their status.
This means a PR can be absent for up to 3 years (1,095 days) within each 5-year period and still remain eligible to renew their PR card and retain their status.
Certain exceptions may also count toward the residency requirement (e.g., accompanying a Canadian citizen abroad, working for a Canadian employer abroad).
</t>
  </si>
  <si>
    <t xml:space="preserve">Permanent residents (PRs) in Canada generally have equal access to most social security programs as Canadian citizens, including: Employment Insurance (EI) (unemployment, maternity, parental, sickness benefits), Canada Pension Plan (CPP), Old Age Security (OAS) (after meeting residency requirements), Child and family benefits, Provincial social assistance.
However, access often depends on residency duration, prior contributions (e.g., to EI or CPP), and legal status. Temporary residents (e.g., work or study permit holders) are often excluded from full access, especially to income support programs like social assistance and OAS. Some benefits, like OAS, require 10 years of residence for eligibility—thus favoring citizens or long-term PRs.
</t>
  </si>
  <si>
    <t>To apply for Canadian citizenship, a person must have been: Physically present in Canada for at least 1,095 days (3 years) within the last 5 years before applying. This includes time spent as a permanent resident, and in some cases, partial credit is given for time spent in Canada as a temporary resident (e.g., student, worker, refugee claimant). Therefore, the total residence requirement is ≤ 5 years, and Canada explicitly allows some flexibility in how those days are counted.</t>
  </si>
  <si>
    <t>Canada follows unconditional birthright citizenship (jus soli). Any child born on Canadian soil automatically becomes a Canadian citizen, regardless of the immigration status or nationality of the parents (with a minor exception: children of foreign diplomats are excluded). This is guaranteed under Section 3(1)(a) of the Canadian Citizenship Act.</t>
  </si>
  <si>
    <t>Change in 2012:The federal government announced a regulation that will require proof of official language ability to be submitted with applications for citizenship. Name of law IRPA. CLB level 4 equivalent of A2: http://www.cic.gc.ca/english/helpcentre/answer.asp?q=569&amp;t=5</t>
  </si>
  <si>
    <t>Canada does not require applicants to complete a mandatory integration course or pass a dedicated “integration test” (like in some European countries). However, applicants must take a citizenship knowledge test (or interview, if exempt), which covers: Canadian history, geography, symbols, Rights and responsibilities of citizenship, Political system and laws. This is not an “integration” test in the sense of evaluating values, cultural conformity, or social behavior. Canada also offers voluntary support, such as: Free downloadable study guides (e.g., Discover Canada) and Citizenship preparation classes (run by community organizations)</t>
  </si>
  <si>
    <t>There is no financial requirement with respect to the obtaining of citizenship.</t>
  </si>
  <si>
    <t xml:space="preserve">Under the Canadian Citizenship Act, applicants cannot be granted citizenship if they: Are serving a sentence for an indictable offence or are in prison, on parole, or probation. Have been convicted of an indictable offence in the 4 years prior to applying. Are charged with, on trial for, or appealing a conviction for an indictable offence. This includes crimes with sentences of less than 5 years, and even some pending criminal procedures can lead to a suspension or refusal of the application. There is no qualifying period system that allows applicants to wait out a fixed time after minor offences—some offences result in direct disqualification for a set period.
</t>
  </si>
  <si>
    <t>Canada allows dual or multiple citizenships without requiring renunciation of previous nationality. This applies to all applicants, including first-generation immigrants, regardless of origin.</t>
  </si>
  <si>
    <t xml:space="preserve">Canada’s anti-discrimination laws explicitly prohibit discrimination on all three relevant grounds across multiple domains (employment, housing, services, etc.), both federally and provincially. </t>
  </si>
  <si>
    <t xml:space="preserve">Canada scores 100 for this indicator: Legal protection against discrimination in employment and vocational training, based on national and provincial human rights legislation.
</t>
  </si>
  <si>
    <t xml:space="preserve">Across federal and provincial jurisdictions, Canadian law prohibits discrimination in education on all three grounds. </t>
  </si>
  <si>
    <t>Canadian federal and provincial human rights laws apply to all areas of public services, including social protection and social security programs. This includes programs such as Employment Insurance (EI), Old Age Security (OAS), disability benefits, social assistance, and housing support.</t>
  </si>
  <si>
    <t xml:space="preserve">Discrimination in goods, services, facilities, and housing is explicitly prohibited under both federal and provincial/territorial human rights laws. The laws clearly protect against discrimination on all three grounds—race/ethnicity, religion/belief, and nationality. This applies to public services, private businesses, and housing providers (landlords, real estate agents, etc.). </t>
  </si>
  <si>
    <t xml:space="preserve">A) Access to multiple procedures
Victims of discrimination in Canada have access to: Civil procedures (e.g., human rights tribunals and civil courts), Administrative procedures (e.g., human rights commissions), Criminal procedures, where applicable (e.g., hate crimes, harassment).
B) Shift in burden of proof
In human rights tribunal proceedings (administrative and civil), once the prima facie case of discrimination is established, the burden shifts to the respondent to justify their actions. This is a well-established principle in Canadian human rights case law.
C) Legal standing for third-party representation
Legal entities (e.g., NGOs, advocacy groups, unions) can file complaints, intervene, or support complainants in legal proceedings. Examples: Canadian Civil Liberties Association, CCLA, or provincial advocacy bodies often intervene in tribunal or court cases.
D) Sanctions include at least c, e, and h
Canada’s human rights tribunals and courts may impose: (c) Restitution of rights: e.g., reinstatement of employment or tenancy rights. (e) Negative measures to stop offending: e.g., cease-and-desist orders. (h) Sanctions for legal persons: corporations and institutions can be fined, ordered to change policies, or be named publicly.
Additional sanctions may include: (a) Compensation for material damages, (b) Compensation for injury to dignity or self-respect, (f) Orders to implement anti-discrimination training or systemic remedies. 
</t>
  </si>
  <si>
    <t>Canada does not have a single centralized "equality body" like in some European countries, but it has multiple specialised human rights bodies—at both federal and provincial/territorial levels—with clear mandates to combat discrimination on all three grounds</t>
  </si>
  <si>
    <t xml:space="preserve">Canadian human rights bodies—both at the federal level (e.g., Canadian Human Rights Commission) and provincial/territorial levels (e.g., Ontario Human Rights Commission, BC Office of the Human Rights Commissioner)—carry out all three of the following functions:
a) Assist victims with independent legal advice: Human rights commissions offer legal information, guidance, and in some cases, representation before tribunals. At the federal level, the Canadian Human Rights Commission can provide legal counsel in select cases. Provincial bodies (e.g., Ontario Human Rights Legal Support Centre) offer free legal advice and representation to complainants.
b) Assist with independent investigation of the facts: Commissions have dedicated investigators who gather facts, interview witnesses, and review evidence to determine whether a case should proceed. This function is embedded in the complaint intake and investigation process.
c) Instigation of own proceedings or investigations: Several commissions have the power to initiate their own inquiries or systemic investigations, even without a formal complaint. Example: The Ontario and BC human rights commissions conduct proactive inquiries into systemic racism, policing, and housing discrimination. The Canadian Human Rights Commission can also initiate own-motion investigations in matters of public interest.
</t>
  </si>
  <si>
    <t xml:space="preserve">A) Both federal and provincial human rights laws allow for positive (affirmative) action to redress disadvantages experienced by groups based on race, ethnicity, religion, and related grounds. B) Canada regularly undertakes research, collects disaggregated data, and conducts evaluations of equity programs. </t>
  </si>
  <si>
    <t>Canada’s anti-discrimination laws explicitly prohibit discrimination on all three relevant grounds across multiple domains (employment, housing, services, etc.), both federally and provincially</t>
  </si>
  <si>
    <t xml:space="preserve"> Canada has a national health system providing universal, comprehensive coverage for medically necessary hospital and physician services. The system is administered provincially, and eligibility rules vary by province or territory.
Permanent Residents (PRs): Included unconditionally upon arrival in most provinces (e.g., Ontario, BC, Alberta). May face a 3-month waiting period in some provinces (e.g., Ontario, BC—though Ontario recently eliminated this period temporarily during COVID-19).
Temporary Residents (e.g., work permit holders, international students): Eligibility often depends on the type and length of permit (typically must be valid for ≥ 6 months). Must often provide proof of residency (e.g., address, employment). Some provinces include certain temporary residents (e.g., BC, Alberta), while others require private insurance (e.g., international students in Ontario).
http://www.hc-sc.gc.ca/hcs-sss/index-eng.php</t>
  </si>
  <si>
    <t>a)	Migrants may be required to provide documents such as: Proof of immigration status (e.g., work/study permits), Proof of address, which may be difficult for those in precarious housing, Tax records or income verification for income-tested benefits, which may be hard for recent migrants or those without tax history in Canada.
b) Health care eligibility decisions are typically rule-based and made by provincial ministries, not left to individual frontline workers’ discretion.</t>
  </si>
  <si>
    <t xml:space="preserve">
In April 2016, the Liberal government fully restored the IFHP to provide universal health coverage for all eligible asylum seekers, regardless of their country of origin or immigration status at the time of application. </t>
  </si>
  <si>
    <t xml:space="preserve">With Covid19 there was an improvement, more attention devoted at simplifying access for foreigners in general, but also asylum seekers. a) While health care coverage under the Interim Federal Health Program (IFHP) is intended to be automatic once a claim is made, in practice: Asylum seekers must register with the IFHP and receive an eligibility certificate, which requires: Proof of immigration status (e.g., Refugee Protection Claimant Document). A valid address (which can be difficult for those without stable housing). Access to health services requires presenting IFHP documents, which can be delayed or lost, causing temporary barriers to access. Language barriers and lack of familiarity with bureaucratic processes can also complicate documentation submission.
b) IFHP eligibility and scope of services are clearly defined and not subject to discretionary decisions by frontline administrators or health workers. Once an asylum claim is filed and IFHP registration is completed, there is no need for subjective judgment to determine coverage.
</t>
  </si>
  <si>
    <t>Undocumented  migrants are only entitled to emergency health care. Depending on various conditions, they may or may not be obliged to pay for the costs. 
Emergency care is a legal and ethical obligation under the Canadian Medical Association’s Code of Ethics and framed in provincial/territorial hospital acts (e.g., the Public Hospitals Act of Ontario).3,4
In Ontario, sometimes the system pays some of the health costs based on the individual discretion of the practitioner or institution. Undocumented migrants can also access free of charge the services from Community Health Centres Midwives of Ontario and most Public Health units
The Cities of Toronto and Hamilton have been declared sanctuary cities and all city services (e.g. public health is under municipal jurisdiction in Ontario) are accessible to all 
Some health care institutions have internal protocols to determine whether non-urgent care should be provided to uninsured persons.
Non-status individuals are unable to seek private health insurance due to their lack of citizenship status (Oxman-Martinez, J., et al., 2005)</t>
  </si>
  <si>
    <t>Undocumented migrants are only legally entitled to emergency care, with uncertain payment outcomes. Access to broader care depends on administrative discretion and is not guaranteed. Documentation and eligibility criteria exclude them from public or private insurance systems.</t>
  </si>
  <si>
    <t xml:space="preserve">Information for migrants concerning entitlements and use of health services, because two groups—legal migrants and asylum seekers—are systematically reached, while undocumented migrants are only partially reached through non-governmental efforts.
</t>
  </si>
  <si>
    <t>Information for migrants concerning health education and promotion, as two groups—legal migrants and asylum seekers—are systematically reached, while undocumented migrants are only reached through limited, non-governmental efforts, such as Access Alliance, Women’s Health in Women’s Hands, Health for All Clinics. These services are limited in scope, geography, and funding and not part of a national or provincial public health mandate. Undocumented individuals may avoid public institutions due to fear of detection or deportation, limiting access</t>
  </si>
  <si>
    <t xml:space="preserve">In many provinces, health care institutions (especially hospitals and public health units) offer professional interpretation services for patients with limited proficiency in English or French. These services may include phone interpretation, video remote interpretation, or in-person interpreters. In larger urban areas and teaching hospitals, services are more likely to be available and free of charge to patients.
However, in primary care settings, community clinics, or walk-in clinics, interpreters may not be available, or the cost may be passed on to the patient or the clinic. In rural or remote areas, access to qualified interpreters may be limited or unavailable.
</t>
  </si>
  <si>
    <t xml:space="preserve">improvement after Covid 19, more migrants' engagement. Involvement of migrants in information provision, service design, and delivery, as at least 3–5 types of migrant involvement are explicitly encouraged by policy at various levels of government.
A. Many health care and settlement services employ “cultural mediators,” interpreters, and peer navigators from migrant communities. Examples include community health centres, public health outreach teams, and organizations like Access Alliance and COSTI.
B. Migrant-serving organizations and advisory councils often co-produce multilingual health materials (e.g., COVID-19 vaccine campaigns, prenatal care info). This involvement is often mandated through IRCC-funded programming and local health unit collaborations.
C. Federal and provincial research initiatives (e.g., CIHR, IRCC evaluations, public health units) include migrant representatives as co-researchers, advisors, or knowledge users. Projects also frequently follow community-based participatory research (CBPR) models.
D.	Patient advisory committees in hospitals and clinics, especially in large cities, include immigrant and refugee voices, often recruited to reflect local demographics. Public health agencies (e.g., Toronto Public Health) have formal engagement mechanisms.
E. Health authorities, municipalities (e.g., Toronto Newcomer Strategy), and non-profits regularly conduct consultations, focus groups, and roundtables with migrant communities to design more inclusive services.
</t>
  </si>
  <si>
    <t>All four topics. The Canadian Institutes of Health Research introduced an Equity Strategy in 2016 to help identify and address potential inequities in CIHR’s funding system.
Certain organizations specialize in researching sociocultural health, such as SHERPA (funded by MSSS and FRQSC), McGill Division of Social and Cultural Psychiatry, etc.
https://sherpa-recherche.com/sherpa/
https://www.mcgill.ca/tcpsych/</t>
  </si>
  <si>
    <t>Attention to migrant health is primarily addressed through specialized departments or programs and is not fully integrated across all levels of the health care system. While both targeted and general services for diverse populations are delivered in multidisciplinary settings—such as community clinics and institutional care—referrals to more complex services do not always account for the unique challenges related to settlement and acculturation.
There is notable variation across provinces. In Ontario, for example, several organizations—including Community Health Centres (CHCs), the Canadian Mental Health Association (CMHA), and the former Toronto Central Local Health Integration Network—have adopted more inclusive approaches. However, these remain exceptions rather than the norm, and migrant health is still largely treated as a specialized rather than a system-wide priority.</t>
  </si>
  <si>
    <t xml:space="preserve">Involvement of migrants in information provision, service design, and delivery, as at least 3–5 types of migrant involvement are explicitly encouraged by policy at various levels of government.
A. Many health care and settlement services employ “cultural mediators,” interpreters, and peer navigators from migrant communities. Examples include community health centres, public health outreach teams, and organizations like Access Alliance and COSTI.
B. Migrant-serving organizations and advisory councils often co-produce multilingual health materials (e.g., COVID-19 vaccine campaigns, prenatal care info). This involvement is often mandated through IRCC-funded programming and local health unit collaborations.
C. Federal and provincial research initiatives (e.g., CIHR, IRCC evaluations, public health units) include migrant representatives as co-researchers, advisors, or knowledge users. Projects also frequently follow community-based participatory research (CBPR) models.
D.	Patient advisory committees in hospitals and clinics, especially in large cities, include immigrant and refugee voices, often recruited to reflect local demographics. Public health agencies (e.g., Toronto Public Health) have formal engagement mechanisms.
E. Health authorities, municipalities (e.g., Toronto Newcomer Strategy), and non-profits regularly conduct consultations, focus groups, and roundtables with migrant communities to design more inclusive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</si>
</sst>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b/>
      <sz val="16"/>
      <color rgb="FFFF0000"/>
      <name val="Calibri"/>
      <family val="2"/>
    </font>
    <font>
      <sz val="10"/>
      <color theme="1"/>
      <name val="Calibri"/>
      <family val="2"/>
    </font>
    <font>
      <b/>
      <sz val="10"/>
      <name val="Calibri"/>
      <family val="2"/>
    </font>
    <font>
      <sz val="10"/>
      <name val="Calibri"/>
      <family val="2"/>
    </font>
    <font>
      <sz val="10"/>
      <color theme="1"/>
      <name val="Calibri"/>
      <family val="2"/>
      <scheme val="minor"/>
    </font>
    <font>
      <b/>
      <sz val="10"/>
      <color theme="1"/>
      <name val="Calibri"/>
      <family val="2"/>
    </font>
    <font>
      <i/>
      <sz val="10"/>
      <color theme="1"/>
      <name val="Calibri"/>
      <family val="2"/>
    </font>
    <font>
      <i/>
      <sz val="10"/>
      <name val="Calibri"/>
      <family val="2"/>
    </font>
    <font>
      <i/>
      <sz val="10"/>
      <color rgb="FFFF0000"/>
      <name val="Calibri"/>
      <family val="2"/>
    </font>
    <font>
      <sz val="10"/>
      <color rgb="FFFF0000"/>
      <name val="Calibri"/>
      <family val="2"/>
    </font>
    <font>
      <u/>
      <sz val="10"/>
      <color theme="1"/>
      <name val="Calibri"/>
      <family val="2"/>
    </font>
    <font>
      <sz val="10"/>
      <color rgb="FF7030A0"/>
      <name val="Calibri"/>
      <family val="2"/>
    </font>
    <font>
      <sz val="10"/>
      <name val="Arial"/>
      <family val="2"/>
    </font>
    <font>
      <sz val="10"/>
      <color theme="1"/>
      <name val="Calibri (Corpo)"/>
    </font>
    <font>
      <sz val="10"/>
      <color rgb="FF000000"/>
      <name val="Calibri"/>
      <family val="2"/>
    </font>
    <font>
      <sz val="11"/>
      <name val="Calibri"/>
      <family val="2"/>
      <scheme val="minor"/>
    </font>
    <font>
      <vertAlign val="superscript"/>
      <sz val="11"/>
      <name val="Calibri"/>
      <family val="2"/>
      <scheme val="minor"/>
    </font>
    <font>
      <sz val="10"/>
      <color rgb="FF002060"/>
      <name val="Calibri"/>
      <family val="2"/>
      <scheme val="minor"/>
    </font>
    <font>
      <sz val="11"/>
      <color rgb="FF525252"/>
      <name val="Arial"/>
      <family val="2"/>
    </font>
    <font>
      <sz val="10"/>
      <color rgb="FFFF0000"/>
      <name val="Calibri"/>
      <family val="2"/>
      <charset val="238"/>
    </font>
    <font>
      <sz val="10"/>
      <name val="Calibri"/>
      <family val="2"/>
      <charset val="238"/>
    </font>
    <font>
      <sz val="12"/>
      <color rgb="FF000000"/>
      <name val="Calibri"/>
      <family val="2"/>
      <charset val="238"/>
      <scheme val="minor"/>
    </font>
    <font>
      <sz val="11"/>
      <color rgb="FF000000"/>
      <name val="Calibri"/>
      <family val="2"/>
      <charset val="238"/>
      <scheme val="minor"/>
    </font>
    <font>
      <sz val="10"/>
      <color rgb="FF000000"/>
      <name val="Calibri"/>
      <family val="2"/>
      <charset val="238"/>
      <scheme val="minor"/>
    </font>
    <font>
      <sz val="10"/>
      <color rgb="FF000000"/>
      <name val="Calibri"/>
      <family val="2"/>
      <charset val="238"/>
    </font>
    <font>
      <b/>
      <sz val="10"/>
      <color rgb="FF000000"/>
      <name val="Calibri"/>
      <family val="2"/>
      <charset val="238"/>
      <scheme val="minor"/>
    </font>
    <font>
      <sz val="11"/>
      <color theme="1"/>
      <name val="Aptos"/>
      <family val="2"/>
    </font>
    <font>
      <u/>
      <sz val="11"/>
      <color theme="10"/>
      <name val="Calibri"/>
      <family val="2"/>
      <scheme val="minor"/>
    </font>
    <font>
      <u/>
      <sz val="11"/>
      <name val="Calibri"/>
      <family val="2"/>
      <scheme val="minor"/>
    </font>
    <font>
      <sz val="9"/>
      <name val="Arial"/>
      <family val="2"/>
    </font>
    <font>
      <sz val="9"/>
      <name val="Calibri"/>
      <family val="2"/>
      <scheme val="minor"/>
    </font>
    <font>
      <sz val="10"/>
      <name val="Symbol"/>
      <family val="1"/>
      <charset val="2"/>
    </font>
    <font>
      <sz val="10"/>
      <name val="Aptos Narrow"/>
      <family val="2"/>
    </font>
    <font>
      <sz val="10"/>
      <color theme="1"/>
      <name val="Aptos"/>
      <family val="2"/>
    </font>
    <font>
      <u/>
      <sz val="10"/>
      <name val="Calibri"/>
      <family val="2"/>
    </font>
    <font>
      <b/>
      <sz val="10"/>
      <color rgb="FF000000"/>
      <name val="Calibri"/>
      <family val="2"/>
    </font>
    <font>
      <b/>
      <u/>
      <sz val="10"/>
      <color rgb="FF000000"/>
      <name val="Calibri"/>
      <family val="2"/>
    </font>
    <font>
      <sz val="11"/>
      <color indexed="8"/>
      <name val="Calibri"/>
      <family val="2"/>
    </font>
    <font>
      <sz val="10"/>
      <color indexed="8"/>
      <name val="Calibri"/>
      <family val="2"/>
    </font>
    <font>
      <b/>
      <sz val="10"/>
      <color rgb="FFFF0000"/>
      <name val="Calibri"/>
      <family val="2"/>
    </font>
    <font>
      <u/>
      <sz val="10"/>
      <color rgb="FF000000"/>
      <name val="Calibri"/>
      <family val="2"/>
    </font>
    <font>
      <sz val="10"/>
      <name val="Calibri"/>
      <family val="2"/>
      <scheme val="minor"/>
    </font>
    <font>
      <i/>
      <sz val="10"/>
      <name val="Calibri"/>
      <family val="2"/>
      <charset val="238"/>
    </font>
    <font>
      <u/>
      <sz val="10"/>
      <name val="Calibri"/>
      <family val="2"/>
      <charset val="238"/>
    </font>
    <font>
      <sz val="10"/>
      <color theme="1"/>
      <name val="Calibri"/>
      <family val="2"/>
      <charset val="238"/>
    </font>
    <font>
      <b/>
      <sz val="10"/>
      <name val="Calibri"/>
      <family val="2"/>
      <charset val="238"/>
    </font>
    <font>
      <i/>
      <sz val="10"/>
      <color theme="1"/>
      <name val="Calibri"/>
      <family val="2"/>
      <charset val="238"/>
    </font>
    <font>
      <vertAlign val="superscript"/>
      <sz val="10"/>
      <name val="Calibri"/>
      <family val="2"/>
      <charset val="238"/>
    </font>
    <font>
      <b/>
      <sz val="16"/>
      <name val="Calibri"/>
      <family val="2"/>
    </font>
    <font>
      <sz val="14"/>
      <color rgb="FF333333"/>
      <name val="Arial"/>
      <family val="2"/>
    </font>
    <font>
      <sz val="10"/>
      <color rgb="FF000000"/>
      <name val="Calibri"/>
      <family val="2"/>
      <scheme val="minor"/>
    </font>
    <font>
      <sz val="10"/>
      <color theme="5"/>
      <name val="Calibri"/>
      <family val="2"/>
    </font>
    <font>
      <sz val="11"/>
      <color rgb="FF242424"/>
      <name val="Aptos Narrow"/>
      <family val="2"/>
      <charset val="1"/>
    </font>
    <font>
      <sz val="12"/>
      <color theme="1"/>
      <name val="Aptos"/>
      <family val="2"/>
      <charset val="1"/>
    </font>
    <font>
      <sz val="11"/>
      <color rgb="FF242424"/>
      <name val="Aptos Narrow"/>
      <family val="2"/>
    </font>
    <font>
      <sz val="11"/>
      <color rgb="FF4472C4"/>
      <name val="Calibri"/>
      <family val="2"/>
      <scheme val="minor"/>
    </font>
    <font>
      <b/>
      <i/>
      <sz val="10"/>
      <color rgb="FF000000"/>
      <name val="Calibri"/>
      <family val="2"/>
    </font>
    <font>
      <b/>
      <sz val="10"/>
      <name val="Calibri"/>
      <family val="2"/>
      <scheme val="minor"/>
    </font>
    <font>
      <sz val="10"/>
      <color rgb="FF1F1F1F"/>
      <name val="Arial"/>
      <family val="2"/>
    </font>
    <font>
      <sz val="10"/>
      <color rgb="FF040C28"/>
      <name val="Arial"/>
      <family val="2"/>
    </font>
    <font>
      <sz val="9"/>
      <color rgb="FF001D35"/>
      <name val="Arial"/>
      <family val="2"/>
    </font>
    <font>
      <sz val="12"/>
      <color theme="1"/>
      <name val="Aptos"/>
      <family val="2"/>
    </font>
    <font>
      <sz val="12"/>
      <color theme="1"/>
      <name val="Times New Roman"/>
      <family val="1"/>
    </font>
  </fonts>
  <fills count="11">
    <fill>
      <patternFill patternType="none"/>
    </fill>
    <fill>
      <patternFill patternType="gray125"/>
    </fill>
    <fill>
      <patternFill patternType="solid">
        <fgColor rgb="FFFFC7CE"/>
      </patternFill>
    </fill>
    <fill>
      <patternFill patternType="solid">
        <fgColor theme="2"/>
        <bgColor indexed="64"/>
      </patternFill>
    </fill>
    <fill>
      <patternFill patternType="solid">
        <fgColor rgb="FF00B050"/>
        <bgColor indexed="64"/>
      </patternFill>
    </fill>
    <fill>
      <patternFill patternType="solid">
        <fgColor theme="0"/>
        <bgColor indexed="64"/>
      </patternFill>
    </fill>
    <fill>
      <patternFill patternType="solid">
        <fgColor rgb="FF92D050"/>
        <bgColor indexed="64"/>
      </patternFill>
    </fill>
    <fill>
      <patternFill patternType="solid">
        <fgColor theme="9"/>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style="thin">
        <color indexed="64"/>
      </bottom>
      <diagonal/>
    </border>
  </borders>
  <cellStyleXfs count="10">
    <xf numFmtId="0" fontId="0" fillId="0" borderId="0"/>
    <xf numFmtId="0" fontId="2" fillId="2" borderId="0" applyNumberFormat="0" applyBorder="0" applyAlignment="0" applyProtection="0"/>
    <xf numFmtId="0" fontId="1" fillId="0" borderId="0"/>
    <xf numFmtId="0" fontId="16" fillId="0" borderId="0"/>
    <xf numFmtId="0" fontId="16" fillId="0" borderId="0"/>
    <xf numFmtId="0" fontId="16" fillId="0" borderId="0"/>
    <xf numFmtId="0" fontId="16" fillId="0" borderId="0">
      <alignment vertical="center"/>
    </xf>
    <xf numFmtId="0" fontId="16" fillId="0" borderId="0"/>
    <xf numFmtId="0" fontId="31" fillId="0" borderId="0" applyNumberFormat="0" applyFill="0" applyBorder="0" applyAlignment="0" applyProtection="0"/>
    <xf numFmtId="0" fontId="41" fillId="0" borderId="0"/>
  </cellStyleXfs>
  <cellXfs count="429">
    <xf numFmtId="0" fontId="0" fillId="0" borderId="0" xfId="0"/>
    <xf numFmtId="0" fontId="5" fillId="0" borderId="0" xfId="2" applyFont="1" applyAlignment="1">
      <alignment horizontal="center"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8" fillId="0" borderId="1" xfId="0" applyNumberFormat="1" applyFont="1" applyBorder="1" applyAlignment="1">
      <alignment horizontal="center" vertical="center"/>
    </xf>
    <xf numFmtId="0" fontId="9" fillId="3" borderId="1" xfId="2" applyFont="1" applyFill="1" applyBorder="1" applyAlignment="1">
      <alignment horizontal="center" vertical="center" wrapText="1"/>
    </xf>
    <xf numFmtId="0" fontId="9" fillId="0" borderId="0" xfId="2" applyFont="1" applyAlignment="1">
      <alignment vertical="center" wrapText="1"/>
    </xf>
    <xf numFmtId="0" fontId="5" fillId="3" borderId="1" xfId="2" applyFont="1" applyFill="1" applyBorder="1" applyAlignment="1">
      <alignment horizontal="center" vertical="center" wrapText="1"/>
    </xf>
    <xf numFmtId="0" fontId="5"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9" fillId="0" borderId="1" xfId="2" applyFont="1" applyBorder="1" applyAlignment="1">
      <alignment horizontal="center" vertical="center" wrapText="1"/>
    </xf>
    <xf numFmtId="0" fontId="7" fillId="3" borderId="1" xfId="2" applyFont="1" applyFill="1" applyBorder="1" applyAlignment="1">
      <alignment horizontal="center" vertical="center" wrapText="1"/>
    </xf>
    <xf numFmtId="0" fontId="5" fillId="0" borderId="1" xfId="2" applyFont="1" applyBorder="1" applyAlignment="1">
      <alignment horizontal="center" vertical="center" wrapText="1"/>
    </xf>
    <xf numFmtId="0" fontId="5" fillId="4" borderId="1" xfId="2" applyFont="1" applyFill="1" applyBorder="1" applyAlignment="1">
      <alignment horizontal="center" vertical="center" wrapText="1"/>
    </xf>
    <xf numFmtId="0" fontId="7" fillId="0" borderId="1" xfId="2" applyFont="1" applyBorder="1" applyAlignment="1">
      <alignment horizontal="center" vertical="center" wrapText="1"/>
    </xf>
    <xf numFmtId="1" fontId="5" fillId="0" borderId="1" xfId="2" applyNumberFormat="1" applyFont="1" applyBorder="1" applyAlignment="1">
      <alignment horizontal="center" vertical="center" wrapText="1"/>
    </xf>
    <xf numFmtId="1" fontId="5" fillId="0" borderId="1" xfId="2" applyNumberFormat="1" applyFont="1" applyBorder="1" applyAlignment="1">
      <alignment horizontal="center" vertical="center"/>
    </xf>
    <xf numFmtId="0" fontId="7" fillId="0" borderId="1" xfId="2" applyFont="1" applyBorder="1" applyAlignment="1">
      <alignment horizontal="left" vertical="center"/>
    </xf>
    <xf numFmtId="0" fontId="7" fillId="4" borderId="1" xfId="2" applyFont="1" applyFill="1" applyBorder="1" applyAlignment="1">
      <alignment horizontal="center" vertical="center"/>
    </xf>
    <xf numFmtId="0" fontId="7" fillId="4" borderId="1" xfId="2" applyFont="1" applyFill="1" applyBorder="1" applyAlignment="1">
      <alignment horizontal="left" vertical="center"/>
    </xf>
    <xf numFmtId="0" fontId="7" fillId="5" borderId="1" xfId="2" applyFont="1" applyFill="1" applyBorder="1" applyAlignment="1">
      <alignment horizontal="left" vertical="center"/>
    </xf>
    <xf numFmtId="0" fontId="7" fillId="0" borderId="1" xfId="1" applyFont="1" applyFill="1" applyBorder="1" applyAlignment="1">
      <alignment horizontal="center" vertical="center" wrapText="1"/>
    </xf>
    <xf numFmtId="0" fontId="7" fillId="5" borderId="1" xfId="2" applyFont="1" applyFill="1" applyBorder="1" applyAlignment="1">
      <alignment horizontal="left" vertical="center" wrapText="1"/>
    </xf>
    <xf numFmtId="0" fontId="7" fillId="0" borderId="1" xfId="2" applyFont="1" applyBorder="1" applyAlignment="1">
      <alignment horizontal="left" vertical="center" wrapText="1"/>
    </xf>
    <xf numFmtId="0" fontId="5" fillId="0" borderId="0" xfId="2" applyFont="1" applyAlignment="1">
      <alignment horizontal="center" vertical="center" wrapText="1"/>
    </xf>
    <xf numFmtId="0" fontId="5"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4" xfId="2" applyFont="1" applyFill="1" applyBorder="1" applyAlignment="1">
      <alignment horizontal="center" vertical="center" wrapText="1"/>
    </xf>
    <xf numFmtId="0" fontId="13" fillId="3" borderId="1" xfId="2" applyFont="1" applyFill="1" applyBorder="1" applyAlignment="1">
      <alignment horizontal="center" vertical="center"/>
    </xf>
    <xf numFmtId="0" fontId="5" fillId="5" borderId="1" xfId="0" applyFont="1" applyFill="1" applyBorder="1" applyAlignment="1">
      <alignment horizontal="center" vertical="center" wrapText="1"/>
    </xf>
    <xf numFmtId="1" fontId="7" fillId="0" borderId="1" xfId="2" applyNumberFormat="1" applyFont="1" applyBorder="1" applyAlignment="1">
      <alignment horizontal="center" vertical="center" wrapText="1"/>
    </xf>
    <xf numFmtId="0" fontId="5" fillId="0" borderId="0" xfId="2" applyFont="1" applyAlignment="1">
      <alignment horizontal="left" vertical="center"/>
    </xf>
    <xf numFmtId="0" fontId="7" fillId="5" borderId="1" xfId="2" applyFont="1" applyFill="1" applyBorder="1" applyAlignment="1">
      <alignment horizontal="center" vertical="center" wrapText="1"/>
    </xf>
    <xf numFmtId="0" fontId="7" fillId="4" borderId="1" xfId="2" applyFont="1" applyFill="1" applyBorder="1" applyAlignment="1">
      <alignment horizontal="center" vertical="center" wrapText="1"/>
    </xf>
    <xf numFmtId="0" fontId="7" fillId="4" borderId="1" xfId="2" applyFont="1" applyFill="1" applyBorder="1" applyAlignment="1">
      <alignment horizontal="left" vertical="center" wrapText="1"/>
    </xf>
    <xf numFmtId="0" fontId="15" fillId="4" borderId="1" xfId="2" applyFont="1" applyFill="1" applyBorder="1" applyAlignment="1">
      <alignment horizontal="left" vertical="center"/>
    </xf>
    <xf numFmtId="0" fontId="7" fillId="0" borderId="2" xfId="2" applyFont="1" applyBorder="1" applyAlignment="1">
      <alignment horizontal="center" vertical="center" wrapText="1"/>
    </xf>
    <xf numFmtId="0" fontId="7" fillId="0" borderId="0" xfId="3" applyFont="1" applyAlignment="1">
      <alignment horizontal="center" vertical="center"/>
    </xf>
    <xf numFmtId="0" fontId="7" fillId="0" borderId="0" xfId="1" applyFont="1" applyFill="1" applyAlignment="1">
      <alignment horizontal="center" vertical="center"/>
    </xf>
    <xf numFmtId="0" fontId="5" fillId="0" borderId="0" xfId="3" applyFont="1" applyAlignment="1">
      <alignment horizontal="center" vertical="center"/>
    </xf>
    <xf numFmtId="0" fontId="5" fillId="4" borderId="1" xfId="0" applyFont="1" applyFill="1" applyBorder="1" applyAlignment="1">
      <alignment horizontal="center" vertical="center" wrapText="1"/>
    </xf>
    <xf numFmtId="1" fontId="0" fillId="0" borderId="1" xfId="0" applyNumberFormat="1" applyBorder="1" applyAlignment="1">
      <alignment horizontal="center" vertical="center" wrapText="1"/>
    </xf>
    <xf numFmtId="1" fontId="5"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4" borderId="1" xfId="1" applyFont="1" applyFill="1" applyBorder="1" applyAlignment="1">
      <alignment horizontal="center" vertical="center"/>
    </xf>
    <xf numFmtId="0" fontId="7" fillId="6"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7" fillId="5" borderId="1" xfId="1" applyFont="1" applyFill="1" applyBorder="1" applyAlignment="1">
      <alignment horizontal="center" vertical="center" wrapText="1"/>
    </xf>
    <xf numFmtId="1" fontId="5" fillId="0" borderId="1" xfId="0" applyNumberFormat="1" applyFont="1" applyBorder="1" applyAlignment="1">
      <alignment horizontal="center" vertical="center" wrapText="1"/>
    </xf>
    <xf numFmtId="0" fontId="5" fillId="3" borderId="0" xfId="2" applyFont="1" applyFill="1" applyAlignment="1">
      <alignment horizontal="center" vertical="center"/>
    </xf>
    <xf numFmtId="0" fontId="8" fillId="4" borderId="1" xfId="0" applyFont="1" applyFill="1" applyBorder="1" applyAlignment="1">
      <alignment horizontal="left" wrapText="1"/>
    </xf>
    <xf numFmtId="0" fontId="8" fillId="4" borderId="1" xfId="0" applyFont="1" applyFill="1" applyBorder="1" applyAlignment="1">
      <alignment horizontal="left" vertical="top" wrapText="1"/>
    </xf>
    <xf numFmtId="0" fontId="8" fillId="0" borderId="1" xfId="0" applyFont="1" applyBorder="1" applyAlignment="1">
      <alignment horizontal="left" wrapText="1"/>
    </xf>
    <xf numFmtId="0" fontId="8" fillId="0" borderId="1" xfId="0" applyFont="1" applyBorder="1" applyAlignment="1">
      <alignment horizontal="left" vertical="top" wrapText="1"/>
    </xf>
    <xf numFmtId="0" fontId="8" fillId="0" borderId="1" xfId="0" applyFont="1" applyBorder="1" applyAlignment="1">
      <alignment horizontal="left"/>
    </xf>
    <xf numFmtId="0" fontId="8" fillId="0" borderId="5" xfId="0" applyFont="1" applyBorder="1" applyAlignment="1">
      <alignment horizontal="left" wrapText="1"/>
    </xf>
    <xf numFmtId="0" fontId="8" fillId="7" borderId="1" xfId="0" applyFont="1" applyFill="1" applyBorder="1" applyAlignment="1">
      <alignment horizontal="left" wrapText="1"/>
    </xf>
    <xf numFmtId="0" fontId="5" fillId="0" borderId="1" xfId="0" applyFont="1" applyBorder="1" applyAlignment="1">
      <alignment horizontal="center" vertical="center" wrapText="1"/>
    </xf>
    <xf numFmtId="0" fontId="8" fillId="0" borderId="2" xfId="0" applyFont="1" applyBorder="1" applyAlignment="1">
      <alignment horizontal="left" wrapText="1"/>
    </xf>
    <xf numFmtId="0" fontId="5" fillId="0" borderId="6" xfId="0" applyFont="1" applyBorder="1" applyAlignment="1">
      <alignment horizontal="left"/>
    </xf>
    <xf numFmtId="0" fontId="18" fillId="0" borderId="6" xfId="0" applyFont="1" applyBorder="1" applyAlignment="1">
      <alignment horizontal="left"/>
    </xf>
    <xf numFmtId="0" fontId="5" fillId="0" borderId="1" xfId="0" applyFont="1" applyBorder="1" applyAlignment="1">
      <alignment horizontal="left"/>
    </xf>
    <xf numFmtId="0" fontId="8" fillId="0" borderId="4" xfId="0" quotePrefix="1" applyFont="1" applyBorder="1" applyAlignment="1">
      <alignment horizontal="left" wrapText="1"/>
    </xf>
    <xf numFmtId="0" fontId="8" fillId="0" borderId="4" xfId="0" applyFont="1" applyBorder="1" applyAlignment="1">
      <alignment horizontal="left" wrapText="1"/>
    </xf>
    <xf numFmtId="0" fontId="5" fillId="0" borderId="1" xfId="0" applyFont="1" applyBorder="1" applyAlignment="1">
      <alignment horizontal="left" wrapText="1"/>
    </xf>
    <xf numFmtId="0" fontId="8" fillId="0" borderId="1" xfId="0" applyFont="1" applyBorder="1" applyAlignment="1">
      <alignment wrapText="1"/>
    </xf>
    <xf numFmtId="0" fontId="8" fillId="4" borderId="1" xfId="0" applyFont="1" applyFill="1" applyBorder="1" applyAlignment="1">
      <alignment wrapText="1"/>
    </xf>
    <xf numFmtId="0" fontId="0" fillId="0" borderId="0" xfId="2" applyFont="1" applyAlignment="1">
      <alignment horizontal="left" vertical="center"/>
    </xf>
    <xf numFmtId="0" fontId="8" fillId="7" borderId="1" xfId="0" applyFont="1" applyFill="1" applyBorder="1" applyAlignment="1">
      <alignment wrapText="1"/>
    </xf>
    <xf numFmtId="0" fontId="8" fillId="0" borderId="2" xfId="0" applyFont="1" applyBorder="1" applyAlignment="1">
      <alignment wrapText="1"/>
    </xf>
    <xf numFmtId="0" fontId="7" fillId="0" borderId="0" xfId="2" applyFont="1" applyAlignment="1">
      <alignment horizontal="right" vertical="top" wrapText="1"/>
    </xf>
    <xf numFmtId="0" fontId="8" fillId="0" borderId="1" xfId="0" applyFont="1" applyBorder="1"/>
    <xf numFmtId="0" fontId="7" fillId="0" borderId="1" xfId="0" applyFont="1" applyBorder="1" applyAlignment="1">
      <alignment horizontal="center" vertical="center" wrapText="1"/>
    </xf>
    <xf numFmtId="0" fontId="7" fillId="0" borderId="1" xfId="1" applyFont="1" applyFill="1" applyBorder="1" applyAlignment="1">
      <alignment horizontal="center" vertical="center"/>
    </xf>
    <xf numFmtId="0" fontId="7" fillId="0" borderId="1" xfId="3" applyFont="1" applyBorder="1" applyAlignment="1">
      <alignment horizontal="left" vertical="center"/>
    </xf>
    <xf numFmtId="0" fontId="7" fillId="0" borderId="1" xfId="3" applyFont="1" applyBorder="1" applyAlignment="1">
      <alignment horizontal="left" vertical="top"/>
    </xf>
    <xf numFmtId="0" fontId="7" fillId="0" borderId="1" xfId="2" applyFont="1" applyBorder="1" applyAlignment="1">
      <alignment horizontal="left" wrapText="1"/>
    </xf>
    <xf numFmtId="0" fontId="7" fillId="0" borderId="0" xfId="2" applyFont="1" applyAlignment="1">
      <alignment horizontal="left" vertical="top" wrapText="1"/>
    </xf>
    <xf numFmtId="1" fontId="7" fillId="0" borderId="0" xfId="0" applyNumberFormat="1" applyFont="1" applyAlignment="1">
      <alignment horizontal="left" vertical="top" wrapText="1"/>
    </xf>
    <xf numFmtId="0" fontId="7" fillId="0" borderId="1" xfId="2" applyFont="1" applyBorder="1" applyAlignment="1">
      <alignment horizontal="center" vertical="center"/>
    </xf>
    <xf numFmtId="0" fontId="7" fillId="0" borderId="1" xfId="0" applyFont="1" applyBorder="1" applyAlignment="1">
      <alignment horizontal="left" vertical="center"/>
    </xf>
    <xf numFmtId="0" fontId="7" fillId="7" borderId="1" xfId="2" applyFont="1" applyFill="1" applyBorder="1" applyAlignment="1">
      <alignment horizontal="center" vertical="center" wrapText="1"/>
    </xf>
    <xf numFmtId="0" fontId="7" fillId="7" borderId="1" xfId="2" applyFont="1" applyFill="1" applyBorder="1" applyAlignment="1">
      <alignment horizontal="left" vertical="center"/>
    </xf>
    <xf numFmtId="0" fontId="7" fillId="7" borderId="1" xfId="1" applyFont="1" applyFill="1" applyBorder="1" applyAlignment="1">
      <alignment horizontal="center" vertical="center" wrapText="1"/>
    </xf>
    <xf numFmtId="0" fontId="7" fillId="7" borderId="1" xfId="1" applyFont="1" applyFill="1" applyBorder="1" applyAlignment="1">
      <alignment horizontal="center" vertical="center"/>
    </xf>
    <xf numFmtId="0" fontId="7" fillId="7" borderId="1" xfId="2" applyFont="1" applyFill="1" applyBorder="1" applyAlignment="1">
      <alignment horizontal="left" vertical="center" wrapText="1"/>
    </xf>
    <xf numFmtId="0" fontId="5" fillId="8" borderId="1" xfId="2" applyFont="1" applyFill="1" applyBorder="1" applyAlignment="1">
      <alignment horizontal="center" vertical="center" wrapText="1"/>
    </xf>
    <xf numFmtId="0" fontId="9" fillId="5" borderId="1" xfId="2" applyFont="1" applyFill="1" applyBorder="1" applyAlignment="1">
      <alignment horizontal="center" vertical="center" wrapText="1"/>
    </xf>
    <xf numFmtId="0" fontId="5" fillId="5" borderId="1" xfId="2" applyFont="1" applyFill="1" applyBorder="1" applyAlignment="1">
      <alignment horizontal="center" vertical="center" wrapText="1"/>
    </xf>
    <xf numFmtId="0" fontId="5" fillId="5" borderId="1" xfId="2" applyFont="1" applyFill="1" applyBorder="1" applyAlignment="1">
      <alignment horizontal="center" vertical="center"/>
    </xf>
    <xf numFmtId="0" fontId="19" fillId="4" borderId="1" xfId="0" applyFont="1" applyFill="1" applyBorder="1" applyAlignment="1">
      <alignment horizontal="center" vertical="center" wrapText="1"/>
    </xf>
    <xf numFmtId="0" fontId="7" fillId="7" borderId="1" xfId="2" applyFont="1" applyFill="1" applyBorder="1" applyAlignment="1">
      <alignment horizontal="center" vertical="center"/>
    </xf>
    <xf numFmtId="0" fontId="0" fillId="7" borderId="1" xfId="0" applyFill="1" applyBorder="1" applyAlignment="1">
      <alignment horizontal="left"/>
    </xf>
    <xf numFmtId="0" fontId="0" fillId="0" borderId="1" xfId="0" applyBorder="1" applyAlignment="1">
      <alignment horizontal="left"/>
    </xf>
    <xf numFmtId="0" fontId="19" fillId="0" borderId="1" xfId="0" applyFont="1" applyBorder="1" applyAlignment="1">
      <alignment horizontal="center" vertical="center"/>
    </xf>
    <xf numFmtId="0" fontId="19" fillId="4" borderId="1" xfId="0" applyFont="1" applyFill="1" applyBorder="1" applyAlignment="1">
      <alignment horizontal="center" vertical="center"/>
    </xf>
    <xf numFmtId="0" fontId="7" fillId="5" borderId="1" xfId="1" applyFont="1" applyFill="1" applyBorder="1" applyAlignment="1">
      <alignment horizontal="center" vertical="center"/>
    </xf>
    <xf numFmtId="0" fontId="19" fillId="5" borderId="1" xfId="4" applyFont="1" applyFill="1" applyBorder="1" applyAlignment="1">
      <alignment horizontal="center" vertical="center"/>
    </xf>
    <xf numFmtId="0" fontId="19" fillId="0" borderId="1" xfId="0" applyFont="1" applyBorder="1" applyAlignment="1">
      <alignment horizontal="left" vertical="center"/>
    </xf>
    <xf numFmtId="0" fontId="5" fillId="5" borderId="0" xfId="2" applyFont="1" applyFill="1" applyAlignment="1">
      <alignment horizontal="center" vertical="center"/>
    </xf>
    <xf numFmtId="0" fontId="9" fillId="3" borderId="1" xfId="2" applyFont="1" applyFill="1" applyBorder="1" applyAlignment="1">
      <alignment horizontal="center" vertical="center"/>
    </xf>
    <xf numFmtId="0" fontId="9" fillId="3" borderId="1" xfId="0" applyFont="1" applyFill="1" applyBorder="1" applyAlignment="1">
      <alignment horizontal="center" vertical="center"/>
    </xf>
    <xf numFmtId="0" fontId="6" fillId="3" borderId="1" xfId="2" applyFont="1" applyFill="1" applyBorder="1" applyAlignment="1">
      <alignment horizontal="center" vertical="center"/>
    </xf>
    <xf numFmtId="0" fontId="5" fillId="0" borderId="1" xfId="2" applyFont="1" applyBorder="1" applyAlignment="1">
      <alignment horizontal="center" vertical="center"/>
    </xf>
    <xf numFmtId="0" fontId="19" fillId="4" borderId="1" xfId="5" applyFont="1" applyFill="1" applyBorder="1" applyAlignment="1">
      <alignment horizontal="center" vertical="center"/>
    </xf>
    <xf numFmtId="0" fontId="0" fillId="0" borderId="1" xfId="0" applyBorder="1"/>
    <xf numFmtId="0" fontId="19" fillId="0" borderId="1" xfId="0" applyFont="1" applyBorder="1"/>
    <xf numFmtId="0" fontId="0" fillId="0" borderId="4" xfId="0" quotePrefix="1" applyBorder="1" applyAlignment="1">
      <alignment horizontal="left"/>
    </xf>
    <xf numFmtId="1" fontId="7" fillId="0" borderId="1" xfId="2" applyNumberFormat="1" applyFont="1" applyBorder="1" applyAlignment="1">
      <alignment horizontal="center" vertical="center"/>
    </xf>
    <xf numFmtId="1" fontId="19" fillId="0" borderId="1" xfId="0" applyNumberFormat="1" applyFont="1" applyBorder="1" applyAlignment="1">
      <alignment horizontal="center" vertical="center"/>
    </xf>
    <xf numFmtId="0" fontId="19" fillId="0" borderId="1" xfId="6" applyFont="1" applyBorder="1" applyAlignment="1">
      <alignment horizontal="center" vertical="center"/>
    </xf>
    <xf numFmtId="0" fontId="0" fillId="0" borderId="1" xfId="0" applyBorder="1" applyAlignment="1">
      <alignment horizontal="center"/>
    </xf>
    <xf numFmtId="0" fontId="0" fillId="7" borderId="1" xfId="0" applyFill="1" applyBorder="1" applyAlignment="1">
      <alignment horizontal="center"/>
    </xf>
    <xf numFmtId="0" fontId="0" fillId="7" borderId="1" xfId="0" applyFill="1" applyBorder="1"/>
    <xf numFmtId="0" fontId="0" fillId="7" borderId="1" xfId="0" applyFill="1" applyBorder="1" applyAlignment="1">
      <alignment wrapText="1"/>
    </xf>
    <xf numFmtId="1" fontId="19" fillId="5" borderId="1" xfId="0" applyNumberFormat="1" applyFont="1" applyFill="1" applyBorder="1" applyAlignment="1">
      <alignment horizontal="center" vertical="center"/>
    </xf>
    <xf numFmtId="0" fontId="7" fillId="5" borderId="1" xfId="2" applyFont="1" applyFill="1" applyBorder="1" applyAlignment="1">
      <alignment horizontal="center" vertical="center"/>
    </xf>
    <xf numFmtId="0" fontId="19" fillId="0" borderId="1" xfId="7" applyFont="1" applyBorder="1" applyAlignment="1">
      <alignment horizontal="center" vertical="center"/>
    </xf>
    <xf numFmtId="0" fontId="0" fillId="7" borderId="0" xfId="0" applyFill="1"/>
    <xf numFmtId="0" fontId="21" fillId="7" borderId="0" xfId="0" applyFont="1" applyFill="1"/>
    <xf numFmtId="0" fontId="5" fillId="4" borderId="0" xfId="2" applyFont="1" applyFill="1" applyAlignment="1">
      <alignment horizontal="center" vertical="center"/>
    </xf>
    <xf numFmtId="0" fontId="0" fillId="4" borderId="1" xfId="0" applyFill="1" applyBorder="1" applyAlignment="1">
      <alignment horizontal="center"/>
    </xf>
    <xf numFmtId="0" fontId="19" fillId="5" borderId="1" xfId="0" applyFont="1" applyFill="1" applyBorder="1" applyAlignment="1">
      <alignment horizontal="center" vertical="center"/>
    </xf>
    <xf numFmtId="0" fontId="19" fillId="0" borderId="1" xfId="0" applyFont="1" applyBorder="1" applyAlignment="1">
      <alignment horizontal="center"/>
    </xf>
    <xf numFmtId="0" fontId="0" fillId="0" borderId="1" xfId="0" applyBorder="1" applyAlignment="1">
      <alignment horizontal="left" vertical="center"/>
    </xf>
    <xf numFmtId="0" fontId="0" fillId="4" borderId="1" xfId="0" applyFill="1" applyBorder="1"/>
    <xf numFmtId="0" fontId="0" fillId="0" borderId="1" xfId="0" applyBorder="1" applyAlignment="1">
      <alignment horizontal="center" vertical="center"/>
    </xf>
    <xf numFmtId="1" fontId="0" fillId="0" borderId="1" xfId="0" applyNumberFormat="1" applyBorder="1" applyAlignment="1">
      <alignment horizontal="center" vertical="center"/>
    </xf>
    <xf numFmtId="0" fontId="7" fillId="7" borderId="1" xfId="0" applyFont="1" applyFill="1" applyBorder="1" applyAlignment="1">
      <alignment horizontal="center" vertical="center"/>
    </xf>
    <xf numFmtId="0" fontId="22" fillId="0" borderId="1" xfId="0" applyFont="1" applyBorder="1"/>
    <xf numFmtId="0" fontId="7" fillId="6" borderId="1" xfId="2" applyFont="1" applyFill="1" applyBorder="1" applyAlignment="1">
      <alignment horizontal="center" vertical="center" wrapText="1"/>
    </xf>
    <xf numFmtId="0" fontId="23" fillId="4" borderId="1" xfId="2" applyFont="1" applyFill="1" applyBorder="1" applyAlignment="1">
      <alignment horizontal="left" vertical="center"/>
    </xf>
    <xf numFmtId="0" fontId="23" fillId="0" borderId="1" xfId="2" applyFont="1" applyBorder="1" applyAlignment="1">
      <alignment horizontal="left" vertical="center" wrapText="1"/>
    </xf>
    <xf numFmtId="0" fontId="24" fillId="0" borderId="1" xfId="2" applyFont="1" applyBorder="1" applyAlignment="1">
      <alignment horizontal="left" vertical="center" wrapText="1"/>
    </xf>
    <xf numFmtId="0" fontId="5" fillId="7" borderId="1" xfId="2" applyFont="1" applyFill="1" applyBorder="1" applyAlignment="1">
      <alignment horizontal="center" vertical="center" wrapText="1"/>
    </xf>
    <xf numFmtId="0" fontId="25" fillId="7" borderId="0" xfId="0" applyFont="1" applyFill="1"/>
    <xf numFmtId="0" fontId="26" fillId="0" borderId="0" xfId="0" applyFont="1" applyAlignment="1">
      <alignment horizontal="justify" vertical="center"/>
    </xf>
    <xf numFmtId="0" fontId="26" fillId="0" borderId="0" xfId="0" applyFont="1"/>
    <xf numFmtId="0" fontId="26" fillId="0" borderId="0" xfId="0" applyFont="1" applyAlignment="1">
      <alignment horizontal="justify" vertical="center" wrapText="1"/>
    </xf>
    <xf numFmtId="0" fontId="27" fillId="0" borderId="0" xfId="0" applyFont="1"/>
    <xf numFmtId="0" fontId="27" fillId="0" borderId="0" xfId="0" applyFont="1" applyAlignment="1">
      <alignment vertical="center" wrapText="1"/>
    </xf>
    <xf numFmtId="0" fontId="28" fillId="0" borderId="0" xfId="0" applyFont="1" applyAlignment="1">
      <alignment vertical="center"/>
    </xf>
    <xf numFmtId="0" fontId="27" fillId="7" borderId="0" xfId="0" applyFont="1" applyFill="1"/>
    <xf numFmtId="0" fontId="30" fillId="7" borderId="0" xfId="0" applyFont="1" applyFill="1" applyAlignment="1">
      <alignment vertical="center"/>
    </xf>
    <xf numFmtId="0" fontId="25" fillId="0" borderId="0" xfId="0" applyFont="1"/>
    <xf numFmtId="0" fontId="25" fillId="5" borderId="1" xfId="0" applyFont="1" applyFill="1" applyBorder="1"/>
    <xf numFmtId="0" fontId="5" fillId="7" borderId="0" xfId="2" applyFont="1" applyFill="1" applyAlignment="1">
      <alignment horizontal="center" vertical="center"/>
    </xf>
    <xf numFmtId="0" fontId="32" fillId="7" borderId="0" xfId="8" applyFont="1" applyFill="1"/>
    <xf numFmtId="1" fontId="7" fillId="5" borderId="1" xfId="2" applyNumberFormat="1" applyFont="1" applyFill="1" applyBorder="1" applyAlignment="1">
      <alignment horizontal="center" vertical="center" wrapText="1"/>
    </xf>
    <xf numFmtId="0" fontId="33" fillId="0" borderId="0" xfId="0" applyFont="1"/>
    <xf numFmtId="0" fontId="0" fillId="0" borderId="1" xfId="0" applyBorder="1" applyAlignment="1">
      <alignment wrapText="1"/>
    </xf>
    <xf numFmtId="0" fontId="37" fillId="7" borderId="0" xfId="0" applyFont="1" applyFill="1"/>
    <xf numFmtId="0" fontId="7" fillId="0" borderId="1" xfId="0" applyFont="1" applyBorder="1" applyAlignment="1">
      <alignment horizontal="left" vertical="center" wrapText="1"/>
    </xf>
    <xf numFmtId="1" fontId="7" fillId="4" borderId="1" xfId="2" applyNumberFormat="1" applyFont="1" applyFill="1" applyBorder="1" applyAlignment="1">
      <alignment horizontal="center" vertical="center" wrapText="1"/>
    </xf>
    <xf numFmtId="0" fontId="7" fillId="7" borderId="1" xfId="0" applyFont="1" applyFill="1" applyBorder="1" applyAlignment="1">
      <alignment horizontal="left" vertical="center" wrapText="1"/>
    </xf>
    <xf numFmtId="1" fontId="5" fillId="5" borderId="1" xfId="2" applyNumberFormat="1" applyFont="1" applyFill="1" applyBorder="1" applyAlignment="1">
      <alignment horizontal="center" vertical="center" wrapText="1"/>
    </xf>
    <xf numFmtId="0" fontId="7" fillId="5" borderId="1" xfId="0" applyFont="1" applyFill="1" applyBorder="1" applyAlignment="1">
      <alignment horizontal="left" vertical="center"/>
    </xf>
    <xf numFmtId="0" fontId="7" fillId="4" borderId="1" xfId="0" applyFont="1" applyFill="1" applyBorder="1" applyAlignment="1">
      <alignment horizontal="left" vertical="center" wrapText="1"/>
    </xf>
    <xf numFmtId="1" fontId="7" fillId="0" borderId="1" xfId="0" applyNumberFormat="1" applyFont="1" applyBorder="1" applyAlignment="1">
      <alignment horizontal="left" vertical="center" wrapText="1"/>
    </xf>
    <xf numFmtId="0" fontId="0" fillId="4" borderId="1" xfId="0" applyFill="1" applyBorder="1" applyAlignment="1">
      <alignment horizontal="left" vertical="center"/>
    </xf>
    <xf numFmtId="0" fontId="5" fillId="7" borderId="0" xfId="2" applyFont="1" applyFill="1" applyAlignment="1">
      <alignment horizontal="center" vertical="center" wrapText="1"/>
    </xf>
    <xf numFmtId="0" fontId="0" fillId="7" borderId="1" xfId="0" applyFill="1" applyBorder="1" applyAlignment="1">
      <alignment horizontal="left" vertical="center" wrapText="1"/>
    </xf>
    <xf numFmtId="0" fontId="5" fillId="0" borderId="1" xfId="2" applyFont="1" applyBorder="1" applyAlignment="1">
      <alignment horizontal="left" vertical="center" wrapText="1"/>
    </xf>
    <xf numFmtId="0" fontId="7" fillId="6" borderId="1" xfId="2" applyFont="1" applyFill="1" applyBorder="1" applyAlignment="1">
      <alignment horizontal="left" vertical="center" wrapText="1"/>
    </xf>
    <xf numFmtId="0" fontId="31" fillId="0" borderId="1" xfId="8" applyBorder="1" applyAlignment="1">
      <alignment horizontal="left" vertical="center" wrapText="1"/>
    </xf>
    <xf numFmtId="0" fontId="0" fillId="0" borderId="0" xfId="0" applyAlignment="1">
      <alignment wrapText="1"/>
    </xf>
    <xf numFmtId="0" fontId="18" fillId="0" borderId="1" xfId="2" applyFont="1" applyBorder="1" applyAlignment="1">
      <alignment horizontal="center" vertical="center" wrapText="1"/>
    </xf>
    <xf numFmtId="0" fontId="31" fillId="7" borderId="1" xfId="8" applyFill="1" applyBorder="1" applyAlignment="1">
      <alignment horizontal="left" vertical="center"/>
    </xf>
    <xf numFmtId="0" fontId="18" fillId="0" borderId="1" xfId="0" applyFont="1" applyBorder="1" applyAlignment="1">
      <alignment horizontal="left" vertical="center"/>
    </xf>
    <xf numFmtId="0" fontId="18" fillId="0" borderId="1" xfId="2" applyFont="1" applyBorder="1" applyAlignment="1">
      <alignment horizontal="left" vertical="center" wrapText="1"/>
    </xf>
    <xf numFmtId="0" fontId="39" fillId="0" borderId="1" xfId="0" applyFont="1" applyBorder="1" applyAlignment="1">
      <alignment horizontal="left" vertical="center" wrapText="1"/>
    </xf>
    <xf numFmtId="0" fontId="6" fillId="0" borderId="1" xfId="2" applyFont="1" applyBorder="1" applyAlignment="1">
      <alignment horizontal="left" vertical="center"/>
    </xf>
    <xf numFmtId="0" fontId="6" fillId="0" borderId="1" xfId="0" applyFont="1" applyBorder="1" applyAlignment="1">
      <alignment horizontal="left" vertical="center"/>
    </xf>
    <xf numFmtId="0" fontId="6" fillId="0" borderId="1" xfId="2" applyFont="1" applyBorder="1" applyAlignment="1">
      <alignment horizontal="left" vertical="center" wrapText="1"/>
    </xf>
    <xf numFmtId="0" fontId="6" fillId="7" borderId="1" xfId="2" applyFont="1" applyFill="1" applyBorder="1" applyAlignment="1">
      <alignment horizontal="left" vertical="center"/>
    </xf>
    <xf numFmtId="0" fontId="6" fillId="7" borderId="1" xfId="2" applyFont="1" applyFill="1" applyBorder="1" applyAlignment="1">
      <alignment horizontal="left" vertical="center" wrapText="1"/>
    </xf>
    <xf numFmtId="0" fontId="39" fillId="0" borderId="1" xfId="2" applyFont="1" applyBorder="1" applyAlignment="1">
      <alignment horizontal="left" vertical="center" wrapText="1"/>
    </xf>
    <xf numFmtId="0" fontId="39" fillId="0" borderId="1" xfId="2" applyFont="1" applyBorder="1" applyAlignment="1">
      <alignment horizontal="left" vertical="center"/>
    </xf>
    <xf numFmtId="0" fontId="5" fillId="3" borderId="7" xfId="2" applyFont="1" applyFill="1" applyBorder="1" applyAlignment="1">
      <alignment horizontal="center" vertical="center" wrapText="1"/>
    </xf>
    <xf numFmtId="0" fontId="7" fillId="0" borderId="2" xfId="1" applyFont="1" applyFill="1" applyBorder="1" applyAlignment="1">
      <alignment horizontal="center" vertical="center" wrapText="1"/>
    </xf>
    <xf numFmtId="0" fontId="18" fillId="0" borderId="6" xfId="2" applyFont="1" applyBorder="1" applyAlignment="1">
      <alignment vertical="top" wrapText="1"/>
    </xf>
    <xf numFmtId="0" fontId="7" fillId="0" borderId="6" xfId="2" applyFont="1" applyBorder="1" applyAlignment="1">
      <alignment vertical="top" wrapText="1"/>
    </xf>
    <xf numFmtId="0" fontId="18" fillId="5" borderId="6" xfId="2" applyFont="1" applyFill="1" applyBorder="1" applyAlignment="1">
      <alignment vertical="top" wrapText="1"/>
    </xf>
    <xf numFmtId="0" fontId="18" fillId="0" borderId="1" xfId="2" applyFont="1" applyBorder="1" applyAlignment="1">
      <alignment horizontal="left" vertical="top" wrapText="1"/>
    </xf>
    <xf numFmtId="0" fontId="39" fillId="0" borderId="6" xfId="2" applyFont="1" applyBorder="1" applyAlignment="1">
      <alignment vertical="top" wrapText="1"/>
    </xf>
    <xf numFmtId="0" fontId="39" fillId="0" borderId="0" xfId="0" applyFont="1" applyAlignment="1">
      <alignment horizontal="left" vertical="top" wrapText="1"/>
    </xf>
    <xf numFmtId="0" fontId="7" fillId="0" borderId="0" xfId="3" applyFont="1" applyAlignment="1">
      <alignment horizontal="center" vertical="center" wrapText="1"/>
    </xf>
    <xf numFmtId="0" fontId="31" fillId="7" borderId="1" xfId="8" applyFill="1" applyBorder="1" applyAlignment="1">
      <alignment horizontal="left" vertical="center" wrapText="1"/>
    </xf>
    <xf numFmtId="0" fontId="13" fillId="7" borderId="1" xfId="2" applyFont="1" applyFill="1" applyBorder="1" applyAlignment="1">
      <alignment horizontal="left" vertical="center"/>
    </xf>
    <xf numFmtId="0" fontId="0" fillId="0" borderId="1" xfId="0" applyBorder="1" applyAlignment="1">
      <alignment horizontal="left" wrapText="1"/>
    </xf>
    <xf numFmtId="0" fontId="13" fillId="7" borderId="1" xfId="2" applyFont="1" applyFill="1" applyBorder="1" applyAlignment="1">
      <alignment horizontal="left" vertical="center" wrapText="1"/>
    </xf>
    <xf numFmtId="1" fontId="8" fillId="0" borderId="1" xfId="0" applyNumberFormat="1" applyFont="1" applyBorder="1" applyAlignment="1">
      <alignment horizontal="center" vertical="center" wrapText="1"/>
    </xf>
    <xf numFmtId="0" fontId="11" fillId="6" borderId="1" xfId="1" applyFont="1" applyFill="1" applyBorder="1" applyAlignment="1">
      <alignment horizontal="center" vertical="center" wrapText="1"/>
    </xf>
    <xf numFmtId="0" fontId="11" fillId="6" borderId="1" xfId="2" applyFont="1" applyFill="1" applyBorder="1" applyAlignment="1">
      <alignment horizontal="left" vertical="center"/>
    </xf>
    <xf numFmtId="1" fontId="5" fillId="0" borderId="0" xfId="2" applyNumberFormat="1" applyFont="1" applyAlignment="1">
      <alignment horizontal="center" vertical="center"/>
    </xf>
    <xf numFmtId="0" fontId="7" fillId="9" borderId="1" xfId="2" applyFont="1" applyFill="1" applyBorder="1" applyAlignment="1">
      <alignment horizontal="center" vertical="center" wrapText="1"/>
    </xf>
    <xf numFmtId="0" fontId="7" fillId="9" borderId="1" xfId="2" applyFont="1" applyFill="1" applyBorder="1" applyAlignment="1">
      <alignment horizontal="left" vertical="center"/>
    </xf>
    <xf numFmtId="0" fontId="9" fillId="0" borderId="1" xfId="2" applyFont="1" applyBorder="1" applyAlignment="1">
      <alignment horizontal="left" vertical="center"/>
    </xf>
    <xf numFmtId="0" fontId="45" fillId="0" borderId="1" xfId="0" applyFont="1" applyBorder="1" applyAlignment="1">
      <alignment horizontal="left" vertical="center" wrapText="1"/>
    </xf>
    <xf numFmtId="0" fontId="7" fillId="10" borderId="1" xfId="2" applyFont="1" applyFill="1" applyBorder="1" applyAlignment="1">
      <alignment horizontal="center" vertical="center" wrapText="1"/>
    </xf>
    <xf numFmtId="0" fontId="7" fillId="10" borderId="1" xfId="2" applyFont="1" applyFill="1" applyBorder="1" applyAlignment="1">
      <alignment horizontal="left" vertical="center"/>
    </xf>
    <xf numFmtId="0" fontId="5" fillId="10" borderId="1" xfId="2" applyFont="1" applyFill="1" applyBorder="1" applyAlignment="1">
      <alignment horizontal="center" vertical="center"/>
    </xf>
    <xf numFmtId="0" fontId="7" fillId="10" borderId="1" xfId="2" applyFont="1" applyFill="1" applyBorder="1" applyAlignment="1">
      <alignment horizontal="left" vertical="center" wrapText="1"/>
    </xf>
    <xf numFmtId="0" fontId="7" fillId="0" borderId="7" xfId="2" applyFont="1" applyBorder="1" applyAlignment="1">
      <alignment horizontal="center" vertical="center" wrapText="1"/>
    </xf>
    <xf numFmtId="1" fontId="5" fillId="5" borderId="1" xfId="2" applyNumberFormat="1" applyFont="1" applyFill="1" applyBorder="1" applyAlignment="1">
      <alignment horizontal="center" vertical="center"/>
    </xf>
    <xf numFmtId="1" fontId="7" fillId="10" borderId="1" xfId="2" applyNumberFormat="1" applyFont="1" applyFill="1" applyBorder="1" applyAlignment="1">
      <alignment horizontal="center" vertical="center" wrapText="1"/>
    </xf>
    <xf numFmtId="0" fontId="7" fillId="10" borderId="1" xfId="1" applyFont="1" applyFill="1" applyBorder="1" applyAlignment="1">
      <alignment horizontal="center" vertical="center" wrapText="1"/>
    </xf>
    <xf numFmtId="0" fontId="8" fillId="0" borderId="1" xfId="0" applyFont="1" applyBorder="1" applyAlignment="1">
      <alignment vertical="center"/>
    </xf>
    <xf numFmtId="0" fontId="0" fillId="0" borderId="1" xfId="0" applyBorder="1" applyAlignment="1">
      <alignment vertical="center"/>
    </xf>
    <xf numFmtId="0" fontId="5" fillId="7" borderId="1" xfId="2" applyFont="1" applyFill="1" applyBorder="1" applyAlignment="1">
      <alignment horizontal="center" vertical="center"/>
    </xf>
    <xf numFmtId="0" fontId="24" fillId="7" borderId="1" xfId="2" applyFont="1" applyFill="1" applyBorder="1" applyAlignment="1">
      <alignment horizontal="left" vertical="center" wrapText="1"/>
    </xf>
    <xf numFmtId="0" fontId="7" fillId="0" borderId="1" xfId="2" quotePrefix="1" applyFont="1" applyBorder="1" applyAlignment="1">
      <alignment horizontal="left" vertical="center" wrapText="1"/>
    </xf>
    <xf numFmtId="0" fontId="49" fillId="0" borderId="1" xfId="2" applyFont="1" applyBorder="1" applyAlignment="1">
      <alignment horizontal="left" vertical="center" wrapText="1"/>
    </xf>
    <xf numFmtId="0" fontId="48" fillId="0" borderId="1" xfId="2" applyFont="1" applyBorder="1" applyAlignment="1">
      <alignment horizontal="left" vertical="center" wrapText="1"/>
    </xf>
    <xf numFmtId="0" fontId="48" fillId="7" borderId="1" xfId="2" applyFont="1" applyFill="1" applyBorder="1" applyAlignment="1">
      <alignment horizontal="left" vertical="center" wrapText="1"/>
    </xf>
    <xf numFmtId="0" fontId="13" fillId="0" borderId="0" xfId="2" applyFont="1" applyAlignment="1">
      <alignment horizontal="center" vertical="center" wrapText="1"/>
    </xf>
    <xf numFmtId="0" fontId="53" fillId="0" borderId="0" xfId="0" applyFont="1"/>
    <xf numFmtId="0" fontId="7" fillId="0" borderId="0" xfId="2" applyFont="1" applyAlignment="1">
      <alignment horizontal="left" vertical="center"/>
    </xf>
    <xf numFmtId="0" fontId="5" fillId="0" borderId="0" xfId="2" applyFont="1" applyAlignment="1">
      <alignment vertical="center" wrapText="1"/>
    </xf>
    <xf numFmtId="0" fontId="7" fillId="0" borderId="9" xfId="2" applyFont="1" applyBorder="1" applyAlignment="1">
      <alignment horizontal="center" vertical="center" wrapText="1"/>
    </xf>
    <xf numFmtId="0" fontId="13" fillId="0" borderId="0" xfId="2" applyFont="1" applyAlignment="1">
      <alignment horizontal="left" vertical="center"/>
    </xf>
    <xf numFmtId="0" fontId="5" fillId="0" borderId="0" xfId="2" applyFont="1" applyAlignment="1">
      <alignment horizontal="left" vertical="center" wrapText="1"/>
    </xf>
    <xf numFmtId="0" fontId="54" fillId="0" borderId="0" xfId="0" applyFont="1" applyAlignment="1">
      <alignment horizontal="left" vertical="center"/>
    </xf>
    <xf numFmtId="0" fontId="5" fillId="0" borderId="0" xfId="2" applyFont="1" applyAlignment="1">
      <alignment vertical="center"/>
    </xf>
    <xf numFmtId="0" fontId="9" fillId="3" borderId="1" xfId="2" applyFont="1" applyFill="1" applyBorder="1" applyAlignment="1">
      <alignment horizontal="left" vertical="center" wrapText="1"/>
    </xf>
    <xf numFmtId="0" fontId="13" fillId="0" borderId="1" xfId="2" applyFont="1" applyBorder="1" applyAlignment="1">
      <alignment horizontal="left" vertical="center" wrapText="1"/>
    </xf>
    <xf numFmtId="0" fontId="7" fillId="0" borderId="1" xfId="2" applyFont="1" applyBorder="1" applyAlignment="1">
      <alignment vertical="center" wrapText="1"/>
    </xf>
    <xf numFmtId="0" fontId="13" fillId="0" borderId="0" xfId="2" applyFont="1" applyAlignment="1">
      <alignment horizontal="center" vertical="center"/>
    </xf>
    <xf numFmtId="0" fontId="55" fillId="0" borderId="0" xfId="2" applyFont="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xf>
    <xf numFmtId="0" fontId="5" fillId="7" borderId="1" xfId="2" applyFont="1" applyFill="1" applyBorder="1" applyAlignment="1">
      <alignment horizontal="left" vertical="center" wrapText="1"/>
    </xf>
    <xf numFmtId="0" fontId="31" fillId="0" borderId="1" xfId="8" applyBorder="1" applyAlignment="1">
      <alignment horizontal="left" vertical="center"/>
    </xf>
    <xf numFmtId="0" fontId="5" fillId="0" borderId="1" xfId="2" applyFont="1" applyBorder="1" applyAlignment="1">
      <alignment horizontal="left" vertical="center"/>
    </xf>
    <xf numFmtId="0" fontId="31" fillId="7" borderId="0" xfId="8" applyFill="1" applyAlignment="1">
      <alignment horizontal="center" vertical="center"/>
    </xf>
    <xf numFmtId="0" fontId="7" fillId="7" borderId="7" xfId="2" applyFont="1" applyFill="1" applyBorder="1" applyAlignment="1">
      <alignment horizontal="left" vertical="center"/>
    </xf>
    <xf numFmtId="0" fontId="7" fillId="7" borderId="2" xfId="2" applyFont="1" applyFill="1" applyBorder="1" applyAlignment="1">
      <alignment horizontal="center" vertical="center" wrapText="1"/>
    </xf>
    <xf numFmtId="0" fontId="56" fillId="7" borderId="6" xfId="0" applyFont="1" applyFill="1" applyBorder="1"/>
    <xf numFmtId="0" fontId="7" fillId="7" borderId="5" xfId="2" applyFont="1" applyFill="1" applyBorder="1" applyAlignment="1">
      <alignment horizontal="left" vertical="center" wrapText="1"/>
    </xf>
    <xf numFmtId="0" fontId="58" fillId="7" borderId="0" xfId="0" applyFont="1" applyFill="1"/>
    <xf numFmtId="0" fontId="18" fillId="0" borderId="1" xfId="2" applyFont="1" applyBorder="1" applyAlignment="1">
      <alignment horizontal="left" vertical="center"/>
    </xf>
    <xf numFmtId="0" fontId="18" fillId="7" borderId="1" xfId="2" applyFont="1" applyFill="1" applyBorder="1" applyAlignment="1">
      <alignment horizontal="left" vertical="center"/>
    </xf>
    <xf numFmtId="0" fontId="18" fillId="7" borderId="1" xfId="2" applyFont="1" applyFill="1" applyBorder="1" applyAlignment="1">
      <alignment horizontal="center" vertical="center" wrapText="1"/>
    </xf>
    <xf numFmtId="0" fontId="18" fillId="7" borderId="0" xfId="0" applyFont="1" applyFill="1"/>
    <xf numFmtId="0" fontId="59" fillId="7" borderId="0" xfId="0" applyFont="1" applyFill="1"/>
    <xf numFmtId="0" fontId="18" fillId="7" borderId="1" xfId="2" applyFont="1" applyFill="1" applyBorder="1" applyAlignment="1">
      <alignment horizontal="left" vertical="center" wrapText="1"/>
    </xf>
    <xf numFmtId="0" fontId="5" fillId="0" borderId="0" xfId="0" applyFont="1" applyAlignment="1">
      <alignment vertical="center" wrapText="1"/>
    </xf>
    <xf numFmtId="0" fontId="45" fillId="7" borderId="1" xfId="0" applyFont="1" applyFill="1" applyBorder="1" applyAlignment="1">
      <alignment horizontal="left" vertical="center" wrapText="1"/>
    </xf>
    <xf numFmtId="0" fontId="45" fillId="5" borderId="1" xfId="0" applyFont="1" applyFill="1" applyBorder="1" applyAlignment="1">
      <alignment horizontal="left" vertical="center" wrapText="1"/>
    </xf>
    <xf numFmtId="0" fontId="34" fillId="5" borderId="0" xfId="0" applyFont="1" applyFill="1" applyAlignment="1">
      <alignment wrapText="1"/>
    </xf>
    <xf numFmtId="0" fontId="8" fillId="0" borderId="0" xfId="0" applyFont="1" applyAlignment="1">
      <alignment vertical="center" wrapText="1"/>
    </xf>
    <xf numFmtId="0" fontId="8" fillId="0" borderId="0" xfId="0" applyFont="1" applyAlignment="1">
      <alignment horizontal="left" vertical="center" wrapText="1"/>
    </xf>
    <xf numFmtId="0" fontId="13" fillId="7" borderId="0" xfId="2" applyFont="1" applyFill="1" applyAlignment="1">
      <alignment horizontal="center" vertical="center" wrapText="1"/>
    </xf>
    <xf numFmtId="0" fontId="7" fillId="3" borderId="0" xfId="0" applyFont="1" applyFill="1" applyAlignment="1">
      <alignment horizontal="center" vertical="center" wrapText="1"/>
    </xf>
    <xf numFmtId="1" fontId="5" fillId="0" borderId="10" xfId="2" applyNumberFormat="1" applyFont="1" applyBorder="1" applyAlignment="1">
      <alignment horizontal="center" vertical="center" wrapText="1"/>
    </xf>
    <xf numFmtId="2" fontId="8" fillId="0" borderId="1" xfId="0" applyNumberFormat="1" applyFont="1" applyBorder="1" applyAlignment="1">
      <alignment horizontal="center" vertical="center"/>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7"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9" fillId="4" borderId="2"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5" fillId="0" borderId="2" xfId="2" applyFont="1" applyBorder="1" applyAlignment="1">
      <alignment horizontal="center" vertical="center" wrapText="1"/>
    </xf>
    <xf numFmtId="0" fontId="5" fillId="0" borderId="4" xfId="2"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9" fillId="0" borderId="2" xfId="2" applyFont="1" applyBorder="1" applyAlignment="1">
      <alignment horizontal="center" vertical="center" wrapText="1"/>
    </xf>
    <xf numFmtId="0" fontId="9" fillId="0" borderId="4" xfId="2" applyFont="1" applyBorder="1" applyAlignment="1">
      <alignment horizontal="center" vertical="center" wrapText="1"/>
    </xf>
    <xf numFmtId="0" fontId="5" fillId="5" borderId="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7" fillId="0" borderId="2" xfId="2" applyFont="1" applyBorder="1" applyAlignment="1">
      <alignment horizontal="center" vertical="center" wrapText="1"/>
    </xf>
    <xf numFmtId="0" fontId="7" fillId="0" borderId="4" xfId="2" applyFont="1" applyBorder="1" applyAlignment="1">
      <alignment horizontal="center" vertical="center" wrapText="1"/>
    </xf>
    <xf numFmtId="0" fontId="10" fillId="3" borderId="2" xfId="2" applyFont="1" applyFill="1" applyBorder="1" applyAlignment="1">
      <alignment horizontal="center" vertical="center"/>
    </xf>
    <xf numFmtId="0" fontId="10" fillId="3" borderId="4" xfId="2"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5" fillId="3" borderId="2" xfId="2" applyFont="1" applyFill="1" applyBorder="1" applyAlignment="1">
      <alignment horizontal="center" vertical="center" wrapText="1"/>
    </xf>
    <xf numFmtId="0" fontId="5" fillId="3" borderId="4" xfId="2" applyFont="1" applyFill="1" applyBorder="1" applyAlignment="1">
      <alignment horizontal="center" vertical="center" wrapText="1"/>
    </xf>
    <xf numFmtId="0" fontId="5" fillId="3" borderId="2" xfId="2" applyFont="1" applyFill="1" applyBorder="1" applyAlignment="1">
      <alignment horizontal="center" vertical="center"/>
    </xf>
    <xf numFmtId="0" fontId="5" fillId="3" borderId="4" xfId="2" applyFont="1" applyFill="1" applyBorder="1" applyAlignment="1">
      <alignment horizontal="center" vertical="center"/>
    </xf>
    <xf numFmtId="0" fontId="4" fillId="3" borderId="2" xfId="2" applyFont="1" applyFill="1" applyBorder="1" applyAlignment="1">
      <alignment horizontal="left" vertical="center" wrapText="1"/>
    </xf>
    <xf numFmtId="0" fontId="4" fillId="3" borderId="3" xfId="2" applyFont="1" applyFill="1" applyBorder="1" applyAlignment="1">
      <alignment horizontal="left" vertical="center" wrapText="1"/>
    </xf>
    <xf numFmtId="0" fontId="4" fillId="3" borderId="4" xfId="2" applyFont="1" applyFill="1" applyBorder="1" applyAlignment="1">
      <alignment horizontal="left"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3" fillId="3" borderId="2" xfId="2" applyFont="1" applyFill="1" applyBorder="1" applyAlignment="1">
      <alignment horizontal="center" vertical="center"/>
    </xf>
    <xf numFmtId="0" fontId="13" fillId="3" borderId="4" xfId="2" applyFont="1" applyFill="1" applyBorder="1" applyAlignment="1">
      <alignment horizontal="center" vertical="center"/>
    </xf>
    <xf numFmtId="0" fontId="12" fillId="3" borderId="2" xfId="2" applyFont="1" applyFill="1" applyBorder="1" applyAlignment="1">
      <alignment horizontal="center" vertical="center"/>
    </xf>
    <xf numFmtId="0" fontId="12" fillId="3" borderId="4" xfId="2" applyFont="1" applyFill="1" applyBorder="1" applyAlignment="1">
      <alignment horizontal="center" vertical="center"/>
    </xf>
    <xf numFmtId="0" fontId="6" fillId="0" borderId="2" xfId="2" applyFont="1" applyBorder="1" applyAlignment="1">
      <alignment horizontal="center" vertical="center" wrapText="1"/>
    </xf>
    <xf numFmtId="0" fontId="6" fillId="0" borderId="4" xfId="2" applyFont="1" applyBorder="1" applyAlignment="1">
      <alignment horizontal="center" vertical="center" wrapText="1"/>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10" fillId="3" borderId="1" xfId="0" applyFont="1" applyFill="1" applyBorder="1" applyAlignment="1">
      <alignment horizontal="center" vertical="center"/>
    </xf>
    <xf numFmtId="0" fontId="6" fillId="0" borderId="1" xfId="2" applyFont="1" applyBorder="1" applyAlignment="1">
      <alignment horizontal="center" vertical="center" wrapText="1"/>
    </xf>
    <xf numFmtId="0" fontId="7" fillId="0" borderId="1" xfId="2" applyFont="1" applyBorder="1" applyAlignment="1">
      <alignment horizontal="center" vertical="center" wrapText="1"/>
    </xf>
    <xf numFmtId="0" fontId="5" fillId="0" borderId="1" xfId="2" applyFont="1" applyBorder="1" applyAlignment="1">
      <alignment horizontal="center" vertical="center" wrapText="1"/>
    </xf>
    <xf numFmtId="0" fontId="10" fillId="3" borderId="1" xfId="2" applyFont="1" applyFill="1" applyBorder="1" applyAlignment="1">
      <alignment horizontal="center" vertical="center"/>
    </xf>
    <xf numFmtId="0" fontId="5" fillId="3" borderId="1" xfId="2" applyFont="1" applyFill="1" applyBorder="1" applyAlignment="1">
      <alignment horizontal="center" vertical="center"/>
    </xf>
    <xf numFmtId="0" fontId="5"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7" fillId="3" borderId="1" xfId="2" applyFont="1" applyFill="1" applyBorder="1" applyAlignment="1">
      <alignment horizontal="center" vertical="center"/>
    </xf>
    <xf numFmtId="0" fontId="12" fillId="3" borderId="1" xfId="2" applyFont="1" applyFill="1" applyBorder="1" applyAlignment="1">
      <alignment horizontal="center" vertical="center"/>
    </xf>
    <xf numFmtId="0" fontId="13" fillId="3" borderId="1" xfId="2" applyFont="1" applyFill="1" applyBorder="1" applyAlignment="1">
      <alignment horizontal="center" vertical="center"/>
    </xf>
    <xf numFmtId="0" fontId="5" fillId="3" borderId="1" xfId="2" applyFont="1" applyFill="1" applyBorder="1" applyAlignment="1">
      <alignment horizontal="center" vertical="center" wrapText="1"/>
    </xf>
    <xf numFmtId="0" fontId="5" fillId="3" borderId="1" xfId="0" applyFont="1" applyFill="1" applyBorder="1" applyAlignment="1">
      <alignment horizontal="center" vertical="center" wrapText="1"/>
    </xf>
    <xf numFmtId="0" fontId="9" fillId="4" borderId="1" xfId="2" applyFont="1" applyFill="1" applyBorder="1" applyAlignment="1">
      <alignment horizontal="center" vertical="center" wrapText="1"/>
    </xf>
    <xf numFmtId="0" fontId="5" fillId="4" borderId="1" xfId="2" applyFont="1" applyFill="1" applyBorder="1" applyAlignment="1">
      <alignment horizontal="center" vertical="center" wrapText="1"/>
    </xf>
    <xf numFmtId="0" fontId="9" fillId="0" borderId="1" xfId="2" applyFont="1" applyBorder="1" applyAlignment="1">
      <alignment horizontal="center" vertical="center" wrapText="1"/>
    </xf>
    <xf numFmtId="0" fontId="4" fillId="3" borderId="1" xfId="0" applyFont="1" applyFill="1" applyBorder="1" applyAlignment="1">
      <alignment horizontal="left" vertical="center" wrapText="1"/>
    </xf>
    <xf numFmtId="0" fontId="4" fillId="3" borderId="1" xfId="2" applyFont="1" applyFill="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5" fillId="0" borderId="1" xfId="2" applyFont="1" applyBorder="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7" fillId="0" borderId="1" xfId="2" applyFont="1" applyBorder="1" applyAlignment="1">
      <alignment horizontal="center" vertical="center"/>
    </xf>
    <xf numFmtId="0" fontId="9" fillId="0" borderId="1" xfId="2" applyFont="1" applyBorder="1" applyAlignment="1">
      <alignment horizontal="center" vertical="center"/>
    </xf>
    <xf numFmtId="0" fontId="5"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4" fillId="3" borderId="2" xfId="2" applyFont="1" applyFill="1" applyBorder="1" applyAlignment="1">
      <alignment horizontal="left" vertical="center"/>
    </xf>
    <xf numFmtId="0" fontId="4" fillId="3" borderId="3" xfId="2" applyFont="1" applyFill="1" applyBorder="1" applyAlignment="1">
      <alignment horizontal="left" vertical="center"/>
    </xf>
    <xf numFmtId="0" fontId="4" fillId="3" borderId="4" xfId="2" applyFont="1" applyFill="1" applyBorder="1" applyAlignment="1">
      <alignment horizontal="left" vertical="center"/>
    </xf>
    <xf numFmtId="0" fontId="5" fillId="5" borderId="1" xfId="2" applyFont="1" applyFill="1" applyBorder="1" applyAlignment="1">
      <alignment horizontal="center" vertical="center"/>
    </xf>
    <xf numFmtId="0" fontId="4" fillId="3" borderId="1" xfId="2" applyFont="1" applyFill="1" applyBorder="1" applyAlignment="1">
      <alignment horizontal="left" vertical="center"/>
    </xf>
    <xf numFmtId="0" fontId="9" fillId="5" borderId="1" xfId="2" applyFont="1" applyFill="1" applyBorder="1" applyAlignment="1">
      <alignment horizontal="center" vertical="center"/>
    </xf>
    <xf numFmtId="0" fontId="7" fillId="5" borderId="1" xfId="2" applyFont="1" applyFill="1" applyBorder="1" applyAlignment="1">
      <alignment horizontal="center" vertical="center"/>
    </xf>
    <xf numFmtId="0" fontId="10" fillId="5" borderId="1" xfId="2" applyFont="1" applyFill="1" applyBorder="1" applyAlignment="1">
      <alignment horizontal="center" vertical="center"/>
    </xf>
    <xf numFmtId="0" fontId="6" fillId="0" borderId="1" xfId="2" applyFont="1" applyBorder="1" applyAlignment="1">
      <alignment horizontal="center" vertical="center"/>
    </xf>
    <xf numFmtId="0" fontId="6" fillId="0" borderId="1" xfId="0" applyFont="1" applyBorder="1" applyAlignment="1">
      <alignment horizontal="center" vertical="center"/>
    </xf>
    <xf numFmtId="0" fontId="9" fillId="5" borderId="1" xfId="2" applyFont="1" applyFill="1" applyBorder="1" applyAlignment="1">
      <alignment horizontal="center" vertical="center" wrapText="1"/>
    </xf>
    <xf numFmtId="0" fontId="5" fillId="5" borderId="1" xfId="2" applyFont="1" applyFill="1" applyBorder="1" applyAlignment="1">
      <alignment horizontal="center" vertical="center" wrapText="1"/>
    </xf>
    <xf numFmtId="0" fontId="10" fillId="3" borderId="1" xfId="2" applyFont="1" applyFill="1" applyBorder="1" applyAlignment="1">
      <alignment horizontal="center" vertical="center" wrapText="1"/>
    </xf>
    <xf numFmtId="0" fontId="11" fillId="3" borderId="1" xfId="2" applyFont="1" applyFill="1" applyBorder="1" applyAlignment="1">
      <alignment horizontal="center" vertical="center" wrapText="1"/>
    </xf>
    <xf numFmtId="0" fontId="7" fillId="3" borderId="1" xfId="2" applyFont="1" applyFill="1" applyBorder="1" applyAlignment="1">
      <alignment horizontal="center" vertical="center" wrapText="1"/>
    </xf>
    <xf numFmtId="0" fontId="5" fillId="8" borderId="1" xfId="2" applyFont="1" applyFill="1" applyBorder="1" applyAlignment="1">
      <alignment horizontal="center" vertical="center" wrapText="1"/>
    </xf>
    <xf numFmtId="0" fontId="7" fillId="5" borderId="1" xfId="2"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1" xfId="2" applyFont="1" applyBorder="1" applyAlignment="1">
      <alignment horizontal="center" vertical="center" wrapText="1"/>
    </xf>
    <xf numFmtId="0" fontId="7" fillId="5" borderId="6" xfId="2" applyFont="1" applyFill="1" applyBorder="1" applyAlignment="1">
      <alignment horizontal="left" vertical="top" wrapText="1"/>
    </xf>
    <xf numFmtId="0" fontId="39" fillId="0" borderId="1" xfId="0" applyFont="1" applyBorder="1" applyAlignment="1">
      <alignment horizontal="center" vertical="center" wrapText="1"/>
    </xf>
    <xf numFmtId="0" fontId="39" fillId="0" borderId="1" xfId="2" applyFont="1" applyBorder="1" applyAlignment="1">
      <alignment horizontal="center" vertical="center" wrapText="1"/>
    </xf>
    <xf numFmtId="0" fontId="6" fillId="5" borderId="1" xfId="9" applyFont="1" applyFill="1" applyBorder="1" applyAlignment="1">
      <alignment horizontal="center" vertical="center" wrapText="1"/>
    </xf>
    <xf numFmtId="0" fontId="42" fillId="5" borderId="1" xfId="9" applyFont="1" applyFill="1" applyBorder="1" applyAlignment="1">
      <alignment horizontal="center" vertical="center" wrapText="1"/>
    </xf>
    <xf numFmtId="0" fontId="7" fillId="7" borderId="1" xfId="2" applyFont="1" applyFill="1" applyBorder="1" applyAlignment="1">
      <alignment horizontal="center" vertical="center" wrapText="1"/>
    </xf>
    <xf numFmtId="0" fontId="43" fillId="3" borderId="2" xfId="0" applyFont="1" applyFill="1" applyBorder="1" applyAlignment="1">
      <alignment horizontal="left" vertical="center" wrapText="1"/>
    </xf>
    <xf numFmtId="0" fontId="43" fillId="3" borderId="3" xfId="0" applyFont="1" applyFill="1" applyBorder="1" applyAlignment="1">
      <alignment horizontal="left" vertical="center" wrapText="1"/>
    </xf>
    <xf numFmtId="0" fontId="43" fillId="3" borderId="4" xfId="0" applyFont="1" applyFill="1" applyBorder="1" applyAlignment="1">
      <alignment horizontal="left" vertical="center" wrapText="1"/>
    </xf>
    <xf numFmtId="0" fontId="43" fillId="3" borderId="2" xfId="2" applyFont="1" applyFill="1" applyBorder="1" applyAlignment="1">
      <alignment horizontal="left" vertical="center" wrapText="1"/>
    </xf>
    <xf numFmtId="0" fontId="43" fillId="3" borderId="3" xfId="2" applyFont="1" applyFill="1" applyBorder="1" applyAlignment="1">
      <alignment horizontal="left" vertical="center" wrapText="1"/>
    </xf>
    <xf numFmtId="0" fontId="43" fillId="3" borderId="4" xfId="2" applyFont="1" applyFill="1" applyBorder="1" applyAlignment="1">
      <alignment horizontal="left" vertical="center" wrapText="1"/>
    </xf>
    <xf numFmtId="0" fontId="43" fillId="3" borderId="1" xfId="2" applyFont="1" applyFill="1" applyBorder="1" applyAlignment="1">
      <alignment horizontal="left" vertical="center" wrapText="1"/>
    </xf>
    <xf numFmtId="0" fontId="5" fillId="0" borderId="2" xfId="2" applyFont="1" applyBorder="1" applyAlignment="1">
      <alignment horizontal="center" vertical="center"/>
    </xf>
    <xf numFmtId="0" fontId="5" fillId="0" borderId="4" xfId="2" applyFont="1" applyBorder="1" applyAlignment="1">
      <alignment horizontal="center" vertical="center"/>
    </xf>
    <xf numFmtId="0" fontId="9" fillId="4" borderId="1" xfId="0" applyFont="1" applyFill="1" applyBorder="1" applyAlignment="1">
      <alignment horizontal="center" vertical="center" wrapText="1"/>
    </xf>
    <xf numFmtId="0" fontId="9" fillId="7" borderId="1" xfId="2" applyFont="1" applyFill="1" applyBorder="1" applyAlignment="1">
      <alignment horizontal="center" vertical="center" wrapText="1"/>
    </xf>
    <xf numFmtId="0" fontId="6" fillId="5" borderId="1" xfId="2" applyFont="1" applyFill="1" applyBorder="1" applyAlignment="1">
      <alignment horizontal="center" vertical="center" wrapText="1"/>
    </xf>
    <xf numFmtId="0" fontId="7" fillId="0" borderId="7" xfId="2" applyFont="1" applyBorder="1" applyAlignment="1">
      <alignment horizontal="center" vertical="center" wrapText="1"/>
    </xf>
    <xf numFmtId="0" fontId="7" fillId="0" borderId="8" xfId="2" applyFont="1" applyBorder="1" applyAlignment="1">
      <alignment horizontal="center" vertical="center" wrapText="1"/>
    </xf>
    <xf numFmtId="0" fontId="7" fillId="0" borderId="5" xfId="2" applyFont="1" applyBorder="1" applyAlignment="1">
      <alignment horizontal="center" vertical="center" wrapText="1"/>
    </xf>
    <xf numFmtId="0" fontId="52" fillId="3" borderId="2" xfId="0" applyFont="1" applyFill="1" applyBorder="1" applyAlignment="1">
      <alignment horizontal="left" vertical="center" wrapText="1"/>
    </xf>
    <xf numFmtId="0" fontId="52" fillId="3" borderId="3" xfId="0" applyFont="1" applyFill="1" applyBorder="1" applyAlignment="1">
      <alignment horizontal="left" vertical="center" wrapText="1"/>
    </xf>
    <xf numFmtId="0" fontId="52" fillId="3" borderId="4" xfId="0" applyFont="1" applyFill="1" applyBorder="1" applyAlignment="1">
      <alignment horizontal="left" vertical="center" wrapText="1"/>
    </xf>
    <xf numFmtId="0" fontId="52" fillId="3" borderId="2" xfId="2" applyFont="1" applyFill="1" applyBorder="1" applyAlignment="1">
      <alignment horizontal="left" vertical="center" wrapText="1"/>
    </xf>
    <xf numFmtId="0" fontId="52" fillId="3" borderId="3" xfId="2" applyFont="1" applyFill="1" applyBorder="1" applyAlignment="1">
      <alignment horizontal="left" vertical="center" wrapText="1"/>
    </xf>
    <xf numFmtId="0" fontId="52" fillId="3" borderId="4" xfId="2" applyFont="1" applyFill="1" applyBorder="1" applyAlignment="1">
      <alignment horizontal="left" vertical="center" wrapText="1"/>
    </xf>
    <xf numFmtId="0" fontId="52" fillId="3" borderId="1" xfId="2" applyFont="1" applyFill="1" applyBorder="1" applyAlignment="1">
      <alignment horizontal="left" vertical="center" wrapText="1"/>
    </xf>
    <xf numFmtId="0" fontId="52" fillId="0" borderId="1" xfId="2" applyFont="1" applyBorder="1" applyAlignment="1">
      <alignment horizontal="left" vertical="center" wrapText="1"/>
    </xf>
    <xf numFmtId="0" fontId="7" fillId="5" borderId="1" xfId="0" applyFont="1" applyFill="1" applyBorder="1" applyAlignment="1">
      <alignment horizontal="center" vertical="center" wrapText="1"/>
    </xf>
    <xf numFmtId="0" fontId="0" fillId="0" borderId="0" xfId="0"/>
    <xf numFmtId="0" fontId="5" fillId="0" borderId="0" xfId="2" applyFont="1" applyAlignment="1">
      <alignment horizontal="center" vertical="center"/>
    </xf>
    <xf numFmtId="0" fontId="5" fillId="0" borderId="0" xfId="3" applyFont="1" applyAlignment="1">
      <alignment horizontal="center" vertical="center"/>
    </xf>
    <xf numFmtId="0" fontId="7" fillId="0" borderId="1" xfId="2" applyFont="1" applyBorder="1" applyAlignment="1">
      <alignment horizontal="left" vertical="center" wrapText="1"/>
    </xf>
    <xf numFmtId="0" fontId="7" fillId="0" borderId="1" xfId="1" applyFont="1" applyFill="1" applyBorder="1" applyAlignment="1">
      <alignment horizontal="center" vertical="center" wrapText="1"/>
    </xf>
    <xf numFmtId="0" fontId="5" fillId="3" borderId="1" xfId="2" applyFont="1" applyFill="1" applyBorder="1" applyAlignment="1">
      <alignment horizontal="center" vertical="center" wrapText="1"/>
    </xf>
    <xf numFmtId="0" fontId="7" fillId="0" borderId="1" xfId="2" applyFont="1" applyBorder="1" applyAlignment="1">
      <alignment horizontal="center" vertical="center" wrapText="1"/>
    </xf>
    <xf numFmtId="0" fontId="5" fillId="3" borderId="1" xfId="0" applyFont="1" applyFill="1" applyBorder="1" applyAlignment="1">
      <alignment horizontal="center" vertical="center" wrapText="1"/>
    </xf>
    <xf numFmtId="0" fontId="7" fillId="0" borderId="1" xfId="1" applyFont="1" applyFill="1" applyBorder="1" applyAlignment="1">
      <alignment horizontal="center" vertical="center"/>
    </xf>
    <xf numFmtId="0" fontId="7" fillId="0" borderId="1" xfId="0" applyFont="1" applyBorder="1" applyAlignment="1">
      <alignment horizontal="center" vertical="center"/>
    </xf>
    <xf numFmtId="1" fontId="5"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1" fontId="5" fillId="0" borderId="1" xfId="0" applyNumberFormat="1" applyFont="1" applyBorder="1" applyAlignment="1">
      <alignment horizontal="center" vertical="center"/>
    </xf>
    <xf numFmtId="0" fontId="9" fillId="3" borderId="1" xfId="0" applyFont="1" applyFill="1" applyBorder="1" applyAlignment="1">
      <alignment horizontal="center" vertical="center" wrapText="1"/>
    </xf>
    <xf numFmtId="0" fontId="7" fillId="0" borderId="1" xfId="2" applyFont="1" applyBorder="1" applyAlignment="1">
      <alignment horizontal="left" vertical="center"/>
    </xf>
    <xf numFmtId="1" fontId="7" fillId="0" borderId="1" xfId="2" applyNumberFormat="1" applyFont="1" applyBorder="1" applyAlignment="1">
      <alignment horizontal="center" vertical="center" wrapText="1"/>
    </xf>
    <xf numFmtId="1" fontId="5" fillId="0" borderId="1" xfId="2" applyNumberFormat="1" applyFont="1" applyBorder="1" applyAlignment="1">
      <alignment horizontal="center" vertical="center" wrapText="1"/>
    </xf>
    <xf numFmtId="0" fontId="9" fillId="3" borderId="1" xfId="2" applyFont="1" applyFill="1" applyBorder="1" applyAlignment="1">
      <alignment horizontal="center" vertical="center" wrapText="1"/>
    </xf>
    <xf numFmtId="0" fontId="5" fillId="3" borderId="1" xfId="2" applyFont="1" applyFill="1" applyBorder="1" applyAlignment="1">
      <alignment horizontal="center" vertical="center"/>
    </xf>
    <xf numFmtId="1" fontId="5" fillId="0" borderId="1" xfId="2" applyNumberFormat="1" applyFont="1" applyBorder="1" applyAlignment="1">
      <alignment horizontal="center" vertical="center"/>
    </xf>
    <xf numFmtId="0" fontId="6" fillId="3" borderId="1" xfId="2" applyFont="1" applyFill="1" applyBorder="1" applyAlignment="1">
      <alignment horizontal="center" vertical="center" wrapText="1"/>
    </xf>
    <xf numFmtId="0" fontId="13" fillId="3" borderId="1" xfId="2" applyFont="1" applyFill="1" applyBorder="1" applyAlignment="1">
      <alignment horizontal="center" vertical="center"/>
    </xf>
    <xf numFmtId="0" fontId="5" fillId="0" borderId="0" xfId="2" applyFont="1" applyAlignment="1">
      <alignment horizontal="left" vertical="center"/>
    </xf>
    <xf numFmtId="0" fontId="5" fillId="0" borderId="0" xfId="2" applyFont="1" applyAlignment="1">
      <alignment horizontal="center" vertical="center" wrapText="1"/>
    </xf>
    <xf numFmtId="0" fontId="7" fillId="0" borderId="1" xfId="2" applyFont="1" applyBorder="1" applyAlignment="1">
      <alignment horizontal="center" vertical="center"/>
    </xf>
    <xf numFmtId="0" fontId="7" fillId="3" borderId="1" xfId="2" applyFont="1" applyFill="1" applyBorder="1" applyAlignment="1">
      <alignment horizontal="center" vertical="center" wrapText="1"/>
    </xf>
    <xf numFmtId="0" fontId="9" fillId="0" borderId="0" xfId="2" applyFont="1" applyAlignment="1">
      <alignment vertical="center" wrapText="1"/>
    </xf>
    <xf numFmtId="0" fontId="7" fillId="0" borderId="0" xfId="1" applyFont="1" applyFill="1" applyAlignment="1">
      <alignment horizontal="center" vertical="center"/>
    </xf>
    <xf numFmtId="0" fontId="62" fillId="0" borderId="0" xfId="0" applyFont="1"/>
    <xf numFmtId="0" fontId="7" fillId="0" borderId="1" xfId="0" applyFont="1" applyBorder="1" applyAlignment="1">
      <alignment horizontal="left" vertical="center"/>
    </xf>
    <xf numFmtId="0" fontId="64" fillId="0" borderId="0" xfId="0" applyFont="1"/>
    <xf numFmtId="0" fontId="66" fillId="0" borderId="0" xfId="0" applyFont="1" applyAlignment="1">
      <alignment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5" borderId="1" xfId="2" applyFont="1" applyFill="1" applyBorder="1" applyAlignment="1">
      <alignment horizontal="center" vertical="center" wrapText="1"/>
    </xf>
    <xf numFmtId="0" fontId="7" fillId="5" borderId="1" xfId="2" applyFont="1" applyFill="1" applyBorder="1" applyAlignment="1">
      <alignment horizontal="left" vertical="center" wrapText="1"/>
    </xf>
    <xf numFmtId="0" fontId="7" fillId="5" borderId="1" xfId="2" applyFont="1" applyFill="1" applyBorder="1" applyAlignment="1">
      <alignment horizontal="left" vertical="center"/>
    </xf>
    <xf numFmtId="0" fontId="7" fillId="5" borderId="1" xfId="1" applyFont="1" applyFill="1" applyBorder="1" applyAlignment="1">
      <alignment horizontal="center" vertical="center" wrapText="1"/>
    </xf>
    <xf numFmtId="0" fontId="5" fillId="5" borderId="1" xfId="2" applyFont="1" applyFill="1" applyBorder="1" applyAlignment="1">
      <alignment horizontal="center" vertical="center" wrapText="1"/>
    </xf>
  </cellXfs>
  <cellStyles count="10">
    <cellStyle name="Bad" xfId="1" builtinId="27"/>
    <cellStyle name="Hyperlink" xfId="8" builtinId="8"/>
    <cellStyle name="Normal" xfId="0" builtinId="0"/>
    <cellStyle name="Normal 2" xfId="6" xr:uid="{0D62738E-11E4-4EFB-8997-491499E66983}"/>
    <cellStyle name="Normal 3" xfId="2" xr:uid="{2433DA85-494F-4A3B-8E5E-3B55C4421640}"/>
    <cellStyle name="Normal 34" xfId="4" xr:uid="{B912A145-F23C-4226-90B2-8ACA4D7869B1}"/>
    <cellStyle name="Normal 37" xfId="5" xr:uid="{1B1AD5CB-E47D-4BE9-88D4-32A1C3747045}"/>
    <cellStyle name="Normal 4" xfId="3" xr:uid="{A930A98B-1E03-4A93-8A6E-1097ABAE58C3}"/>
    <cellStyle name="Normal 5" xfId="9" xr:uid="{A14D3BD0-2AC1-4B86-A3D5-ACD8C0D061A3}"/>
    <cellStyle name="Normal 58" xfId="7" xr:uid="{BCBD720F-570C-48EA-9F7B-3BD9EB6193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shabnam khezri" id="{5E2A6143-46FB-4B6A-8171-F3055349C48A}" userId="3c3bd9cc54e71eda" providerId="Windows Live"/>
  <person displayName="Claudia Koehler" id="{925F2BC5-5FCC-4F12-A3C1-969F2C154B9B}" userId="64704a02995aef1e" providerId="Windows Live"/>
  <person displayName="Francesco Pasetti" id="{4E759FE9-70D0-4336-8DAF-4E602D1C11E0}" userId="S::fpasetti@cidob.org::4e27d27a-fdaa-472b-9811-818534fe0034" providerId="AD"/>
  <person displayName="Sara Al Khashlok" id="{D8C070AD-AA64-416B-B4AC-7BC0F4412F7D}" userId="S::s.alkhashlok@biicl.org::51ab3ee8-a81d-404c-b065-0c4b75ac392a" providerId="AD"/>
  <person displayName="Shabnamsadat  Khezri" id="{E5028BC3-0C14-453A-A7F9-A84FB2DAF7D2}" userId="S::skhezri@migpolgroup.com::88a04432-059a-4773-ba54-8c66f56f0529" providerId="AD"/>
  <person displayName="Costanza Hippoliti" id="{6A62981A-38DE-4F76-9019-031AF8F55367}" userId="S::chippoliti@migpolgroup.com::3936e9e6-86d5-4e91-9cf6-f01a84fd844c" providerId="AD"/>
  <person displayName="Anna Igranaïssi" id="{FD71F1BC-C5F9-483B-A3C1-39C63A15E90C}" userId="S::aigranaissi@migpolgroup.com::5864627e-4e9b-4106-aea6-601e3fc9b274" providerId="AD"/>
  <person displayName="Marianna Gorgerino" id="{6D8A60F8-C8B1-4056-B77B-B6020991F3B5}" userId="S::m.gorgerino@migpolgroup.com::b4327f6b-76d4-451c-8bb0-084ac10945e1" providerId="AD"/>
  <person displayName="Giedrė Blažytė" id="{F3BB2CD9-01CA-4F3B-BBD7-4A3E933D3484}" userId="S::giedre.blazyte@investlithuania.com::950de1f5-9f05-4a7e-a3a8-a0cb42ed5350" providerId="AD"/>
  <person displayName="Giedre Blazyte" id="{2C4A7473-CD87-4637-BCBD-237448706F72}" userId="S::Giedre@diversitygrouplt.onmicrosoft.com::e739f273-60b1-4750-a2cc-3fe9a6aa7f5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6" dT="2024-06-11T11:16:07.87" personId="{6A62981A-38DE-4F76-9019-031AF8F55367}" id="{35715857-4E7B-4F9F-91B8-001CB0DEEEBE}">
    <text xml:space="preserve">Further checks for 2019 </text>
  </threadedComment>
  <threadedComment ref="W16" dT="2024-06-11T11:19:33.54" personId="{6A62981A-38DE-4F76-9019-031AF8F55367}" id="{1C25DD40-BB31-4939-8BD1-CA78E7F03B48}">
    <text>Plans developed in 2016-19 no longer available</text>
  </threadedComment>
  <threadedComment ref="K42" dT="2024-06-11T11:29:25.61" personId="{6A62981A-38DE-4F76-9019-031AF8F55367}" id="{1AAD9B0A-47C9-441C-8B2C-487043AE3C6F}">
    <text>Clarify the scoring explanation</text>
  </threadedComment>
  <threadedComment ref="Z42" dT="2024-06-11T11:32:22.47" personId="{6A62981A-38DE-4F76-9019-031AF8F55367}" id="{DBAEF83E-D951-4EF1-B469-729D7E8350A0}">
    <text>Clarify scoring explanation (Flanders does have systematic provision)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X75" dT="2024-03-12T14:13:19.74" personId="{E5028BC3-0C14-453A-A7F9-A84FB2DAF7D2}" id="{DDAFA3B8-83DE-4033-98CC-ED689425B83D}">
    <text xml:space="preserve">For me it makes sense to keep the score as 0, and maybe it should have been 0 in the previous evaluation as well. But unsure whether we need to change it now or maybe keep the previous score to reflect the unchanged situation. </text>
  </threadedComment>
  <threadedComment ref="X75" dT="2024-05-08T12:38:26.54" personId="{E5028BC3-0C14-453A-A7F9-A84FB2DAF7D2}" id="{2A5819A0-B847-4CE1-A535-90DE1FF0F6B8}" parentId="{DDAFA3B8-83DE-4033-98CC-ED689425B83D}">
    <text>Thomas' feedback: definitely a zero. Change the previous one as well.</text>
  </threadedComment>
  <threadedComment ref="L99" dT="2024-03-12T14:17:34.77" personId="{E5028BC3-0C14-453A-A7F9-A84FB2DAF7D2}" id="{7A798C25-2131-4ACC-BC80-8BCB414F5BBA}">
    <text>The comments from the previous evaluation are the same as here, yet the score has changed. The new score makes more sense to me since it explicitly mentions that inclusion in the health coverage is unconditional for asylum seekers an paid for by the state. Although I found the actual legal text to be not as clear as this.</text>
  </threadedComment>
  <threadedComment ref="L99" dT="2024-05-08T12:40:14.66" personId="{E5028BC3-0C14-453A-A7F9-A84FB2DAF7D2}" id="{D31FF86D-80F3-4C96-8375-349F52FBF4C9}" parentId="{7A798C25-2131-4ACC-BC80-8BCB414F5BBA}">
    <text>Thomas' feedback: we are not looking at what they have access to, but if they have any requirements to access. Ask the expert if comment from 2014 is still the same. Is completion of registration still a condition for access or can asylum seekers access health care the moment they claim asylum?</text>
  </threadedComment>
</ThreadedComments>
</file>

<file path=xl/threadedComments/threadedComment3.xml><?xml version="1.0" encoding="utf-8"?>
<ThreadedComments xmlns="http://schemas.microsoft.com/office/spreadsheetml/2018/threadedcomments" xmlns:x="http://schemas.openxmlformats.org/spreadsheetml/2006/main">
  <threadedComment ref="AC16" dT="2023-08-08T11:51:28.31" personId="{925F2BC5-5FCC-4F12-A3C1-969F2C154B9B}" id="{5DEE8196-4588-443E-A325-EE9DF7B79D50}">
    <text>Not sure if 100 still applies with these changes?</text>
  </threadedComment>
  <threadedComment ref="AC17" dT="2024-03-29T09:15:54.22" personId="{E5028BC3-0C14-453A-A7F9-A84FB2DAF7D2}" id="{086983AF-0717-48B1-A962-9D9F55AB0928}">
    <text>The comment on the word file is to keep it at '0', did they mean keep it at 100 or change it to 0? 0 doesn't seem justifiable to me in this case.</text>
  </threadedComment>
  <threadedComment ref="AC17" dT="2024-05-24T14:24:04.39" personId="{E5028BC3-0C14-453A-A7F9-A84FB2DAF7D2}" id="{E876B381-7BA9-401B-83E8-570FAE5A62D5}" parentId="{086983AF-0717-48B1-A962-9D9F55AB0928}">
    <text>Confirmed with Expert: keep 100.</text>
  </threadedComment>
  <threadedComment ref="AD18" dT="2024-04-03T14:27:16.22" personId="{5E2A6143-46FB-4B6A-8171-F3055349C48A}" id="{347BB42D-0E7C-4940-B72C-B59B858A73A3}">
    <text>Ask the expert.</text>
  </threadedComment>
  <threadedComment ref="E29" dT="2023-08-09T10:01:09.75" personId="{925F2BC5-5FCC-4F12-A3C1-969F2C154B9B}" id="{E1C5329D-7EB4-48A0-9487-FB46CA9E4445}">
    <text>I am scoring this as 0 because there haven't been any fundamental changes. However, based on the conditions (as explained for 2014, would it not rather be a 50?</text>
  </threadedComment>
  <threadedComment ref="H44" dT="2023-08-10T14:37:11.03" personId="{925F2BC5-5FCC-4F12-A3C1-969F2C154B9B}" id="{C9D65A08-279A-43B1-B883-91BB6C5722EF}">
    <text>Not sure if the new measures justify a 100?</text>
  </threadedComment>
  <threadedComment ref="F71" dT="2023-08-19T10:05:01.18" personId="{925F2BC5-5FCC-4F12-A3C1-969F2C154B9B}" id="{882828A5-8C06-4898-89D0-D8F6FFC82D00}">
    <text>Not sure if this qualifies for a 100? It doesn't apply to all groups of migrants, though.</text>
  </threadedComment>
  <threadedComment ref="F72" dT="2023-08-19T10:05:01.18" personId="{925F2BC5-5FCC-4F12-A3C1-969F2C154B9B}" id="{2CC0DEB8-43C4-45E8-A217-08D4643D03A6}">
    <text>Not sure if this qualifies for a 100? It doesn't apply to all groups of migrants, though.</text>
  </threadedComment>
</ThreadedComments>
</file>

<file path=xl/threadedComments/threadedComment4.xml><?xml version="1.0" encoding="utf-8"?>
<ThreadedComments xmlns="http://schemas.microsoft.com/office/spreadsheetml/2018/threadedcomments" xmlns:x="http://schemas.openxmlformats.org/spreadsheetml/2006/main">
  <threadedComment ref="I20" dT="2024-07-10T11:35:26.44" personId="{E5028BC3-0C14-453A-A7F9-A84FB2DAF7D2}" id="{BE333D3E-80FC-4021-AE2F-A3BEC7B7693D}">
    <text>Please add any information on the legal provisions that allow for this, this would be helpful for our country reports.</text>
  </threadedComment>
</ThreadedComments>
</file>

<file path=xl/threadedComments/threadedComment5.xml><?xml version="1.0" encoding="utf-8"?>
<ThreadedComments xmlns="http://schemas.microsoft.com/office/spreadsheetml/2018/threadedcomments" xmlns:x="http://schemas.openxmlformats.org/spreadsheetml/2006/main">
  <threadedComment ref="AR29" dT="2024-05-16T10:16:35.02" personId="{4E759FE9-70D0-4336-8DAF-4E602D1C11E0}" id="{90EFBD55-2C50-43F0-A77B-49D114B21777}">
    <text>Please, check this interpretation</text>
  </threadedComment>
  <threadedComment ref="AR29" dT="2024-06-19T14:39:23.17" personId="{6A62981A-38DE-4F76-9019-031AF8F55367}" id="{23F4CE16-356D-4DD3-9573-E2366B74192D}" parentId="{90EFBD55-2C50-43F0-A77B-49D114B21777}">
    <text>To ask Thomas</text>
  </threadedComment>
  <threadedComment ref="AR29" dT="2025-02-11T13:48:05.38" personId="{6D8A60F8-C8B1-4056-B77B-B6020991F3B5}" id="{B5A35496-C6AD-47CB-B0DE-422955B4A89E}" parentId="{90EFBD55-2C50-43F0-A77B-49D114B21777}">
    <text>Thomas agreed on 0. And backscore to 0 the previous evaluation</text>
  </threadedComment>
  <threadedComment ref="AR30" dT="2024-05-16T10:16:35.02" personId="{4E759FE9-70D0-4336-8DAF-4E602D1C11E0}" id="{B63A029E-51D8-4750-909A-5D0D95921626}">
    <text>Please, check this interpretation</text>
  </threadedComment>
  <threadedComment ref="AR31" dT="2024-05-16T10:16:35.02" personId="{4E759FE9-70D0-4336-8DAF-4E602D1C11E0}" id="{405B482F-EBB3-4FE7-BD90-C924655BFB4B}">
    <text>Please, check this interpretation</text>
  </threadedComment>
  <threadedComment ref="AR32" dT="2024-05-16T10:16:35.02" personId="{4E759FE9-70D0-4336-8DAF-4E602D1C11E0}" id="{96C00261-EE79-4295-89C8-B900FBCBD9CB}">
    <text>Please, check this interpretation</text>
  </threadedComment>
  <threadedComment ref="AR33" dT="2024-05-16T10:16:35.02" personId="{4E759FE9-70D0-4336-8DAF-4E602D1C11E0}" id="{75D86FE6-BDB5-4B83-A1B2-D9B49A7AA1F6}">
    <text>Please, check this interpretation</text>
  </threadedComment>
  <threadedComment ref="AG107" dT="2024-06-19T15:23:36.76" personId="{6A62981A-38DE-4F76-9019-031AF8F55367}" id="{32B64445-233E-439B-9329-53BA301C480A}">
    <text>Participation in research is very limited - specify this in the comment</text>
  </threadedComment>
</ThreadedComments>
</file>

<file path=xl/threadedComments/threadedComment6.xml><?xml version="1.0" encoding="utf-8"?>
<ThreadedComments xmlns="http://schemas.microsoft.com/office/spreadsheetml/2018/threadedcomments" xmlns:x="http://schemas.openxmlformats.org/spreadsheetml/2006/main">
  <threadedComment ref="N18" dT="2024-04-03T10:38:58.22" personId="{5E2A6143-46FB-4B6A-8171-F3055349C48A}" id="{661606BA-C017-4E0E-84D8-D10A3E844C0D}">
    <text xml:space="preserve">Discuss with Basak or ask Thomas.
Score change from 50 to 0. 
Comment in the word file: We do not have a permanent residence status we have a long term residence. It is very discretionary. It can be 50 it can be 0. Maybe we marked more generously because there was a statement before but now this is the state. </text>
  </threadedComment>
  <threadedComment ref="N18" dT="2024-05-08T12:44:06.20" personId="{E5028BC3-0C14-453A-A7F9-A84FB2DAF7D2}" id="{344C98CD-AA74-4963-BDD8-E382893C86F7}" parentId="{661606BA-C017-4E0E-84D8-D10A3E844C0D}">
    <text>Thomas' feedback: no legislation change. Keep the score as 50</text>
  </threadedComment>
  <threadedComment ref="AA18" dT="2024-04-03T10:42:03.83" personId="{5E2A6143-46FB-4B6A-8171-F3055349C48A}" id="{B86FFE94-9FFF-4B13-B496-77B1F3AB01AF}">
    <text xml:space="preserve">Score change 0 to 50. The change does not seem to be addressed at migrant women specifically, I would consider keeping it at 0.	</text>
  </threadedComment>
  <threadedComment ref="AA18" dT="2024-05-08T12:45:01.63" personId="{E5028BC3-0C14-453A-A7F9-A84FB2DAF7D2}" id="{2365C8B6-30C4-45EC-B93E-B00624312566}" parentId="{B86FFE94-9FFF-4B13-B496-77B1F3AB01AF}">
    <text>Thomas' feedback: just because they removed some restrictions does not mean these are targeted measures. Keep 0.</text>
  </threadedComment>
  <threadedComment ref="L42" dT="2024-04-03T12:05:32.29" personId="{5E2A6143-46FB-4B6A-8171-F3055349C48A}" id="{4F42359D-8588-44A2-AB9F-CB8AC0BAEA4A}">
    <text>Score change from 50 to 0. it seems that the available information and guidance mentioned in the previous evaluation are only available in English and Gaeilge, and not migrant languages of origin. This might be the reason for the different interpretation since the situation and legislation seem unchanged? Or is the info mentioned in the previous evaluation just no longer available? Ask Thomas.</text>
  </threadedComment>
  <threadedComment ref="L42" dT="2024-04-03T12:09:31.75" personId="{5E2A6143-46FB-4B6A-8171-F3055349C48A}" id="{F082EB7C-F2E6-43B6-AFD7-F7586C3A5344}" parentId="{4F42359D-8588-44A2-AB9F-CB8AC0BAEA4A}">
    <text>http://www.education.ie/en/Parents/Information/A-Guide-to-the-Irish-Education-System.pdf</text>
    <extLst>
      <x:ext xmlns:xltc2="http://schemas.microsoft.com/office/spreadsheetml/2020/threadedcomments2" uri="{F7C98A9C-CBB3-438F-8F68-D28B6AF4A901}">
        <xltc2:checksum>1749624519</xltc2:checksum>
        <xltc2:hyperlink startIndex="0" length="88" url="http://www.education.ie/en/Parents/Information/A-Guide-to-the-Irish-Education-System.pdf"/>
      </x:ext>
    </extLst>
  </threadedComment>
  <threadedComment ref="L42" dT="2024-05-08T12:47:26.19" personId="{E5028BC3-0C14-453A-A7F9-A84FB2DAF7D2}" id="{B187257E-9D78-4355-BE48-87D5CC8CEBAA}" parentId="{4F42359D-8588-44A2-AB9F-CB8AC0BAEA4A}">
    <text>Thomas' feedback: As of September 2021 the translations are not available on the government website mentioned in the comments of previous evaluation. So the score is reduced to 0 from 2022 onwards.</text>
  </threadedComment>
</ThreadedComments>
</file>

<file path=xl/threadedComments/threadedComment7.xml><?xml version="1.0" encoding="utf-8"?>
<ThreadedComments xmlns="http://schemas.microsoft.com/office/spreadsheetml/2018/threadedcomments" xmlns:x="http://schemas.openxmlformats.org/spreadsheetml/2006/main">
  <threadedComment ref="T99" dT="2024-08-19T14:40:25.39" personId="{FD71F1BC-C5F9-483B-A3C1-39C63A15E90C}" id="{8AD8C270-4806-48B9-9CC4-84D4191EB4DD}">
    <text>BASAK : ''We settled on 50 because the expert comments indicate some discretion but because emergency care is provided, decided on a score of 50''</text>
  </threadedComment>
</ThreadedComments>
</file>

<file path=xl/threadedComments/threadedComment8.xml><?xml version="1.0" encoding="utf-8"?>
<ThreadedComments xmlns="http://schemas.microsoft.com/office/spreadsheetml/2018/threadedcomments" xmlns:x="http://schemas.openxmlformats.org/spreadsheetml/2006/main">
  <threadedComment ref="W11" dT="2023-08-10T09:08:52.77" personId="{2C4A7473-CD87-4637-BCBD-237448706F72}" id="{BA7B83B6-C4F3-4307-92FF-8F7B380A22A0}">
    <text>Reikia peržiūrėti strateginius dokumentus, galbūt būtų galima paminėti International House Vilnius (bet iš principo turbūt vis tiek bus 0)</text>
  </threadedComment>
  <threadedComment ref="F39" dT="2023-12-08T14:16:51.77" personId="{F3BB2CD9-01CA-4F3B-BBD7-4A3E933D3484}" id="{ACC70F9A-E5D9-4D59-9909-BB5B411B9152}">
    <text>I am still not sure which option I should choose. According to the Law migrants are eligible both to (a) and (b) options. The requirement is to hold temporary or permanent residence permit. 
P.S. I don't see any changes of the Law on Education since previous MIPEX</text>
  </threadedComment>
  <threadedComment ref="Q95" dT="2023-12-08T14:45:11.25" personId="{F3BB2CD9-01CA-4F3B-BBD7-4A3E933D3484}" id="{D8D3C5C7-60C1-4F91-B7BF-BEBC364DA717}">
    <text xml:space="preserve">here I am trying to understand whether asylum seekers and undocumented migrants deserve the same score. From the previous evaluation comment to 146a I understand that there is no legislation on healthcare for asylum seekers and undocumented migrants. // Both undocumented migrants and asylum seekers can be scored the same. The eligibility to healthcare for these group of migrants are foreseen under the Law on Legal Status of Aliens. </text>
  </threadedComment>
</ThreadedComments>
</file>

<file path=xl/threadedComments/threadedComment9.xml><?xml version="1.0" encoding="utf-8"?>
<ThreadedComments xmlns="http://schemas.microsoft.com/office/spreadsheetml/2018/threadedcomments" xmlns:x="http://schemas.openxmlformats.org/spreadsheetml/2006/main">
  <threadedComment ref="U16" dT="2024-05-13T08:39:51.09" personId="{6A62981A-38DE-4F76-9019-031AF8F55367}" id="{C58F925A-8AA4-4CC6-AD45-9F2BB223C424}">
    <text>From 50 to 0</text>
  </threadedComment>
  <threadedComment ref="AR29" dT="2024-05-13T09:30:12.09" personId="{6A62981A-38DE-4F76-9019-031AF8F55367}" id="{09F61DB5-573C-42CB-9056-13C705E86465}">
    <text>No change in the score</text>
  </threadedComment>
  <threadedComment ref="W94" dT="2024-05-14T08:27:43.99" personId="{6A62981A-38DE-4F76-9019-031AF8F55367}" id="{4DBF4DFF-7D5C-40C8-8F52-7F3B309E22E5}">
    <text>HIGHLIGHTED in yellow not because 75 is not ok (checked with the expert, it is) but because we have to change the previous MIPEX scores into 75</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4-10-31T15:07:16.60" personId="{D8C070AD-AA64-416B-B4AC-7BC0F4412F7D}" id="{4E928A95-C369-48E0-BF41-159645CD17D0}">
    <text>Changes: column "Economic integration measures of TCNs, and targeted measures for young and female migrants</text>
  </threadedComment>
  <threadedComment ref="H77" dT="2024-10-31T15:24:19.59" personId="{D8C070AD-AA64-416B-B4AC-7BC0F4412F7D}" id="{B6D37921-888D-4FDF-873A-7648A4BC4DB8}">
    <text>before this section was "brithright and second generation"</text>
  </threadedComment>
  <threadedComment ref="Q77" dT="2024-10-31T15:25:56.82" personId="{D8C070AD-AA64-416B-B4AC-7BC0F4412F7D}" id="{7AF0D40D-0D0C-4F5E-8087-4629E91FE1DC}">
    <text>before was "naturalisation integration form" so maybe data pasted does not correspond?</text>
  </threadedComment>
</ThreadedComments>
</file>

<file path=xl/threadedComments/threadedComment11.xml><?xml version="1.0" encoding="utf-8"?>
<ThreadedComments xmlns="http://schemas.microsoft.com/office/spreadsheetml/2018/threadedcomments" xmlns:x="http://schemas.openxmlformats.org/spreadsheetml/2006/main">
  <threadedComment ref="AV33" dT="2024-07-10T09:31:29.54" personId="{6A62981A-38DE-4F76-9019-031AF8F55367}" id="{8985BB86-6E1B-44E1-A195-B05BF2DFFF6F}">
    <text>Rescore the previous wave</text>
  </threadedComment>
  <threadedComment ref="AJ46" dT="2024-07-10T09:57:07.76" personId="{6A62981A-38DE-4F76-9019-031AF8F55367}" id="{A70977F4-BE2E-445F-8E5B-69CAB753D901}">
    <text>Mention this progress in the country report</text>
  </threadedComment>
</ThreadedComments>
</file>

<file path=xl/threadedComments/threadedComment12.xml><?xml version="1.0" encoding="utf-8"?>
<ThreadedComments xmlns="http://schemas.microsoft.com/office/spreadsheetml/2018/threadedcomments" xmlns:x="http://schemas.openxmlformats.org/spreadsheetml/2006/main">
  <threadedComment ref="R64" dT="2024-03-29T08:30:09.95" personId="{E5028BC3-0C14-453A-A7F9-A84FB2DAF7D2}" id="{F826182C-C0E2-439C-9C79-9DDF09EF0186}">
    <text>Comment from previous year: applicant still has to show prove of accommodation. 
Yet the score was 100. I think this should have been a 50 in the previous MIPEX as well, since there is still an application and criteria to be met, even if it is only one document.</text>
  </threadedComment>
  <threadedComment ref="R101" dT="2024-03-14T16:57:01.76" personId="{E5028BC3-0C14-453A-A7F9-A84FB2DAF7D2}" id="{563EF7E7-383B-4251-B50B-FD1B1EE1A8EB}">
    <text>In this case, with the logic of emergency medical assistance is 'A form of health care', shouldn't the score be 100 as in the case of Austria?
The comment in the word file only mentions that we accept the change to 50, because it is well justified.</text>
  </threadedComment>
  <threadedComment ref="AG102" dT="2024-04-03T15:05:22.18" personId="{5E2A6143-46FB-4B6A-8171-F3055349C48A}" id="{64AB2F3E-283F-4F78-AD5B-08543344E703}">
    <text>Ask Thomas.</text>
  </threadedComment>
</ThreadedComments>
</file>

<file path=xl/threadedComments/threadedComment13.xml><?xml version="1.0" encoding="utf-8"?>
<ThreadedComments xmlns="http://schemas.microsoft.com/office/spreadsheetml/2018/threadedcomments" xmlns:x="http://schemas.openxmlformats.org/spreadsheetml/2006/main">
  <threadedComment ref="U15" dT="2024-04-03T08:13:44.48" personId="{5E2A6143-46FB-4B6A-8171-F3055349C48A}" id="{4B07AEC7-1FD0-4FC1-926C-EB95591A4D01}">
    <text xml:space="preserve">Scire change from 50 to 100. not clear if the score has changed because of legislative change or new interpretation. Expert will readdress as she does not recall how it was scored in the first place. </text>
  </threadedComment>
  <threadedComment ref="U16" dT="2024-04-04T09:00:50.62" personId="{E5028BC3-0C14-453A-A7F9-A84FB2DAF7D2}" id="{BD483665-732D-413D-AEB4-1EA8C07E18FB}">
    <text>They mention that the process of recognition of diplomas for regulated professions depends on the country where the diploma was obtained, not the nationality of the person. For unregulated professions (such as waiter, baker, etc) there is no need for a diploma and hence no need for recognition. Yet, for some professions such as architects or state vets, TCNs can be limited to work due to their citizenship and for instance TCN architects cannot register at the chamber of architects. They believe the number of professions where such issues can occur is insignificant but they don't have any data on this.
In my opinion this can be an example of diplomas in certain fields not being fully recognized due to citizenship, and 100 does not seem justified to me.</text>
  </threadedComment>
  <threadedComment ref="U16" dT="2024-04-04T09:05:01.08" personId="{E5028BC3-0C14-453A-A7F9-A84FB2DAF7D2}" id="{EC0AE2AD-6945-4650-89C6-1F063EB63E57}" parentId="{BD483665-732D-413D-AEB4-1EA8C07E18FB}">
    <text>Comment by the expert in the word file: 100, and revise previous score. In my view this relates to the right to equal treatment in the recognition of academic qualifications not to whether or not they are required for work permit or residence.</text>
  </threadedComment>
  <threadedComment ref="AA27" dT="2024-05-10T10:26:59.57" personId="{E5028BC3-0C14-453A-A7F9-A84FB2DAF7D2}" id="{FB627AED-EE56-4DC8-84FC-312C6513DFB5}">
    <text>From the answer options for bb29: score 100 - bb29a=100
And in the description for 29a it is stated that: (if no requirement, skip to question bb30b31)
the expert has not responded to these as is stated in the form and this will not make a difference in the final score.</text>
  </threadedComment>
  <threadedComment ref="AD27" dT="2024-05-10T10:27:45.43" personId="{E5028BC3-0C14-453A-A7F9-A84FB2DAF7D2}" id="{0733D2C6-F05E-43CC-A3B9-5A7C6EB4846E}">
    <text>Same as before.</text>
  </threadedComment>
  <threadedComment ref="AY27" dT="2024-04-19T09:22:21.63" personId="{E5028BC3-0C14-453A-A7F9-A84FB2DAF7D2}" id="{FA741DD6-3FA3-4FB9-B9E0-55565D9BEF28}">
    <text>Decision: Score is 0. for some groups there are certain conditions to be met.</text>
  </threadedComment>
  <threadedComment ref="AM30" dT="2024-04-04T09:39:45.72" personId="{E5028BC3-0C14-453A-A7F9-A84FB2DAF7D2}" id="{C6746535-F0D9-455E-82C3-443D16719D6F}">
    <text>Score change from 0 to 50, even though the expert says they had scored 50 in the previous evaluation as well. The law has not changed. 
Comments:
“Appropriate accommodation meeting the general health and safety standards has to be documented. At the same time the family member must prove that he or she is living with the sponsor.” 
In my opinion relevant legislation only requires general health and safety standards, which is aimed at protecting applicants from inhumane conditions (basically, but ofc can serve as a reason to reject). 
Duration of rental contract (6 months) is not so important, because it seems this condition only impacts the length of validity of the "ID card" (Art 73). Prolonged with a new rental.</text>
  </threadedComment>
  <threadedComment ref="AM30" dT="2024-04-04T12:10:29.40" personId="{E5028BC3-0C14-453A-A7F9-A84FB2DAF7D2}" id="{1FB8994B-216B-43E5-A177-4A140884F681}" parentId="{C6746535-F0D9-455E-82C3-443D16719D6F}">
    <text xml:space="preserve">Follow-up comment by the expert: I would keep the score bb30 at 50.
In my opinion relevant legislation only requires general health and safety standards, 
which is aimed at protecting applicants from inhumane conditions. 
Perhaps duration of rental contract (6 months) is not so important
in this case, because such a condition only impacts the length of validity of the "ID card" (Art 73).
</text>
  </threadedComment>
  <threadedComment ref="R39" dT="2024-04-03T09:27:56.64" personId="{5E2A6143-46FB-4B6A-8171-F3055349C48A}" id="{615A6852-AFF6-4E34-A7C8-79509CB07CCA}">
    <text>Score change from o to 50. The comment on the word file says that expert will look at when exactly the change has happened in the law to determine whether it is a new legislation of a different interpretation, and if we should change the previous score. From the link in the comment below the legislation that is mentioned seems to be from 2003 and 2008, so I think only the interpretation might have been different in the previous evaluation.</text>
  </threadedComment>
  <threadedComment ref="R39" dT="2024-04-04T12:18:23.25" personId="{E5028BC3-0C14-453A-A7F9-A84FB2DAF7D2}" id="{A3AF602F-EC20-4357-A247-64339283ADD9}" parentId="{615A6852-AFF6-4E34-A7C8-79509CB07CCA}">
    <text>The follow-up comment says that even though there was a legal provision beore there has been improvement in implementation since 2021, which can explain the score change only for 2021 onwards.
Complete comment by the expert: I would not rescore it, despite the fact that there was a legal provision, there was a Curricular reform after 2021. Before it was only implemented on an ad hoc basis (as far as I understand opinions of previous experts) because the regulations and methodological tools were missing. A lot of guidelines has been adopted between 2021 and 2023 (majority in 23).</text>
  </threadedComment>
  <threadedComment ref="R40" dT="2024-04-19T09:41:43.23" personId="{E5028BC3-0C14-453A-A7F9-A84FB2DAF7D2}" id="{38325D3C-8DB8-471B-A095-2F52C3C7FC6E}">
    <text>futher comments by expert: There was a provision in the law before, but it was not implemented. Curriculum for the basic and extension language course of the state language for children of foreigners and Methodological recommendations for teaching the Slovak language in the basic and extension language course of the state language for children of foreigners have been issued only as a recommendation. In the end of 2019 Ministry prepared implementation manual: “Organising and financing state language courses for children of foreigners in 2023.
According to an expert from NIVAM The Recovery and Resilience Plan of the Slovak Republic has been developed and approved on the basis of the criteria of Regulation (EU) 2021/241 of the European Parliament and of the Council of 12 February 2021 establishing a mechanism to support recovery and resilience. One of the priorities of the reform is to improve educational outcomes and better teacher training / Raising the quality of Slovak pupils and students above the OECD average / Strengthening the inclusion of socially and physically disadvantaged children in education will contribute significantly to their successful integration into society and the labour market.</text>
  </threadedComment>
  <threadedComment ref="X42" dT="2024-04-03T09:42:09.95" personId="{5E2A6143-46FB-4B6A-8171-F3055349C48A}" id="{413AF04C-F6A0-4079-8C4D-1639F4B29A7A}">
    <text>I think this should probably be a 0. the expert still needs to confirm their final answer after consultation with colleagues.</text>
  </threadedComment>
  <threadedComment ref="X42" dT="2024-04-04T12:43:00.52" personId="{E5028BC3-0C14-453A-A7F9-A84FB2DAF7D2}" id="{64C03E11-E757-497E-946F-5C89FCF0089A}" parentId="{413AF04C-F6A0-4079-8C4D-1639F4B29A7A}">
    <text>expert has suggested to change the score for 2023 to 50.</text>
  </threadedComment>
  <threadedComment ref="X42" dT="2024-04-19T09:24:16.61" personId="{E5028BC3-0C14-453A-A7F9-A84FB2DAF7D2}" id="{4AB9E6FE-E77D-412B-A5FF-28E6B7419827}" parentId="{413AF04C-F6A0-4079-8C4D-1639F4B29A7A}">
    <text>Decision: scored 0 because there are suggested measures, not monitored or anything else.</text>
  </threadedComment>
  <threadedComment ref="F54" dT="2024-04-03T09:59:13.56" personId="{5E2A6143-46FB-4B6A-8171-F3055349C48A}" id="{3D5A7FA2-03BE-40BE-B272-8A2C7DF252CB}">
    <text>We have checked this with Thomas before, but comments on the handwritten notes are unclear.</text>
  </threadedComment>
  <threadedComment ref="F63" dT="2024-04-03T10:02:37.17" personId="{5E2A6143-46FB-4B6A-8171-F3055349C48A}" id="{00090DE9-441C-4784-BE1E-8E1F2328B17C}">
    <text>score consistent with previous evaluation, yet many categories who are not allowed to apply – probably fine but could potentially be checked with Thomas.</text>
  </threadedComment>
  <threadedComment ref="F63" dT="2024-04-04T13:00:25.54" personId="{E5028BC3-0C14-453A-A7F9-A84FB2DAF7D2}" id="{0DA05EF3-6F8A-483D-A664-6428E397E389}" parentId="{00090DE9-441C-4784-BE1E-8E1F2328B17C}">
    <text>Comment by expert: Please see updated comment in the chart. 
Which chart? Did they share a new excel file?</text>
  </threadedComment>
  <threadedComment ref="U63" dT="2024-04-04T13:04:37.89" personId="{E5028BC3-0C14-453A-A7F9-A84FB2DAF7D2}" id="{7A95E80D-A9BF-454D-9E69-58DC496295D3}">
    <text xml:space="preserve">Double check with Basak to make sure the comment from Thomas' handwritten feedback was to score 0.
</text>
  </threadedComment>
  <threadedComment ref="Z102" dT="2024-05-15T13:16:08.31" personId="{E5028BC3-0C14-453A-A7F9-A84FB2DAF7D2}" id="{F0923FD2-34C7-44D9-BE39-EF3163ADA6AB}" done="1">
    <text xml:space="preserve">Following  a similar thing we did for Bulgaria (although in citizenship - fb107), I think we need to rescore these for the previous scores as well. I looked at the links and it seems like this has never been the case. The previous expert has written a, b, and c, but the link they have provided does not include undocumented migrants. </text>
  </threadedComment>
  <threadedComment ref="Z102" dT="2024-05-21T14:57:14.04" personId="{E5028BC3-0C14-453A-A7F9-A84FB2DAF7D2}" id="{95B96B22-60CB-4A22-A4EA-886F6B5163F7}" parentId="{F0923FD2-34C7-44D9-BE39-EF3163ADA6AB}">
    <text>We decided to rescore the previous evaluation.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kotoutuminen.fi/en/understanding-and-interpretation" TargetMode="External"/><Relationship Id="rId1" Type="http://schemas.openxmlformats.org/officeDocument/2006/relationships/hyperlink" Target="https://www.oph.fi/fi/usein-kysyttya?keyword=s2"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unml.info/actualites/nos-actualites/laccord-cadre-entre-letat-lofii-et-les-acteurs-du-spe-en-faveur-de-linsertion-professionnelle-des-etrangers-primo-arrivants-est-signe/" TargetMode="External"/><Relationship Id="rId1" Type="http://schemas.openxmlformats.org/officeDocument/2006/relationships/hyperlink" Target="https://www.legifrance.gouv.fr/codes/article_lc/LEGIARTI000006335106"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migration.gov.gr/en/ace/"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6.bin"/><Relationship Id="rId4" Type="http://schemas.microsoft.com/office/2017/10/relationships/threadedComment" Target="../threadedComments/threadedComment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7.bin"/><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8.bin"/><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9.bin"/><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1.bin"/><Relationship Id="rId4" Type="http://schemas.microsoft.com/office/2017/10/relationships/threadedComment" Target="../threadedComments/threadedComment10.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3.bin"/><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5.bin"/><Relationship Id="rId4" Type="http://schemas.microsoft.com/office/2017/10/relationships/threadedComment" Target="../threadedComments/threadedComment12.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6.bin"/><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ww.do.se/choose-language/english" TargetMode="External"/><Relationship Id="rId1" Type="http://schemas.openxmlformats.org/officeDocument/2006/relationships/hyperlink" Target="https://www.do.se/choose-language/english"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pisrs.si/pregledPredpisa?id=ZAKO66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B215-071B-49B0-B670-6AD9E3D65464}">
  <dimension ref="A1:BB102"/>
  <sheetViews>
    <sheetView zoomScale="70" zoomScaleNormal="70" workbookViewId="0">
      <selection activeCell="E12" sqref="E12:F12"/>
    </sheetView>
  </sheetViews>
  <sheetFormatPr defaultColWidth="8.81640625" defaultRowHeight="15" customHeight="1"/>
  <cols>
    <col min="1" max="1" width="17.453125" style="1" customWidth="1"/>
    <col min="2" max="2" width="13.453125" style="1" customWidth="1"/>
    <col min="3" max="3" width="23.08984375" style="1" customWidth="1"/>
    <col min="4" max="4" width="20"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81640625" style="1"/>
  </cols>
  <sheetData>
    <row r="1" spans="1:36" ht="24.75" customHeight="1">
      <c r="A1" s="323" t="s">
        <v>0</v>
      </c>
      <c r="B1" s="323"/>
      <c r="C1" s="323"/>
      <c r="D1" s="323"/>
    </row>
    <row r="2" spans="1:36" ht="24.75" customHeight="1">
      <c r="A2" s="2" t="s">
        <v>1</v>
      </c>
      <c r="B2" s="2" t="s">
        <v>2</v>
      </c>
      <c r="C2" s="2" t="s">
        <v>3</v>
      </c>
      <c r="D2" s="2" t="s">
        <v>4</v>
      </c>
    </row>
    <row r="3" spans="1:36" ht="24.75" customHeight="1">
      <c r="A3" s="3">
        <v>2020</v>
      </c>
      <c r="B3" s="4">
        <f>AVERAGE(B15,B27,B39,B51,B63,B75,B87,B99)</f>
        <v>45.904265873015873</v>
      </c>
      <c r="C3" s="4">
        <f>AVERAGE(B15,B27,B39,B51,B63,B75,B87)</f>
        <v>40.84892290249433</v>
      </c>
      <c r="D3" s="4">
        <f>AVERAGE(B15,B27,B51,B63,B75,B87)</f>
        <v>38.530092592592588</v>
      </c>
    </row>
    <row r="4" spans="1:36" ht="24.75" customHeight="1">
      <c r="A4" s="3">
        <v>2021</v>
      </c>
      <c r="B4" s="4">
        <f>AVERAGE(B16,B28,B40,B52,B64,B76,B88,B100)</f>
        <v>46.797123015873019</v>
      </c>
      <c r="C4" s="4">
        <f>AVERAGE(B16,B28,B40,B52,B64,B76,B88)</f>
        <v>41.869331065759638</v>
      </c>
      <c r="D4" s="4">
        <f>AVERAGE(B16,B28,B52,B64,B76,B88)</f>
        <v>38.530092592592588</v>
      </c>
    </row>
    <row r="5" spans="1:36" ht="24.75" customHeight="1">
      <c r="A5" s="3">
        <v>2022</v>
      </c>
      <c r="B5" s="4">
        <f>AVERAGE(B17,B29,B41,B53,B65,B77,B89,B101)</f>
        <v>47.09474206349207</v>
      </c>
      <c r="C5" s="4">
        <f>AVERAGE(B17,B29,B41,B53,B65,B77,B89)</f>
        <v>42.209467120181408</v>
      </c>
      <c r="D5" s="4">
        <f>AVERAGE(B17,B29,B53,B65,B77,B89)</f>
        <v>38.530092592592588</v>
      </c>
    </row>
    <row r="6" spans="1:36" ht="24.75" customHeight="1">
      <c r="A6" s="3">
        <v>2023</v>
      </c>
      <c r="B6" s="4">
        <f>AVERAGE(B18,B30,B42,B54,B66,B78,B90,B102)</f>
        <v>47.09474206349207</v>
      </c>
      <c r="C6" s="4">
        <f>AVERAGE(B18,B30,B42,B54,B66,B78,B90)</f>
        <v>42.209467120181408</v>
      </c>
      <c r="D6" s="4">
        <f>AVERAGE(B18,B30,B54,B66,B78,B90)</f>
        <v>38.530092592592588</v>
      </c>
    </row>
    <row r="7" spans="1:36" ht="24.75" customHeight="1"/>
    <row r="8" spans="1:36"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36"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36"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36"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0" t="s">
        <v>26</v>
      </c>
      <c r="U11" s="320"/>
      <c r="V11" s="11" t="s">
        <v>19</v>
      </c>
      <c r="W11" s="308" t="s">
        <v>27</v>
      </c>
      <c r="X11" s="308"/>
      <c r="Y11" s="11" t="s">
        <v>19</v>
      </c>
      <c r="Z11" s="308" t="s">
        <v>28</v>
      </c>
      <c r="AA11" s="308"/>
      <c r="AB11" s="7" t="s">
        <v>19</v>
      </c>
      <c r="AC11" s="322" t="s">
        <v>29</v>
      </c>
      <c r="AD11" s="322"/>
    </row>
    <row r="12" spans="1:36"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21" t="s">
        <v>37</v>
      </c>
      <c r="U12" s="321"/>
      <c r="V12" s="11" t="s">
        <v>30</v>
      </c>
      <c r="W12" s="309" t="s">
        <v>38</v>
      </c>
      <c r="X12" s="309"/>
      <c r="Y12" s="11" t="s">
        <v>30</v>
      </c>
      <c r="Z12" s="309" t="s">
        <v>39</v>
      </c>
      <c r="AA12" s="309"/>
      <c r="AB12" s="7" t="s">
        <v>30</v>
      </c>
      <c r="AC12" s="310" t="s">
        <v>40</v>
      </c>
      <c r="AD12" s="310"/>
    </row>
    <row r="13" spans="1:36"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0" t="s">
        <v>48</v>
      </c>
      <c r="U13" s="321"/>
      <c r="V13" s="11" t="s">
        <v>41</v>
      </c>
      <c r="W13" s="309" t="s">
        <v>49</v>
      </c>
      <c r="X13" s="309"/>
      <c r="Y13" s="11" t="s">
        <v>41</v>
      </c>
      <c r="Z13" s="309" t="s">
        <v>50</v>
      </c>
      <c r="AA13" s="309"/>
      <c r="AB13" s="7" t="s">
        <v>41</v>
      </c>
      <c r="AC13" s="310" t="s">
        <v>51</v>
      </c>
      <c r="AD13" s="310"/>
    </row>
    <row r="14" spans="1:36"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13" t="s">
        <v>54</v>
      </c>
      <c r="U14" s="13" t="s">
        <v>53</v>
      </c>
      <c r="V14" s="7"/>
      <c r="W14" s="7" t="s">
        <v>52</v>
      </c>
      <c r="X14" s="7" t="s">
        <v>53</v>
      </c>
      <c r="Y14" s="7" t="s">
        <v>1</v>
      </c>
      <c r="Z14" s="7" t="s">
        <v>52</v>
      </c>
      <c r="AA14" s="7" t="s">
        <v>53</v>
      </c>
      <c r="AB14" s="7" t="s">
        <v>1</v>
      </c>
      <c r="AC14" s="7" t="s">
        <v>52</v>
      </c>
      <c r="AD14" s="7" t="s">
        <v>53</v>
      </c>
    </row>
    <row r="15" spans="1:36" ht="24.75" customHeight="1">
      <c r="A15" s="7">
        <v>2020</v>
      </c>
      <c r="B15" s="15">
        <f t="shared" ref="B15:B18" si="0">AVERAGE(E15, H15,K15,N15,Q15,T15,W15,Z15,AC15)</f>
        <v>59.222222222222221</v>
      </c>
      <c r="C15" s="16"/>
      <c r="D15" s="7">
        <v>2020</v>
      </c>
      <c r="E15" s="14">
        <v>50</v>
      </c>
      <c r="F15" s="17"/>
      <c r="G15" s="7">
        <v>2020</v>
      </c>
      <c r="H15" s="14">
        <v>50</v>
      </c>
      <c r="I15" s="17"/>
      <c r="J15" s="7">
        <v>2020</v>
      </c>
      <c r="K15" s="14">
        <v>50</v>
      </c>
      <c r="L15" s="17"/>
      <c r="M15" s="7">
        <v>2020</v>
      </c>
      <c r="N15" s="14">
        <v>100</v>
      </c>
      <c r="O15" s="17"/>
      <c r="P15" s="7">
        <v>2020</v>
      </c>
      <c r="Q15" s="14">
        <v>33</v>
      </c>
      <c r="R15" s="17"/>
      <c r="S15" s="7">
        <v>2020</v>
      </c>
      <c r="T15" s="18">
        <v>50</v>
      </c>
      <c r="U15" s="19" t="s">
        <v>1988</v>
      </c>
      <c r="V15" s="7">
        <v>2020</v>
      </c>
      <c r="W15" s="14">
        <v>50</v>
      </c>
      <c r="X15" s="20" t="s">
        <v>55</v>
      </c>
      <c r="Y15" s="7">
        <v>2020</v>
      </c>
      <c r="Z15" s="14">
        <v>100</v>
      </c>
      <c r="AA15" s="17"/>
      <c r="AB15" s="7">
        <v>2020</v>
      </c>
      <c r="AC15" s="21">
        <v>50</v>
      </c>
      <c r="AD15" s="22" t="s">
        <v>56</v>
      </c>
    </row>
    <row r="16" spans="1:36" ht="24.75" customHeight="1">
      <c r="A16" s="7">
        <v>2021</v>
      </c>
      <c r="B16" s="15">
        <f t="shared" si="0"/>
        <v>59.222222222222221</v>
      </c>
      <c r="C16" s="16"/>
      <c r="D16" s="7">
        <v>2021</v>
      </c>
      <c r="E16" s="14">
        <v>50</v>
      </c>
      <c r="F16" s="17"/>
      <c r="G16" s="7">
        <v>2021</v>
      </c>
      <c r="H16" s="14">
        <v>50</v>
      </c>
      <c r="I16" s="17"/>
      <c r="J16" s="7">
        <v>2021</v>
      </c>
      <c r="K16" s="14">
        <v>50</v>
      </c>
      <c r="L16" s="17"/>
      <c r="M16" s="7">
        <v>2021</v>
      </c>
      <c r="N16" s="14">
        <v>100</v>
      </c>
      <c r="O16" s="17"/>
      <c r="P16" s="7">
        <v>2021</v>
      </c>
      <c r="Q16" s="14">
        <v>33</v>
      </c>
      <c r="R16" s="17"/>
      <c r="S16" s="7">
        <v>2021</v>
      </c>
      <c r="T16" s="18">
        <v>50</v>
      </c>
      <c r="U16" s="19"/>
      <c r="V16" s="7">
        <v>2021</v>
      </c>
      <c r="W16" s="14">
        <v>50</v>
      </c>
      <c r="X16" s="17"/>
      <c r="Y16" s="7">
        <v>2021</v>
      </c>
      <c r="Z16" s="14">
        <v>100</v>
      </c>
      <c r="AA16" s="17"/>
      <c r="AB16" s="7">
        <v>2021</v>
      </c>
      <c r="AC16" s="21">
        <v>50</v>
      </c>
      <c r="AD16" s="23"/>
    </row>
    <row r="17" spans="1:51" ht="24.75" customHeight="1">
      <c r="A17" s="7">
        <v>2022</v>
      </c>
      <c r="B17" s="15">
        <f t="shared" si="0"/>
        <v>59.222222222222221</v>
      </c>
      <c r="C17" s="16"/>
      <c r="D17" s="7">
        <v>2022</v>
      </c>
      <c r="E17" s="14">
        <v>50</v>
      </c>
      <c r="F17" s="17"/>
      <c r="G17" s="7">
        <v>2022</v>
      </c>
      <c r="H17" s="14">
        <v>50</v>
      </c>
      <c r="I17" s="17"/>
      <c r="J17" s="7">
        <v>2022</v>
      </c>
      <c r="K17" s="14">
        <v>50</v>
      </c>
      <c r="L17" s="17"/>
      <c r="M17" s="7">
        <v>2022</v>
      </c>
      <c r="N17" s="14">
        <v>100</v>
      </c>
      <c r="O17" s="17"/>
      <c r="P17" s="7">
        <v>2022</v>
      </c>
      <c r="Q17" s="14">
        <v>33</v>
      </c>
      <c r="R17" s="17" t="s">
        <v>57</v>
      </c>
      <c r="S17" s="7">
        <v>2022</v>
      </c>
      <c r="T17" s="18">
        <v>50</v>
      </c>
      <c r="U17" s="19"/>
      <c r="V17" s="7">
        <v>2022</v>
      </c>
      <c r="W17" s="14">
        <v>50</v>
      </c>
      <c r="X17" s="17"/>
      <c r="Y17" s="7">
        <v>2022</v>
      </c>
      <c r="Z17" s="14">
        <v>100</v>
      </c>
      <c r="AA17" s="17"/>
      <c r="AB17" s="7">
        <v>2022</v>
      </c>
      <c r="AC17" s="21">
        <v>50</v>
      </c>
      <c r="AD17" s="23"/>
    </row>
    <row r="18" spans="1:51" ht="24.75" customHeight="1">
      <c r="A18" s="7">
        <v>2023</v>
      </c>
      <c r="B18" s="15">
        <f t="shared" si="0"/>
        <v>59.222222222222221</v>
      </c>
      <c r="C18" s="16"/>
      <c r="D18" s="7">
        <v>2023</v>
      </c>
      <c r="E18" s="14">
        <v>50</v>
      </c>
      <c r="F18" s="20" t="s">
        <v>58</v>
      </c>
      <c r="G18" s="7">
        <v>2023</v>
      </c>
      <c r="H18" s="14">
        <v>50</v>
      </c>
      <c r="I18" s="17"/>
      <c r="J18" s="7">
        <v>2023</v>
      </c>
      <c r="K18" s="14">
        <v>50</v>
      </c>
      <c r="L18" s="17"/>
      <c r="M18" s="7">
        <v>2023</v>
      </c>
      <c r="N18" s="14">
        <v>100</v>
      </c>
      <c r="O18" s="17"/>
      <c r="P18" s="7">
        <v>2023</v>
      </c>
      <c r="Q18" s="14">
        <v>33</v>
      </c>
      <c r="R18" s="17"/>
      <c r="S18" s="7">
        <v>2023</v>
      </c>
      <c r="T18" s="18">
        <v>50</v>
      </c>
      <c r="U18" s="19"/>
      <c r="V18" s="7">
        <v>2023</v>
      </c>
      <c r="W18" s="14">
        <v>50</v>
      </c>
      <c r="X18" s="17"/>
      <c r="Y18" s="7">
        <v>2023</v>
      </c>
      <c r="Z18" s="14">
        <v>100</v>
      </c>
      <c r="AA18" s="17"/>
      <c r="AB18" s="7">
        <v>2023</v>
      </c>
      <c r="AC18" s="21">
        <v>50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290"/>
      <c r="C22" s="291"/>
      <c r="D22" s="5" t="s">
        <v>13</v>
      </c>
      <c r="E22" s="292"/>
      <c r="F22" s="293"/>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292"/>
      <c r="AS22" s="293"/>
      <c r="AT22" s="5" t="s">
        <v>13</v>
      </c>
      <c r="AU22" s="292"/>
      <c r="AV22" s="293"/>
      <c r="AW22" s="5" t="s">
        <v>13</v>
      </c>
      <c r="AX22" s="292"/>
      <c r="AY22" s="293"/>
    </row>
    <row r="23" spans="1:51" ht="24.75" customHeight="1">
      <c r="A23" s="7" t="s">
        <v>19</v>
      </c>
      <c r="B23" s="280" t="s">
        <v>77</v>
      </c>
      <c r="C23" s="281"/>
      <c r="D23" s="7" t="s">
        <v>19</v>
      </c>
      <c r="E23" s="263" t="s">
        <v>78</v>
      </c>
      <c r="F23" s="264"/>
      <c r="G23" s="7" t="s">
        <v>19</v>
      </c>
      <c r="H23" s="280" t="s">
        <v>79</v>
      </c>
      <c r="I23" s="281"/>
      <c r="J23" s="7" t="s">
        <v>19</v>
      </c>
      <c r="K23" s="263" t="s">
        <v>80</v>
      </c>
      <c r="L23" s="264"/>
      <c r="M23" s="27" t="s">
        <v>19</v>
      </c>
      <c r="N23" s="263" t="s">
        <v>81</v>
      </c>
      <c r="O23" s="264"/>
      <c r="P23" s="27" t="s">
        <v>19</v>
      </c>
      <c r="Q23" s="263" t="s">
        <v>82</v>
      </c>
      <c r="R23" s="264"/>
      <c r="S23" s="27" t="s">
        <v>19</v>
      </c>
      <c r="T23" s="263" t="s">
        <v>83</v>
      </c>
      <c r="U23" s="264"/>
      <c r="V23" s="7" t="s">
        <v>19</v>
      </c>
      <c r="W23" s="280" t="s">
        <v>84</v>
      </c>
      <c r="X23" s="281"/>
      <c r="Y23" s="7" t="s">
        <v>19</v>
      </c>
      <c r="Z23" s="280" t="s">
        <v>85</v>
      </c>
      <c r="AA23" s="281"/>
      <c r="AB23" s="7" t="s">
        <v>19</v>
      </c>
      <c r="AC23" s="280" t="s">
        <v>86</v>
      </c>
      <c r="AD23" s="281"/>
      <c r="AE23" s="7" t="s">
        <v>19</v>
      </c>
      <c r="AF23" s="280" t="s">
        <v>87</v>
      </c>
      <c r="AG23" s="281"/>
      <c r="AH23" s="7" t="s">
        <v>19</v>
      </c>
      <c r="AI23" s="10" t="s">
        <v>88</v>
      </c>
      <c r="AJ23" s="10"/>
      <c r="AK23" s="7" t="s">
        <v>19</v>
      </c>
      <c r="AL23" s="280" t="s">
        <v>89</v>
      </c>
      <c r="AM23" s="281"/>
      <c r="AN23" s="7" t="s">
        <v>19</v>
      </c>
      <c r="AO23" s="280" t="s">
        <v>90</v>
      </c>
      <c r="AP23" s="281"/>
      <c r="AQ23" s="7" t="s">
        <v>19</v>
      </c>
      <c r="AR23" s="280" t="s">
        <v>91</v>
      </c>
      <c r="AS23" s="281"/>
      <c r="AT23" s="7" t="s">
        <v>19</v>
      </c>
      <c r="AU23" s="280" t="s">
        <v>92</v>
      </c>
      <c r="AV23" s="281"/>
      <c r="AW23" s="7" t="s">
        <v>19</v>
      </c>
      <c r="AX23" s="280" t="s">
        <v>93</v>
      </c>
      <c r="AY23" s="281"/>
    </row>
    <row r="24" spans="1:51" ht="24.75" customHeight="1">
      <c r="A24" s="7" t="s">
        <v>30</v>
      </c>
      <c r="B24" s="280" t="s">
        <v>31</v>
      </c>
      <c r="C24" s="281"/>
      <c r="D24" s="7" t="s">
        <v>30</v>
      </c>
      <c r="E24" s="259" t="s">
        <v>94</v>
      </c>
      <c r="F24" s="260"/>
      <c r="G24" s="7" t="s">
        <v>30</v>
      </c>
      <c r="H24" s="271" t="s">
        <v>95</v>
      </c>
      <c r="I24" s="272"/>
      <c r="J24" s="7" t="s">
        <v>30</v>
      </c>
      <c r="K24" s="297"/>
      <c r="L24" s="298"/>
      <c r="M24" s="27" t="s">
        <v>30</v>
      </c>
      <c r="N24" s="259" t="s">
        <v>96</v>
      </c>
      <c r="O24" s="260"/>
      <c r="P24" s="27" t="s">
        <v>30</v>
      </c>
      <c r="Q24" s="259" t="s">
        <v>97</v>
      </c>
      <c r="R24" s="260"/>
      <c r="S24" s="27" t="s">
        <v>30</v>
      </c>
      <c r="V24" s="7" t="s">
        <v>30</v>
      </c>
      <c r="W24" s="271" t="s">
        <v>98</v>
      </c>
      <c r="X24" s="272"/>
      <c r="Y24" s="7" t="s">
        <v>30</v>
      </c>
      <c r="Z24" s="271" t="s">
        <v>99</v>
      </c>
      <c r="AA24" s="272"/>
      <c r="AB24" s="7" t="s">
        <v>30</v>
      </c>
      <c r="AC24" s="271" t="s">
        <v>100</v>
      </c>
      <c r="AD24" s="272"/>
      <c r="AE24" s="7" t="s">
        <v>30</v>
      </c>
      <c r="AF24" s="271" t="s">
        <v>87</v>
      </c>
      <c r="AG24" s="272"/>
      <c r="AH24" s="7" t="s">
        <v>30</v>
      </c>
      <c r="AI24" s="12" t="s">
        <v>101</v>
      </c>
      <c r="AJ24" s="12"/>
      <c r="AK24" s="7" t="s">
        <v>30</v>
      </c>
      <c r="AL24" s="271" t="s">
        <v>102</v>
      </c>
      <c r="AM24" s="272"/>
      <c r="AN24" s="7" t="s">
        <v>30</v>
      </c>
      <c r="AO24" s="271" t="s">
        <v>90</v>
      </c>
      <c r="AP24" s="272"/>
      <c r="AQ24" s="7" t="s">
        <v>30</v>
      </c>
      <c r="AR24" s="271" t="s">
        <v>103</v>
      </c>
      <c r="AS24" s="272"/>
      <c r="AT24" s="7" t="s">
        <v>30</v>
      </c>
      <c r="AU24" s="271" t="s">
        <v>104</v>
      </c>
      <c r="AV24" s="272"/>
      <c r="AW24" s="7" t="s">
        <v>30</v>
      </c>
      <c r="AX24" s="271" t="s">
        <v>105</v>
      </c>
      <c r="AY24" s="272"/>
    </row>
    <row r="25" spans="1:51" ht="24.75" customHeight="1">
      <c r="A25" s="7" t="s">
        <v>41</v>
      </c>
      <c r="B25" s="271" t="s">
        <v>42</v>
      </c>
      <c r="C25" s="272"/>
      <c r="D25" s="7" t="s">
        <v>41</v>
      </c>
      <c r="E25" s="259" t="s">
        <v>106</v>
      </c>
      <c r="F25" s="260"/>
      <c r="G25" s="7" t="s">
        <v>41</v>
      </c>
      <c r="H25" s="271" t="s">
        <v>107</v>
      </c>
      <c r="I25" s="272"/>
      <c r="J25" s="7" t="s">
        <v>41</v>
      </c>
      <c r="K25" s="297" t="s">
        <v>108</v>
      </c>
      <c r="L25" s="298"/>
      <c r="M25" s="27" t="s">
        <v>41</v>
      </c>
      <c r="N25" s="259" t="s">
        <v>109</v>
      </c>
      <c r="O25" s="260"/>
      <c r="P25" s="27" t="s">
        <v>41</v>
      </c>
      <c r="Q25" s="259" t="s">
        <v>110</v>
      </c>
      <c r="R25" s="260"/>
      <c r="S25" s="27" t="s">
        <v>41</v>
      </c>
      <c r="T25" s="298" t="s">
        <v>111</v>
      </c>
      <c r="U25" s="298"/>
      <c r="V25" s="7" t="s">
        <v>41</v>
      </c>
      <c r="W25" s="271" t="s">
        <v>112</v>
      </c>
      <c r="X25" s="272"/>
      <c r="Y25" s="7" t="s">
        <v>41</v>
      </c>
      <c r="Z25" s="271" t="s">
        <v>113</v>
      </c>
      <c r="AA25" s="272"/>
      <c r="AB25" s="7" t="s">
        <v>41</v>
      </c>
      <c r="AC25" s="271" t="s">
        <v>114</v>
      </c>
      <c r="AD25" s="272"/>
      <c r="AE25" s="7" t="s">
        <v>41</v>
      </c>
      <c r="AF25" s="271" t="s">
        <v>42</v>
      </c>
      <c r="AG25" s="272"/>
      <c r="AH25" s="7" t="s">
        <v>41</v>
      </c>
      <c r="AI25" s="12" t="s">
        <v>115</v>
      </c>
      <c r="AJ25" s="12"/>
      <c r="AK25" s="7" t="s">
        <v>41</v>
      </c>
      <c r="AL25" s="271" t="s">
        <v>116</v>
      </c>
      <c r="AM25" s="272"/>
      <c r="AN25" s="7" t="s">
        <v>41</v>
      </c>
      <c r="AO25" s="271" t="s">
        <v>117</v>
      </c>
      <c r="AP25" s="272"/>
      <c r="AQ25" s="7" t="s">
        <v>41</v>
      </c>
      <c r="AR25" s="271" t="s">
        <v>118</v>
      </c>
      <c r="AS25" s="272"/>
      <c r="AT25" s="7" t="s">
        <v>41</v>
      </c>
      <c r="AU25" s="271" t="s">
        <v>119</v>
      </c>
      <c r="AV25" s="272"/>
      <c r="AW25" s="7" t="s">
        <v>41</v>
      </c>
      <c r="AX25" s="271" t="s">
        <v>120</v>
      </c>
      <c r="AY25" s="272"/>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36.333333333333336</v>
      </c>
      <c r="C27" s="16"/>
      <c r="D27" s="7">
        <v>2020</v>
      </c>
      <c r="E27" s="21">
        <v>100</v>
      </c>
      <c r="F27" s="17"/>
      <c r="G27" s="7">
        <v>2020</v>
      </c>
      <c r="H27" s="14">
        <v>0</v>
      </c>
      <c r="I27" s="22" t="s">
        <v>125</v>
      </c>
      <c r="J27" s="7">
        <v>2020</v>
      </c>
      <c r="K27" s="14">
        <v>67</v>
      </c>
      <c r="L27" s="17"/>
      <c r="M27" s="7">
        <v>2020</v>
      </c>
      <c r="N27" s="14">
        <v>0</v>
      </c>
      <c r="O27" s="17"/>
      <c r="P27" s="7">
        <v>2020</v>
      </c>
      <c r="Q27" s="14">
        <v>100</v>
      </c>
      <c r="R27" s="17"/>
      <c r="S27" s="7">
        <v>2020</v>
      </c>
      <c r="T27" s="14">
        <v>10</v>
      </c>
      <c r="U27" s="17"/>
      <c r="V27" s="7">
        <v>2020</v>
      </c>
      <c r="W27" s="14">
        <v>0</v>
      </c>
      <c r="X27" s="17"/>
      <c r="Y27" s="7">
        <v>2020</v>
      </c>
      <c r="Z27" s="14">
        <v>50</v>
      </c>
      <c r="AA27" s="17"/>
      <c r="AB27" s="7">
        <v>2020</v>
      </c>
      <c r="AC27" s="14">
        <v>0</v>
      </c>
      <c r="AD27" s="17"/>
      <c r="AE27" s="7">
        <v>2020</v>
      </c>
      <c r="AF27" s="31">
        <f t="shared" ref="AF27:AF30" si="1">0.67*AI27+0.33*AL27</f>
        <v>0</v>
      </c>
      <c r="AG27" s="17"/>
      <c r="AH27" s="7">
        <v>2020</v>
      </c>
      <c r="AI27" s="14">
        <v>0</v>
      </c>
      <c r="AJ27" s="17"/>
      <c r="AK27" s="7">
        <v>2020</v>
      </c>
      <c r="AL27" s="14">
        <v>0</v>
      </c>
      <c r="AM27" s="17"/>
      <c r="AN27" s="7">
        <v>2020</v>
      </c>
      <c r="AO27" s="14">
        <v>50</v>
      </c>
      <c r="AP27" s="17"/>
      <c r="AQ27" s="7">
        <v>2020</v>
      </c>
      <c r="AR27" s="14">
        <v>0</v>
      </c>
      <c r="AS27" s="17"/>
      <c r="AT27" s="7">
        <v>2020</v>
      </c>
      <c r="AU27" s="14">
        <v>100</v>
      </c>
      <c r="AV27" s="17"/>
      <c r="AW27" s="7">
        <v>2020</v>
      </c>
      <c r="AX27" s="14">
        <v>0</v>
      </c>
      <c r="AY27" s="23"/>
    </row>
    <row r="28" spans="1:51" ht="24.75" customHeight="1">
      <c r="A28" s="7">
        <v>2021</v>
      </c>
      <c r="B28" s="15">
        <f>AVERAGE(E28,H28,K28,T28,AF28,AO28,AU28,AX28,AR28)</f>
        <v>36.333333333333336</v>
      </c>
      <c r="C28" s="15"/>
      <c r="D28" s="7">
        <v>2021</v>
      </c>
      <c r="E28" s="21">
        <v>100</v>
      </c>
      <c r="F28" s="17"/>
      <c r="G28" s="7">
        <v>2021</v>
      </c>
      <c r="H28" s="14">
        <v>0</v>
      </c>
      <c r="I28" s="17"/>
      <c r="J28" s="7">
        <v>2021</v>
      </c>
      <c r="K28" s="14">
        <v>67</v>
      </c>
      <c r="L28" s="17"/>
      <c r="M28" s="7">
        <v>2021</v>
      </c>
      <c r="N28" s="14">
        <v>0</v>
      </c>
      <c r="O28" s="17"/>
      <c r="P28" s="7">
        <v>2021</v>
      </c>
      <c r="Q28" s="14">
        <v>100</v>
      </c>
      <c r="R28" s="17"/>
      <c r="S28" s="7">
        <v>2021</v>
      </c>
      <c r="T28" s="14">
        <v>10</v>
      </c>
      <c r="U28" s="17"/>
      <c r="V28" s="7">
        <v>2021</v>
      </c>
      <c r="W28" s="14">
        <v>0</v>
      </c>
      <c r="X28" s="17"/>
      <c r="Y28" s="7">
        <v>2021</v>
      </c>
      <c r="Z28" s="14">
        <v>50</v>
      </c>
      <c r="AA28" s="17"/>
      <c r="AB28" s="7">
        <v>2021</v>
      </c>
      <c r="AC28" s="14">
        <v>0</v>
      </c>
      <c r="AD28" s="17"/>
      <c r="AE28" s="7">
        <v>2021</v>
      </c>
      <c r="AF28" s="31">
        <f t="shared" si="1"/>
        <v>0</v>
      </c>
      <c r="AG28" s="17"/>
      <c r="AH28" s="7">
        <v>2021</v>
      </c>
      <c r="AI28" s="14">
        <v>0</v>
      </c>
      <c r="AJ28" s="17"/>
      <c r="AK28" s="7">
        <v>2021</v>
      </c>
      <c r="AL28" s="14">
        <v>0</v>
      </c>
      <c r="AM28" s="17"/>
      <c r="AN28" s="7">
        <v>2021</v>
      </c>
      <c r="AO28" s="14">
        <v>50</v>
      </c>
      <c r="AP28" s="17"/>
      <c r="AQ28" s="7">
        <v>2021</v>
      </c>
      <c r="AR28" s="14">
        <v>0</v>
      </c>
      <c r="AS28" s="17"/>
      <c r="AT28" s="7">
        <v>2021</v>
      </c>
      <c r="AU28" s="14">
        <v>100</v>
      </c>
      <c r="AV28" s="17"/>
      <c r="AW28" s="7">
        <v>2021</v>
      </c>
      <c r="AX28" s="14">
        <v>0</v>
      </c>
      <c r="AY28" s="23"/>
    </row>
    <row r="29" spans="1:51" ht="24.75" customHeight="1">
      <c r="A29" s="7">
        <v>2022</v>
      </c>
      <c r="B29" s="15">
        <f>AVERAGE(E29,H29,K29,T29,AF29,AO29,AU29,AX29,AR29)</f>
        <v>36.333333333333336</v>
      </c>
      <c r="C29" s="15"/>
      <c r="D29" s="7">
        <v>2022</v>
      </c>
      <c r="E29" s="21">
        <v>100</v>
      </c>
      <c r="F29" s="17"/>
      <c r="G29" s="7">
        <v>2022</v>
      </c>
      <c r="H29" s="14">
        <v>0</v>
      </c>
      <c r="I29" s="17"/>
      <c r="J29" s="7">
        <v>2022</v>
      </c>
      <c r="K29" s="14">
        <v>67</v>
      </c>
      <c r="L29" s="17"/>
      <c r="M29" s="7">
        <v>2022</v>
      </c>
      <c r="N29" s="14">
        <v>0</v>
      </c>
      <c r="O29" s="17"/>
      <c r="P29" s="7">
        <v>2022</v>
      </c>
      <c r="Q29" s="14">
        <v>100</v>
      </c>
      <c r="R29" s="17"/>
      <c r="S29" s="7">
        <v>2022</v>
      </c>
      <c r="T29" s="14">
        <v>10</v>
      </c>
      <c r="U29" s="17"/>
      <c r="V29" s="7">
        <v>2022</v>
      </c>
      <c r="W29" s="14">
        <v>0</v>
      </c>
      <c r="X29" s="17"/>
      <c r="Y29" s="7">
        <v>2022</v>
      </c>
      <c r="Z29" s="14">
        <v>50</v>
      </c>
      <c r="AA29" s="17"/>
      <c r="AB29" s="7">
        <v>2022</v>
      </c>
      <c r="AC29" s="14">
        <v>0</v>
      </c>
      <c r="AD29" s="17"/>
      <c r="AE29" s="7">
        <v>2022</v>
      </c>
      <c r="AF29" s="31">
        <f t="shared" si="1"/>
        <v>0</v>
      </c>
      <c r="AG29" s="17"/>
      <c r="AH29" s="7">
        <v>2022</v>
      </c>
      <c r="AI29" s="14">
        <v>0</v>
      </c>
      <c r="AJ29" s="17"/>
      <c r="AK29" s="7">
        <v>2022</v>
      </c>
      <c r="AL29" s="14">
        <v>0</v>
      </c>
      <c r="AM29" s="17"/>
      <c r="AN29" s="7">
        <v>2022</v>
      </c>
      <c r="AO29" s="14">
        <v>50</v>
      </c>
      <c r="AP29" s="20" t="s">
        <v>126</v>
      </c>
      <c r="AQ29" s="7">
        <v>2022</v>
      </c>
      <c r="AR29" s="14">
        <v>0</v>
      </c>
      <c r="AS29" s="17"/>
      <c r="AT29" s="7">
        <v>2022</v>
      </c>
      <c r="AU29" s="14">
        <v>100</v>
      </c>
      <c r="AV29" s="17"/>
      <c r="AW29" s="7">
        <v>2022</v>
      </c>
      <c r="AX29" s="14">
        <v>0</v>
      </c>
      <c r="AY29" s="23"/>
    </row>
    <row r="30" spans="1:51" ht="24.75" customHeight="1">
      <c r="A30" s="7">
        <v>2023</v>
      </c>
      <c r="B30" s="15">
        <f>AVERAGE(E30,H30,K30,T30,AF30,AO30,AU30,AX30,AR30)</f>
        <v>36.333333333333336</v>
      </c>
      <c r="C30" s="15"/>
      <c r="D30" s="7">
        <v>2023</v>
      </c>
      <c r="E30" s="21">
        <v>100</v>
      </c>
      <c r="F30" s="17"/>
      <c r="G30" s="7">
        <v>2023</v>
      </c>
      <c r="H30" s="14">
        <v>0</v>
      </c>
      <c r="I30" s="17"/>
      <c r="J30" s="7">
        <v>2023</v>
      </c>
      <c r="K30" s="14">
        <v>67</v>
      </c>
      <c r="L30" s="17"/>
      <c r="M30" s="7">
        <v>2023</v>
      </c>
      <c r="N30" s="14">
        <v>0</v>
      </c>
      <c r="O30" s="17"/>
      <c r="P30" s="7">
        <v>2023</v>
      </c>
      <c r="Q30" s="14">
        <v>100</v>
      </c>
      <c r="R30" s="17"/>
      <c r="S30" s="7">
        <v>2023</v>
      </c>
      <c r="T30" s="14">
        <v>10</v>
      </c>
      <c r="U30" s="20"/>
      <c r="V30" s="7">
        <v>2023</v>
      </c>
      <c r="W30" s="14">
        <v>0</v>
      </c>
      <c r="X30" s="17"/>
      <c r="Y30" s="7">
        <v>2023</v>
      </c>
      <c r="Z30" s="14">
        <v>50</v>
      </c>
      <c r="AA30" s="17"/>
      <c r="AB30" s="7">
        <v>2023</v>
      </c>
      <c r="AC30" s="14">
        <v>0</v>
      </c>
      <c r="AD30" s="17"/>
      <c r="AE30" s="7">
        <v>2023</v>
      </c>
      <c r="AF30" s="31">
        <f t="shared" si="1"/>
        <v>0</v>
      </c>
      <c r="AG30" s="17"/>
      <c r="AH30" s="7">
        <v>2023</v>
      </c>
      <c r="AI30" s="14">
        <v>0</v>
      </c>
      <c r="AJ30" s="17"/>
      <c r="AK30" s="7">
        <v>2023</v>
      </c>
      <c r="AL30" s="14">
        <v>0</v>
      </c>
      <c r="AM30" s="17"/>
      <c r="AN30" s="7">
        <v>2023</v>
      </c>
      <c r="AO30" s="14">
        <v>50</v>
      </c>
      <c r="AP30" s="17"/>
      <c r="AQ30" s="7">
        <v>2023</v>
      </c>
      <c r="AR30" s="14">
        <v>0</v>
      </c>
      <c r="AS30" s="17"/>
      <c r="AT30" s="7">
        <v>2023</v>
      </c>
      <c r="AU30" s="14">
        <v>100</v>
      </c>
      <c r="AV30" s="17"/>
      <c r="AW30" s="7">
        <v>2023</v>
      </c>
      <c r="AX30" s="14">
        <v>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290" t="s">
        <v>128</v>
      </c>
      <c r="C33" s="291"/>
      <c r="D33" s="5" t="s">
        <v>7</v>
      </c>
      <c r="E33" s="292" t="s">
        <v>129</v>
      </c>
      <c r="F33" s="293"/>
      <c r="G33" s="5" t="s">
        <v>7</v>
      </c>
      <c r="H33" s="292" t="s">
        <v>130</v>
      </c>
      <c r="I33" s="293"/>
      <c r="J33" s="5" t="s">
        <v>7</v>
      </c>
      <c r="K33" s="292" t="s">
        <v>131</v>
      </c>
      <c r="L33" s="293"/>
      <c r="M33" s="5" t="s">
        <v>7</v>
      </c>
      <c r="N33" s="292" t="s">
        <v>132</v>
      </c>
      <c r="O33" s="293"/>
      <c r="P33" s="5" t="s">
        <v>7</v>
      </c>
      <c r="Q33" s="292"/>
      <c r="R33" s="293"/>
      <c r="S33" s="5" t="s">
        <v>7</v>
      </c>
      <c r="T33" s="290"/>
      <c r="U33" s="291"/>
      <c r="V33" s="5" t="s">
        <v>7</v>
      </c>
      <c r="W33" s="292"/>
      <c r="X33" s="293"/>
      <c r="Y33" s="5" t="s">
        <v>7</v>
      </c>
      <c r="Z33" s="305" t="s">
        <v>133</v>
      </c>
      <c r="AA33" s="306"/>
      <c r="AB33" s="9" t="s">
        <v>7</v>
      </c>
      <c r="AC33" s="305" t="s">
        <v>134</v>
      </c>
      <c r="AD33" s="306"/>
      <c r="AE33" s="5" t="s">
        <v>7</v>
      </c>
      <c r="AF33" s="292" t="s">
        <v>135</v>
      </c>
      <c r="AG33" s="293"/>
      <c r="AH33" s="5" t="s">
        <v>7</v>
      </c>
      <c r="AI33" s="292"/>
      <c r="AJ33" s="293"/>
      <c r="AK33" s="5" t="s">
        <v>7</v>
      </c>
      <c r="AL33" s="292"/>
      <c r="AM33" s="293"/>
    </row>
    <row r="34" spans="1:39" ht="24.75" customHeight="1">
      <c r="A34" s="5" t="s">
        <v>13</v>
      </c>
      <c r="B34" s="290"/>
      <c r="C34" s="291"/>
      <c r="D34" s="5" t="s">
        <v>13</v>
      </c>
      <c r="E34" s="292"/>
      <c r="F34" s="293"/>
      <c r="G34" s="5" t="s">
        <v>13</v>
      </c>
      <c r="H34" s="286"/>
      <c r="I34" s="287"/>
      <c r="J34" s="5" t="s">
        <v>13</v>
      </c>
      <c r="K34" s="286"/>
      <c r="L34" s="287"/>
      <c r="M34" s="5" t="s">
        <v>13</v>
      </c>
      <c r="N34" s="286"/>
      <c r="O34" s="287"/>
      <c r="P34" s="5" t="s">
        <v>13</v>
      </c>
      <c r="Q34" s="286" t="s">
        <v>136</v>
      </c>
      <c r="R34" s="287"/>
      <c r="S34" s="5" t="s">
        <v>13</v>
      </c>
      <c r="T34" s="286" t="s">
        <v>137</v>
      </c>
      <c r="U34" s="287"/>
      <c r="V34" s="5" t="s">
        <v>13</v>
      </c>
      <c r="W34" s="286" t="s">
        <v>138</v>
      </c>
      <c r="X34" s="287"/>
      <c r="Y34" s="5" t="s">
        <v>13</v>
      </c>
      <c r="Z34" s="299"/>
      <c r="AA34" s="300"/>
      <c r="AB34" s="9" t="s">
        <v>13</v>
      </c>
      <c r="AC34" s="301"/>
      <c r="AD34" s="302"/>
      <c r="AE34" s="5" t="s">
        <v>13</v>
      </c>
      <c r="AF34" s="292"/>
      <c r="AG34" s="293"/>
      <c r="AH34" s="5" t="s">
        <v>13</v>
      </c>
      <c r="AI34" s="286" t="s">
        <v>139</v>
      </c>
      <c r="AJ34" s="287"/>
      <c r="AK34" s="5" t="s">
        <v>13</v>
      </c>
      <c r="AL34" s="286" t="s">
        <v>140</v>
      </c>
      <c r="AM34" s="287"/>
    </row>
    <row r="35" spans="1:39" ht="24.75" customHeight="1">
      <c r="A35" s="7" t="s">
        <v>19</v>
      </c>
      <c r="B35" s="280" t="s">
        <v>141</v>
      </c>
      <c r="C35" s="281"/>
      <c r="D35" s="7" t="s">
        <v>19</v>
      </c>
      <c r="E35" s="280" t="s">
        <v>142</v>
      </c>
      <c r="F35" s="281"/>
      <c r="G35" s="7" t="s">
        <v>19</v>
      </c>
      <c r="H35" s="280" t="s">
        <v>143</v>
      </c>
      <c r="I35" s="281"/>
      <c r="J35" s="7" t="s">
        <v>19</v>
      </c>
      <c r="K35" s="280" t="s">
        <v>144</v>
      </c>
      <c r="L35" s="281"/>
      <c r="M35" s="7" t="s">
        <v>19</v>
      </c>
      <c r="N35" s="280" t="s">
        <v>145</v>
      </c>
      <c r="O35" s="281"/>
      <c r="P35" s="7" t="s">
        <v>19</v>
      </c>
      <c r="Q35" s="280" t="s">
        <v>145</v>
      </c>
      <c r="R35" s="281"/>
      <c r="S35" s="7" t="s">
        <v>19</v>
      </c>
      <c r="T35" s="280" t="s">
        <v>146</v>
      </c>
      <c r="U35" s="281"/>
      <c r="V35" s="7" t="s">
        <v>19</v>
      </c>
      <c r="W35" s="280" t="s">
        <v>147</v>
      </c>
      <c r="X35" s="281"/>
      <c r="Y35" s="7" t="s">
        <v>19</v>
      </c>
      <c r="Z35" s="303" t="s">
        <v>148</v>
      </c>
      <c r="AA35" s="304"/>
      <c r="AB35" s="7" t="s">
        <v>19</v>
      </c>
      <c r="AC35" s="280" t="s">
        <v>149</v>
      </c>
      <c r="AD35" s="281"/>
      <c r="AE35" s="7" t="s">
        <v>19</v>
      </c>
      <c r="AF35" s="280" t="s">
        <v>150</v>
      </c>
      <c r="AG35" s="281"/>
      <c r="AH35" s="7" t="s">
        <v>19</v>
      </c>
      <c r="AI35" s="280" t="s">
        <v>151</v>
      </c>
      <c r="AJ35" s="281"/>
      <c r="AK35" s="7" t="s">
        <v>19</v>
      </c>
      <c r="AL35" s="280" t="s">
        <v>152</v>
      </c>
      <c r="AM35" s="281"/>
    </row>
    <row r="36" spans="1:39" ht="24.75" customHeight="1">
      <c r="A36" s="7" t="s">
        <v>30</v>
      </c>
      <c r="B36" s="280" t="s">
        <v>31</v>
      </c>
      <c r="C36" s="281"/>
      <c r="D36" s="7" t="s">
        <v>30</v>
      </c>
      <c r="E36" s="271" t="s">
        <v>153</v>
      </c>
      <c r="F36" s="272"/>
      <c r="G36" s="7" t="s">
        <v>30</v>
      </c>
      <c r="H36" s="271" t="s">
        <v>154</v>
      </c>
      <c r="I36" s="272"/>
      <c r="J36" s="7" t="s">
        <v>30</v>
      </c>
      <c r="K36" s="271" t="s">
        <v>155</v>
      </c>
      <c r="L36" s="272"/>
      <c r="M36" s="7" t="s">
        <v>30</v>
      </c>
      <c r="N36" s="271" t="s">
        <v>156</v>
      </c>
      <c r="O36" s="272"/>
      <c r="P36" s="7" t="s">
        <v>30</v>
      </c>
      <c r="Q36" s="271" t="s">
        <v>157</v>
      </c>
      <c r="R36" s="272"/>
      <c r="S36" s="7" t="s">
        <v>30</v>
      </c>
      <c r="T36" s="271" t="s">
        <v>158</v>
      </c>
      <c r="U36" s="272"/>
      <c r="V36" s="7" t="s">
        <v>30</v>
      </c>
      <c r="W36" s="271" t="s">
        <v>159</v>
      </c>
      <c r="X36" s="272"/>
      <c r="Y36" s="7" t="s">
        <v>30</v>
      </c>
      <c r="Z36" s="271" t="s">
        <v>160</v>
      </c>
      <c r="AA36" s="272"/>
      <c r="AB36" s="7" t="s">
        <v>30</v>
      </c>
      <c r="AC36" s="271" t="s">
        <v>161</v>
      </c>
      <c r="AD36" s="272"/>
      <c r="AE36" s="7" t="s">
        <v>30</v>
      </c>
      <c r="AF36" s="271"/>
      <c r="AG36" s="272"/>
      <c r="AH36" s="7" t="s">
        <v>30</v>
      </c>
      <c r="AI36" s="271" t="s">
        <v>162</v>
      </c>
      <c r="AJ36" s="272"/>
      <c r="AK36" s="7" t="s">
        <v>30</v>
      </c>
      <c r="AL36" s="271" t="s">
        <v>163</v>
      </c>
      <c r="AM36" s="272"/>
    </row>
    <row r="37" spans="1:39" ht="24.75" customHeight="1">
      <c r="A37" s="7" t="s">
        <v>41</v>
      </c>
      <c r="B37" s="271" t="s">
        <v>42</v>
      </c>
      <c r="C37" s="272"/>
      <c r="D37" s="7" t="s">
        <v>41</v>
      </c>
      <c r="E37" s="271" t="s">
        <v>164</v>
      </c>
      <c r="F37" s="272"/>
      <c r="G37" s="7" t="s">
        <v>41</v>
      </c>
      <c r="H37" s="271" t="s">
        <v>165</v>
      </c>
      <c r="I37" s="272"/>
      <c r="J37" s="7" t="s">
        <v>41</v>
      </c>
      <c r="K37" s="280" t="s">
        <v>166</v>
      </c>
      <c r="L37" s="281"/>
      <c r="M37" s="7" t="s">
        <v>41</v>
      </c>
      <c r="N37" s="271" t="s">
        <v>42</v>
      </c>
      <c r="O37" s="272"/>
      <c r="P37" s="7" t="s">
        <v>41</v>
      </c>
      <c r="Q37" s="271" t="s">
        <v>167</v>
      </c>
      <c r="R37" s="272"/>
      <c r="S37" s="7" t="s">
        <v>41</v>
      </c>
      <c r="T37" s="271" t="s">
        <v>168</v>
      </c>
      <c r="U37" s="272"/>
      <c r="V37" s="7" t="s">
        <v>41</v>
      </c>
      <c r="W37" s="271" t="s">
        <v>169</v>
      </c>
      <c r="X37" s="272"/>
      <c r="Y37" s="7" t="s">
        <v>41</v>
      </c>
      <c r="Z37" s="271" t="s">
        <v>170</v>
      </c>
      <c r="AA37" s="272"/>
      <c r="AB37" s="7" t="s">
        <v>41</v>
      </c>
      <c r="AC37" s="271" t="s">
        <v>171</v>
      </c>
      <c r="AD37" s="272"/>
      <c r="AE37" s="7" t="s">
        <v>41</v>
      </c>
      <c r="AF37" s="297" t="s">
        <v>172</v>
      </c>
      <c r="AG37" s="298"/>
      <c r="AH37" s="7" t="s">
        <v>41</v>
      </c>
      <c r="AI37" s="271" t="s">
        <v>173</v>
      </c>
      <c r="AJ37" s="272"/>
      <c r="AK37" s="7" t="s">
        <v>41</v>
      </c>
      <c r="AL37" s="271" t="s">
        <v>174</v>
      </c>
      <c r="AM37" s="272"/>
    </row>
    <row r="38" spans="1:39" ht="24.75" customHeight="1">
      <c r="A38" s="7" t="s">
        <v>1</v>
      </c>
      <c r="B38" s="7" t="s">
        <v>52</v>
      </c>
      <c r="C38" s="7" t="s">
        <v>53</v>
      </c>
      <c r="D38" s="7" t="s">
        <v>121</v>
      </c>
      <c r="E38" s="7" t="s">
        <v>54</v>
      </c>
      <c r="F38" s="7" t="s">
        <v>122</v>
      </c>
      <c r="G38" s="7" t="s">
        <v>121</v>
      </c>
      <c r="H38" s="7"/>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54.761904761904759</v>
      </c>
      <c r="C39" s="16"/>
      <c r="D39" s="7">
        <v>2020</v>
      </c>
      <c r="E39" s="33">
        <v>100</v>
      </c>
      <c r="F39" s="20" t="s">
        <v>175</v>
      </c>
      <c r="G39" s="7">
        <v>2020</v>
      </c>
      <c r="H39" s="14">
        <v>50</v>
      </c>
      <c r="I39" s="20" t="s">
        <v>176</v>
      </c>
      <c r="J39" s="7">
        <v>2020</v>
      </c>
      <c r="K39" s="34">
        <v>50</v>
      </c>
      <c r="L39" s="35" t="s">
        <v>177</v>
      </c>
      <c r="M39" s="7">
        <v>2020</v>
      </c>
      <c r="N39" s="31">
        <f>AVERAGE(Q39,T39,W39)</f>
        <v>83.333333333333329</v>
      </c>
      <c r="O39" s="14"/>
      <c r="P39" s="7">
        <v>2020</v>
      </c>
      <c r="Q39" s="14">
        <v>100</v>
      </c>
      <c r="R39" s="17"/>
      <c r="S39" s="7">
        <v>2020</v>
      </c>
      <c r="T39" s="14">
        <v>100</v>
      </c>
      <c r="U39" s="20" t="s">
        <v>178</v>
      </c>
      <c r="V39" s="7">
        <v>2020</v>
      </c>
      <c r="W39" s="34">
        <v>50</v>
      </c>
      <c r="X39" s="19" t="s">
        <v>1987</v>
      </c>
      <c r="Y39" s="7">
        <v>2020</v>
      </c>
      <c r="Z39" s="14">
        <v>50</v>
      </c>
      <c r="AA39" s="20"/>
      <c r="AB39" s="7">
        <v>2020</v>
      </c>
      <c r="AC39" s="14">
        <v>50</v>
      </c>
      <c r="AD39" s="20"/>
      <c r="AE39" s="7">
        <v>2020</v>
      </c>
      <c r="AF39" s="14">
        <f>AVERAGE(AI39,AL39)</f>
        <v>0</v>
      </c>
      <c r="AG39" s="14"/>
      <c r="AH39" s="7">
        <v>2020</v>
      </c>
      <c r="AI39" s="21">
        <v>0</v>
      </c>
      <c r="AJ39" s="17"/>
      <c r="AK39" s="7">
        <v>2020</v>
      </c>
      <c r="AL39" s="14">
        <v>0</v>
      </c>
      <c r="AM39" s="23"/>
    </row>
    <row r="40" spans="1:39" ht="24.75" customHeight="1">
      <c r="A40" s="7">
        <v>2021</v>
      </c>
      <c r="B40" s="16">
        <f>AVERAGE(E40,H40,K40,N40,Z40,AC40,AF40)</f>
        <v>61.904761904761905</v>
      </c>
      <c r="C40" s="16"/>
      <c r="D40" s="7">
        <v>2021</v>
      </c>
      <c r="E40" s="14">
        <v>100</v>
      </c>
      <c r="F40" s="17"/>
      <c r="G40" s="7">
        <v>2021</v>
      </c>
      <c r="H40" s="14">
        <v>50</v>
      </c>
      <c r="I40" s="17"/>
      <c r="J40" s="7">
        <v>2021</v>
      </c>
      <c r="K40" s="34">
        <v>100</v>
      </c>
      <c r="L40" s="36" t="s">
        <v>179</v>
      </c>
      <c r="M40" s="7">
        <v>2021</v>
      </c>
      <c r="N40" s="31">
        <f>AVERAGE(Q40,T40,W40)</f>
        <v>83.333333333333329</v>
      </c>
      <c r="O40" s="14"/>
      <c r="P40" s="7">
        <v>2021</v>
      </c>
      <c r="Q40" s="14">
        <v>100</v>
      </c>
      <c r="R40" s="17"/>
      <c r="S40" s="7">
        <v>2021</v>
      </c>
      <c r="T40" s="14">
        <v>100</v>
      </c>
      <c r="U40" s="17"/>
      <c r="V40" s="7">
        <v>2021</v>
      </c>
      <c r="W40" s="34">
        <v>50</v>
      </c>
      <c r="X40" s="19"/>
      <c r="Y40" s="7">
        <v>2021</v>
      </c>
      <c r="Z40" s="14">
        <v>50</v>
      </c>
      <c r="AA40" s="17"/>
      <c r="AB40" s="7">
        <v>2021</v>
      </c>
      <c r="AC40" s="14">
        <v>50</v>
      </c>
      <c r="AD40" s="17"/>
      <c r="AE40" s="7">
        <v>2021</v>
      </c>
      <c r="AF40" s="14">
        <f t="shared" ref="AF40:AF42" si="2">AVERAGE(AI40,AL40)</f>
        <v>0</v>
      </c>
      <c r="AG40" s="14"/>
      <c r="AH40" s="7">
        <v>2021</v>
      </c>
      <c r="AI40" s="21">
        <v>0</v>
      </c>
      <c r="AJ40" s="17"/>
      <c r="AK40" s="7">
        <v>2021</v>
      </c>
      <c r="AL40" s="14">
        <v>0</v>
      </c>
      <c r="AM40" s="23"/>
    </row>
    <row r="41" spans="1:39" ht="24.75" customHeight="1">
      <c r="A41" s="7">
        <v>2022</v>
      </c>
      <c r="B41" s="16">
        <f>AVERAGE(E41,H41,K41,N41,Z41,AC41,AF41)</f>
        <v>64.285714285714292</v>
      </c>
      <c r="C41" s="16"/>
      <c r="D41" s="7">
        <v>2022</v>
      </c>
      <c r="E41" s="14">
        <v>100</v>
      </c>
      <c r="F41" s="17"/>
      <c r="G41" s="7">
        <v>2022</v>
      </c>
      <c r="H41" s="14">
        <v>50</v>
      </c>
      <c r="I41" s="17"/>
      <c r="J41" s="7">
        <v>2022</v>
      </c>
      <c r="K41" s="34">
        <v>100</v>
      </c>
      <c r="L41" s="19"/>
      <c r="M41" s="7">
        <v>2022</v>
      </c>
      <c r="N41" s="31">
        <f t="shared" ref="N41:N42" si="3">AVERAGE(Q41,T41,W41)</f>
        <v>100</v>
      </c>
      <c r="O41" s="14"/>
      <c r="P41" s="7">
        <v>2022</v>
      </c>
      <c r="Q41" s="14">
        <v>100</v>
      </c>
      <c r="R41" s="17"/>
      <c r="S41" s="7">
        <v>2022</v>
      </c>
      <c r="T41" s="14">
        <v>100</v>
      </c>
      <c r="U41" s="17"/>
      <c r="V41" s="7">
        <v>2022</v>
      </c>
      <c r="W41" s="34">
        <v>100</v>
      </c>
      <c r="X41" s="19" t="s">
        <v>180</v>
      </c>
      <c r="Y41" s="7">
        <v>2022</v>
      </c>
      <c r="Z41" s="14">
        <v>50</v>
      </c>
      <c r="AA41" s="17"/>
      <c r="AB41" s="7">
        <v>2022</v>
      </c>
      <c r="AC41" s="14">
        <v>50</v>
      </c>
      <c r="AD41" s="17"/>
      <c r="AE41" s="7">
        <v>2022</v>
      </c>
      <c r="AF41" s="14">
        <f t="shared" si="2"/>
        <v>0</v>
      </c>
      <c r="AG41" s="14"/>
      <c r="AH41" s="7">
        <v>2022</v>
      </c>
      <c r="AI41" s="21">
        <v>0</v>
      </c>
      <c r="AJ41" s="17"/>
      <c r="AK41" s="7">
        <v>2022</v>
      </c>
      <c r="AL41" s="14">
        <v>0</v>
      </c>
      <c r="AM41" s="23"/>
    </row>
    <row r="42" spans="1:39" ht="24.75" customHeight="1">
      <c r="A42" s="7">
        <v>2023</v>
      </c>
      <c r="B42" s="16">
        <f>AVERAGE(E42,H42,K42,N42,Z42,AC42,AF42)</f>
        <v>64.285714285714292</v>
      </c>
      <c r="C42" s="16"/>
      <c r="D42" s="7">
        <v>2023</v>
      </c>
      <c r="E42" s="14">
        <v>100</v>
      </c>
      <c r="F42" s="17"/>
      <c r="G42" s="7">
        <v>2023</v>
      </c>
      <c r="H42" s="14">
        <v>50</v>
      </c>
      <c r="I42" s="17"/>
      <c r="J42" s="7">
        <v>2023</v>
      </c>
      <c r="K42" s="34">
        <v>100</v>
      </c>
      <c r="L42" s="19"/>
      <c r="M42" s="7">
        <v>2023</v>
      </c>
      <c r="N42" s="31">
        <f t="shared" si="3"/>
        <v>100</v>
      </c>
      <c r="O42" s="14"/>
      <c r="P42" s="7">
        <v>2023</v>
      </c>
      <c r="Q42" s="14">
        <v>100</v>
      </c>
      <c r="R42" s="17"/>
      <c r="S42" s="7">
        <v>2023</v>
      </c>
      <c r="T42" s="14">
        <v>100</v>
      </c>
      <c r="U42" s="17"/>
      <c r="V42" s="7">
        <v>2023</v>
      </c>
      <c r="W42" s="34">
        <v>100</v>
      </c>
      <c r="X42" s="19"/>
      <c r="Y42" s="7">
        <v>2023</v>
      </c>
      <c r="Z42" s="14">
        <v>50</v>
      </c>
      <c r="AA42" s="17"/>
      <c r="AB42" s="7">
        <v>2023</v>
      </c>
      <c r="AC42" s="14">
        <v>50</v>
      </c>
      <c r="AD42" s="17"/>
      <c r="AE42" s="7">
        <v>2023</v>
      </c>
      <c r="AF42" s="14">
        <f t="shared" si="2"/>
        <v>0</v>
      </c>
      <c r="AG42" s="14"/>
      <c r="AH42" s="7">
        <v>2023</v>
      </c>
      <c r="AI42" s="21">
        <v>0</v>
      </c>
      <c r="AJ42" s="17"/>
      <c r="AK42" s="7">
        <v>2023</v>
      </c>
      <c r="AL42" s="14">
        <v>0</v>
      </c>
      <c r="AM42" s="23"/>
    </row>
    <row r="43" spans="1:39" ht="24.75" customHeight="1"/>
    <row r="44" spans="1:39" ht="24.75" customHeight="1">
      <c r="A44" s="5" t="s">
        <v>5</v>
      </c>
      <c r="B44" s="294" t="s">
        <v>181</v>
      </c>
      <c r="C44" s="295"/>
      <c r="D44" s="295"/>
      <c r="E44" s="295"/>
      <c r="F44" s="295"/>
      <c r="G44" s="295"/>
      <c r="H44" s="295"/>
      <c r="I44" s="295"/>
      <c r="J44" s="295"/>
      <c r="K44" s="295"/>
      <c r="L44" s="295"/>
      <c r="M44" s="295"/>
      <c r="N44" s="295"/>
      <c r="O44" s="295"/>
      <c r="P44" s="295"/>
      <c r="Q44" s="295"/>
      <c r="R44" s="296"/>
    </row>
    <row r="45" spans="1:39" ht="24.75" customHeight="1">
      <c r="A45" s="5" t="s">
        <v>7</v>
      </c>
      <c r="B45" s="290" t="s">
        <v>182</v>
      </c>
      <c r="C45" s="291"/>
      <c r="D45" s="5" t="s">
        <v>7</v>
      </c>
      <c r="E45" s="292" t="s">
        <v>183</v>
      </c>
      <c r="F45" s="293"/>
      <c r="G45" s="5" t="s">
        <v>7</v>
      </c>
      <c r="H45" s="292" t="s">
        <v>184</v>
      </c>
      <c r="I45" s="293"/>
      <c r="J45" s="5" t="s">
        <v>7</v>
      </c>
      <c r="K45" s="292" t="s">
        <v>185</v>
      </c>
      <c r="L45" s="293"/>
      <c r="M45" s="5" t="s">
        <v>7</v>
      </c>
      <c r="N45" s="292" t="s">
        <v>186</v>
      </c>
      <c r="O45" s="293"/>
      <c r="P45" s="5" t="s">
        <v>7</v>
      </c>
      <c r="Q45" s="292" t="s">
        <v>187</v>
      </c>
      <c r="R45" s="293"/>
    </row>
    <row r="46" spans="1:39" ht="24.75" customHeight="1">
      <c r="A46" s="5" t="s">
        <v>13</v>
      </c>
      <c r="B46" s="290"/>
      <c r="C46" s="291"/>
      <c r="D46" s="5" t="s">
        <v>13</v>
      </c>
      <c r="E46" s="292"/>
      <c r="F46" s="293"/>
      <c r="G46" s="5" t="s">
        <v>13</v>
      </c>
      <c r="H46" s="286"/>
      <c r="I46" s="287"/>
      <c r="J46" s="5" t="s">
        <v>13</v>
      </c>
      <c r="K46" s="286"/>
      <c r="L46" s="287"/>
      <c r="M46" s="5" t="s">
        <v>13</v>
      </c>
      <c r="N46" s="286"/>
      <c r="O46" s="287"/>
      <c r="P46" s="5" t="s">
        <v>13</v>
      </c>
      <c r="Q46" s="286"/>
      <c r="R46" s="287"/>
    </row>
    <row r="47" spans="1:39" ht="24.75" customHeight="1">
      <c r="A47" s="7" t="s">
        <v>19</v>
      </c>
      <c r="B47" s="280" t="s">
        <v>188</v>
      </c>
      <c r="C47" s="281"/>
      <c r="D47" s="7" t="s">
        <v>19</v>
      </c>
      <c r="E47" s="280" t="s">
        <v>189</v>
      </c>
      <c r="F47" s="281"/>
      <c r="G47" s="7" t="s">
        <v>19</v>
      </c>
      <c r="H47" s="280" t="s">
        <v>190</v>
      </c>
      <c r="I47" s="281"/>
      <c r="J47" s="7" t="s">
        <v>19</v>
      </c>
      <c r="K47" s="280" t="s">
        <v>191</v>
      </c>
      <c r="L47" s="281"/>
      <c r="M47" s="7" t="s">
        <v>19</v>
      </c>
      <c r="N47" s="280" t="s">
        <v>192</v>
      </c>
      <c r="O47" s="281"/>
      <c r="P47" s="7" t="s">
        <v>19</v>
      </c>
      <c r="Q47" s="280" t="s">
        <v>193</v>
      </c>
      <c r="R47" s="281"/>
    </row>
    <row r="48" spans="1:39" ht="24.75" customHeight="1">
      <c r="A48" s="7" t="s">
        <v>30</v>
      </c>
      <c r="B48" s="280" t="s">
        <v>31</v>
      </c>
      <c r="C48" s="281"/>
      <c r="D48" s="7" t="s">
        <v>30</v>
      </c>
      <c r="E48" s="271" t="s">
        <v>194</v>
      </c>
      <c r="F48" s="272"/>
      <c r="G48" s="7" t="s">
        <v>30</v>
      </c>
      <c r="H48" s="271" t="s">
        <v>195</v>
      </c>
      <c r="I48" s="272"/>
      <c r="J48" s="7" t="s">
        <v>30</v>
      </c>
      <c r="K48" s="271" t="s">
        <v>196</v>
      </c>
      <c r="L48" s="272"/>
      <c r="M48" s="7" t="s">
        <v>30</v>
      </c>
      <c r="N48" s="259" t="s">
        <v>197</v>
      </c>
      <c r="O48" s="260"/>
      <c r="P48" s="7" t="s">
        <v>30</v>
      </c>
      <c r="Q48" s="271" t="s">
        <v>198</v>
      </c>
      <c r="R48" s="272"/>
    </row>
    <row r="49" spans="1:24" ht="24.75" customHeight="1">
      <c r="A49" s="7" t="s">
        <v>41</v>
      </c>
      <c r="B49" s="271" t="s">
        <v>42</v>
      </c>
      <c r="C49" s="272"/>
      <c r="D49" s="7" t="s">
        <v>41</v>
      </c>
      <c r="E49" s="259" t="s">
        <v>199</v>
      </c>
      <c r="F49" s="260"/>
      <c r="G49" s="7" t="s">
        <v>41</v>
      </c>
      <c r="H49" s="271" t="s">
        <v>200</v>
      </c>
      <c r="I49" s="272"/>
      <c r="J49" s="7" t="s">
        <v>41</v>
      </c>
      <c r="K49" s="271" t="s">
        <v>201</v>
      </c>
      <c r="L49" s="272"/>
      <c r="M49" s="7" t="s">
        <v>41</v>
      </c>
      <c r="N49" s="263" t="s">
        <v>202</v>
      </c>
      <c r="O49" s="264"/>
      <c r="P49" s="7" t="s">
        <v>41</v>
      </c>
      <c r="Q49" s="259" t="s">
        <v>203</v>
      </c>
      <c r="R49" s="260"/>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 t="shared" ref="B51:B54" si="4">AVERAGE(E51,H51,K51,N51,Q51)</f>
        <v>20</v>
      </c>
      <c r="C51" s="16"/>
      <c r="D51" s="7">
        <v>2020</v>
      </c>
      <c r="E51" s="14">
        <v>0</v>
      </c>
      <c r="F51" s="17"/>
      <c r="G51" s="7">
        <v>2020</v>
      </c>
      <c r="H51" s="14">
        <v>100</v>
      </c>
      <c r="I51" s="17"/>
      <c r="J51" s="7">
        <v>2020</v>
      </c>
      <c r="K51" s="14">
        <v>0</v>
      </c>
      <c r="L51" s="17"/>
      <c r="M51" s="7">
        <v>2020</v>
      </c>
      <c r="N51" s="14">
        <v>0</v>
      </c>
      <c r="O51" s="17"/>
      <c r="P51" s="7">
        <v>2020</v>
      </c>
      <c r="Q51" s="14">
        <v>0</v>
      </c>
      <c r="R51" s="23"/>
    </row>
    <row r="52" spans="1:24" ht="24.75" customHeight="1">
      <c r="A52" s="7">
        <v>2021</v>
      </c>
      <c r="B52" s="15">
        <f t="shared" si="4"/>
        <v>20</v>
      </c>
      <c r="C52" s="15"/>
      <c r="D52" s="7">
        <v>2021</v>
      </c>
      <c r="E52" s="14">
        <v>0</v>
      </c>
      <c r="F52" s="17"/>
      <c r="G52" s="7">
        <v>2021</v>
      </c>
      <c r="H52" s="14">
        <v>100</v>
      </c>
      <c r="I52" s="17"/>
      <c r="J52" s="7">
        <v>2021</v>
      </c>
      <c r="K52" s="14">
        <v>0</v>
      </c>
      <c r="L52" s="17"/>
      <c r="M52" s="7">
        <v>2021</v>
      </c>
      <c r="N52" s="14">
        <v>0</v>
      </c>
      <c r="O52" s="17"/>
      <c r="P52" s="7">
        <v>2021</v>
      </c>
      <c r="Q52" s="14">
        <v>0</v>
      </c>
      <c r="R52" s="23"/>
    </row>
    <row r="53" spans="1:24" ht="24.75" customHeight="1">
      <c r="A53" s="7">
        <v>2022</v>
      </c>
      <c r="B53" s="15">
        <f t="shared" si="4"/>
        <v>20</v>
      </c>
      <c r="C53" s="15"/>
      <c r="D53" s="7">
        <v>2022</v>
      </c>
      <c r="E53" s="14">
        <v>0</v>
      </c>
      <c r="F53" s="17"/>
      <c r="G53" s="7">
        <v>2022</v>
      </c>
      <c r="H53" s="14">
        <v>100</v>
      </c>
      <c r="I53" s="17"/>
      <c r="J53" s="7">
        <v>2022</v>
      </c>
      <c r="K53" s="21">
        <v>0</v>
      </c>
      <c r="L53" s="17"/>
      <c r="M53" s="7">
        <v>2022</v>
      </c>
      <c r="N53" s="14">
        <v>0</v>
      </c>
      <c r="O53" s="17"/>
      <c r="P53" s="7">
        <v>2022</v>
      </c>
      <c r="Q53" s="14">
        <v>0</v>
      </c>
      <c r="R53" s="23"/>
    </row>
    <row r="54" spans="1:24" ht="24.75" customHeight="1">
      <c r="A54" s="7">
        <v>2023</v>
      </c>
      <c r="B54" s="15">
        <f t="shared" si="4"/>
        <v>20</v>
      </c>
      <c r="C54" s="15"/>
      <c r="D54" s="7">
        <v>2023</v>
      </c>
      <c r="E54" s="14">
        <v>0</v>
      </c>
      <c r="F54" s="17"/>
      <c r="G54" s="7">
        <v>2023</v>
      </c>
      <c r="H54" s="14">
        <v>100</v>
      </c>
      <c r="I54" s="17"/>
      <c r="J54" s="7">
        <v>2023</v>
      </c>
      <c r="K54" s="14">
        <v>0</v>
      </c>
      <c r="L54" s="17"/>
      <c r="M54" s="7">
        <v>2023</v>
      </c>
      <c r="N54" s="14">
        <v>0</v>
      </c>
      <c r="O54" s="17"/>
      <c r="P54" s="7">
        <v>2023</v>
      </c>
      <c r="Q54" s="14">
        <v>0</v>
      </c>
      <c r="R54" s="23"/>
    </row>
    <row r="55" spans="1:24" ht="24.75" customHeight="1"/>
    <row r="56" spans="1:24" ht="24.75" customHeight="1">
      <c r="A56" s="5" t="s">
        <v>5</v>
      </c>
      <c r="B56" s="294" t="s">
        <v>204</v>
      </c>
      <c r="C56" s="295"/>
      <c r="D56" s="295"/>
      <c r="E56" s="295"/>
      <c r="F56" s="295"/>
      <c r="G56" s="295"/>
      <c r="H56" s="295"/>
      <c r="I56" s="295"/>
      <c r="J56" s="295"/>
      <c r="K56" s="295"/>
      <c r="L56" s="295"/>
      <c r="M56" s="295"/>
      <c r="N56" s="295"/>
      <c r="O56" s="295"/>
      <c r="P56" s="295"/>
      <c r="Q56" s="295"/>
      <c r="R56" s="295"/>
      <c r="S56" s="295"/>
      <c r="T56" s="295"/>
      <c r="U56" s="295"/>
      <c r="V56" s="295"/>
      <c r="W56" s="295"/>
      <c r="X56" s="296"/>
    </row>
    <row r="57" spans="1:24" ht="24.75" customHeight="1">
      <c r="A57" s="5" t="s">
        <v>7</v>
      </c>
      <c r="B57" s="290" t="s">
        <v>205</v>
      </c>
      <c r="C57" s="291"/>
      <c r="D57" s="5" t="s">
        <v>7</v>
      </c>
      <c r="E57" s="292" t="s">
        <v>206</v>
      </c>
      <c r="F57" s="293"/>
      <c r="G57" s="5" t="s">
        <v>7</v>
      </c>
      <c r="H57" s="292" t="s">
        <v>207</v>
      </c>
      <c r="I57" s="293"/>
      <c r="J57" s="5" t="s">
        <v>7</v>
      </c>
      <c r="K57" s="292" t="s">
        <v>208</v>
      </c>
      <c r="L57" s="293"/>
      <c r="M57" s="5" t="s">
        <v>7</v>
      </c>
      <c r="N57" s="292" t="s">
        <v>209</v>
      </c>
      <c r="O57" s="293"/>
      <c r="P57" s="5" t="s">
        <v>7</v>
      </c>
      <c r="Q57" s="292" t="s">
        <v>210</v>
      </c>
      <c r="R57" s="293"/>
      <c r="S57" s="5" t="s">
        <v>7</v>
      </c>
      <c r="T57" s="292" t="s">
        <v>211</v>
      </c>
      <c r="U57" s="293"/>
      <c r="V57" s="5" t="s">
        <v>7</v>
      </c>
      <c r="W57" s="292" t="s">
        <v>212</v>
      </c>
      <c r="X57" s="293"/>
    </row>
    <row r="58" spans="1:24" ht="24.75" customHeight="1">
      <c r="A58" s="5" t="s">
        <v>13</v>
      </c>
      <c r="B58" s="290"/>
      <c r="C58" s="291"/>
      <c r="D58" s="5" t="s">
        <v>13</v>
      </c>
      <c r="E58" s="292"/>
      <c r="F58" s="293"/>
      <c r="G58" s="5" t="s">
        <v>13</v>
      </c>
      <c r="H58" s="286"/>
      <c r="I58" s="287"/>
      <c r="J58" s="5" t="s">
        <v>13</v>
      </c>
      <c r="K58" s="286"/>
      <c r="L58" s="287"/>
      <c r="M58" s="5" t="s">
        <v>13</v>
      </c>
      <c r="N58" s="286"/>
      <c r="O58" s="287"/>
      <c r="P58" s="5" t="s">
        <v>13</v>
      </c>
      <c r="Q58" s="286"/>
      <c r="R58" s="287"/>
      <c r="S58" s="5" t="s">
        <v>13</v>
      </c>
      <c r="T58" s="286"/>
      <c r="U58" s="287"/>
      <c r="V58" s="5" t="s">
        <v>13</v>
      </c>
      <c r="W58" s="286"/>
      <c r="X58" s="287"/>
    </row>
    <row r="59" spans="1:24" ht="24.75" customHeight="1">
      <c r="A59" s="7" t="s">
        <v>19</v>
      </c>
      <c r="B59" s="280" t="s">
        <v>213</v>
      </c>
      <c r="C59" s="281"/>
      <c r="D59" s="7" t="s">
        <v>19</v>
      </c>
      <c r="E59" s="280" t="s">
        <v>214</v>
      </c>
      <c r="F59" s="281"/>
      <c r="G59" s="7" t="s">
        <v>19</v>
      </c>
      <c r="H59" s="280" t="s">
        <v>215</v>
      </c>
      <c r="I59" s="281"/>
      <c r="J59" s="7" t="s">
        <v>19</v>
      </c>
      <c r="K59" s="280" t="s">
        <v>88</v>
      </c>
      <c r="L59" s="281"/>
      <c r="M59" s="7" t="s">
        <v>19</v>
      </c>
      <c r="N59" s="280" t="s">
        <v>216</v>
      </c>
      <c r="O59" s="281"/>
      <c r="P59" s="7" t="s">
        <v>19</v>
      </c>
      <c r="Q59" s="280" t="s">
        <v>217</v>
      </c>
      <c r="R59" s="281"/>
      <c r="S59" s="7" t="s">
        <v>19</v>
      </c>
      <c r="T59" s="280" t="s">
        <v>218</v>
      </c>
      <c r="U59" s="281"/>
      <c r="V59" s="7" t="s">
        <v>19</v>
      </c>
      <c r="W59" s="280" t="s">
        <v>219</v>
      </c>
      <c r="X59" s="281"/>
    </row>
    <row r="60" spans="1:24" ht="24.75" customHeight="1">
      <c r="A60" s="7" t="s">
        <v>30</v>
      </c>
      <c r="B60" s="280" t="s">
        <v>31</v>
      </c>
      <c r="C60" s="281"/>
      <c r="D60" s="7" t="s">
        <v>30</v>
      </c>
      <c r="E60" s="271" t="s">
        <v>220</v>
      </c>
      <c r="F60" s="272"/>
      <c r="G60" s="7" t="s">
        <v>30</v>
      </c>
      <c r="H60" s="271" t="s">
        <v>221</v>
      </c>
      <c r="I60" s="272"/>
      <c r="J60" s="7" t="s">
        <v>30</v>
      </c>
      <c r="K60" s="271" t="s">
        <v>101</v>
      </c>
      <c r="L60" s="272"/>
      <c r="M60" s="7" t="s">
        <v>30</v>
      </c>
      <c r="N60" s="271" t="s">
        <v>222</v>
      </c>
      <c r="O60" s="272"/>
      <c r="P60" s="7" t="s">
        <v>30</v>
      </c>
      <c r="Q60" s="271" t="s">
        <v>217</v>
      </c>
      <c r="R60" s="272"/>
      <c r="S60" s="7" t="s">
        <v>30</v>
      </c>
      <c r="T60" s="271" t="s">
        <v>223</v>
      </c>
      <c r="U60" s="272"/>
      <c r="V60" s="7" t="s">
        <v>30</v>
      </c>
      <c r="W60" s="284" t="s">
        <v>224</v>
      </c>
      <c r="X60" s="285"/>
    </row>
    <row r="61" spans="1:24" ht="24.75" customHeight="1">
      <c r="A61" s="7" t="s">
        <v>41</v>
      </c>
      <c r="B61" s="271" t="s">
        <v>42</v>
      </c>
      <c r="C61" s="272"/>
      <c r="D61" s="7" t="s">
        <v>41</v>
      </c>
      <c r="E61" s="259" t="s">
        <v>225</v>
      </c>
      <c r="F61" s="260"/>
      <c r="G61" s="7" t="s">
        <v>41</v>
      </c>
      <c r="H61" s="271" t="s">
        <v>226</v>
      </c>
      <c r="I61" s="272"/>
      <c r="J61" s="7" t="s">
        <v>41</v>
      </c>
      <c r="K61" s="271" t="s">
        <v>115</v>
      </c>
      <c r="L61" s="272"/>
      <c r="M61" s="7" t="s">
        <v>41</v>
      </c>
      <c r="N61" s="271" t="s">
        <v>227</v>
      </c>
      <c r="O61" s="272"/>
      <c r="P61" s="7" t="s">
        <v>41</v>
      </c>
      <c r="Q61" s="271" t="s">
        <v>228</v>
      </c>
      <c r="R61" s="272"/>
      <c r="S61" s="7" t="s">
        <v>41</v>
      </c>
      <c r="T61" s="280" t="s">
        <v>229</v>
      </c>
      <c r="U61" s="281"/>
      <c r="V61" s="7" t="s">
        <v>41</v>
      </c>
      <c r="W61" s="271" t="s">
        <v>230</v>
      </c>
      <c r="X61" s="272"/>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 t="shared" ref="B63:B66" si="5">AVERAGE(E63,((H63+K63)/2),((N63+Q63+T63)/3),W63)</f>
        <v>50</v>
      </c>
      <c r="C63" s="16"/>
      <c r="D63" s="7">
        <v>2020</v>
      </c>
      <c r="E63" s="21">
        <v>50</v>
      </c>
      <c r="F63" s="17"/>
      <c r="G63" s="7">
        <v>2020</v>
      </c>
      <c r="H63" s="14">
        <v>0</v>
      </c>
      <c r="I63" s="17"/>
      <c r="J63" s="7">
        <v>2020</v>
      </c>
      <c r="K63" s="14">
        <v>0</v>
      </c>
      <c r="L63" s="17"/>
      <c r="M63" s="7">
        <v>2020</v>
      </c>
      <c r="N63" s="14">
        <v>50</v>
      </c>
      <c r="O63" s="17" t="s">
        <v>231</v>
      </c>
      <c r="P63" s="7">
        <v>2020</v>
      </c>
      <c r="Q63" s="14">
        <v>50</v>
      </c>
      <c r="R63" s="17"/>
      <c r="S63" s="7">
        <v>2020</v>
      </c>
      <c r="T63" s="14">
        <v>50</v>
      </c>
      <c r="U63" s="17"/>
      <c r="V63" s="7">
        <v>2020</v>
      </c>
      <c r="W63" s="14">
        <v>100</v>
      </c>
      <c r="X63" s="22" t="s">
        <v>56</v>
      </c>
    </row>
    <row r="64" spans="1:24" ht="24.75" customHeight="1">
      <c r="A64" s="7">
        <v>2021</v>
      </c>
      <c r="B64" s="15">
        <f t="shared" si="5"/>
        <v>50</v>
      </c>
      <c r="C64" s="15"/>
      <c r="D64" s="7">
        <v>2021</v>
      </c>
      <c r="E64" s="21">
        <v>50</v>
      </c>
      <c r="F64" s="17"/>
      <c r="G64" s="7">
        <v>2021</v>
      </c>
      <c r="H64" s="14">
        <v>0</v>
      </c>
      <c r="I64" s="17"/>
      <c r="J64" s="7">
        <v>2021</v>
      </c>
      <c r="K64" s="14">
        <v>0</v>
      </c>
      <c r="L64" s="17"/>
      <c r="M64" s="7">
        <v>2021</v>
      </c>
      <c r="N64" s="14">
        <v>50</v>
      </c>
      <c r="O64" s="17"/>
      <c r="P64" s="7">
        <v>2021</v>
      </c>
      <c r="Q64" s="14">
        <v>50</v>
      </c>
      <c r="R64" s="17"/>
      <c r="S64" s="7">
        <v>2021</v>
      </c>
      <c r="T64" s="14">
        <v>50</v>
      </c>
      <c r="U64" s="17"/>
      <c r="V64" s="7">
        <v>2021</v>
      </c>
      <c r="W64" s="14">
        <v>100</v>
      </c>
      <c r="X64" s="23"/>
    </row>
    <row r="65" spans="1:54" ht="24.75" customHeight="1">
      <c r="A65" s="7">
        <v>2022</v>
      </c>
      <c r="B65" s="15">
        <f t="shared" si="5"/>
        <v>50</v>
      </c>
      <c r="C65" s="15"/>
      <c r="D65" s="7">
        <v>2022</v>
      </c>
      <c r="E65" s="21">
        <v>50</v>
      </c>
      <c r="F65" s="17"/>
      <c r="G65" s="7">
        <v>2022</v>
      </c>
      <c r="H65" s="14">
        <v>0</v>
      </c>
      <c r="I65" s="17"/>
      <c r="J65" s="7">
        <v>2022</v>
      </c>
      <c r="K65" s="14">
        <v>0</v>
      </c>
      <c r="L65" s="17"/>
      <c r="M65" s="7">
        <v>2022</v>
      </c>
      <c r="N65" s="14">
        <v>50</v>
      </c>
      <c r="O65" s="17"/>
      <c r="P65" s="7">
        <v>2022</v>
      </c>
      <c r="Q65" s="14">
        <v>50</v>
      </c>
      <c r="R65" s="17"/>
      <c r="S65" s="7">
        <v>2022</v>
      </c>
      <c r="T65" s="14">
        <v>50</v>
      </c>
      <c r="U65" s="17"/>
      <c r="V65" s="7">
        <v>2022</v>
      </c>
      <c r="W65" s="14">
        <v>100</v>
      </c>
      <c r="X65" s="23"/>
    </row>
    <row r="66" spans="1:54" ht="24.75" customHeight="1">
      <c r="A66" s="7">
        <v>2023</v>
      </c>
      <c r="B66" s="15">
        <f t="shared" si="5"/>
        <v>50</v>
      </c>
      <c r="C66" s="15"/>
      <c r="D66" s="7">
        <v>2023</v>
      </c>
      <c r="E66" s="21">
        <v>50</v>
      </c>
      <c r="F66" s="17"/>
      <c r="G66" s="7">
        <v>2023</v>
      </c>
      <c r="H66" s="14">
        <v>0</v>
      </c>
      <c r="I66" s="17"/>
      <c r="J66" s="7">
        <v>2023</v>
      </c>
      <c r="K66" s="14">
        <v>0</v>
      </c>
      <c r="L66" s="17"/>
      <c r="M66" s="7">
        <v>2023</v>
      </c>
      <c r="N66" s="14">
        <v>50</v>
      </c>
      <c r="O66" s="17"/>
      <c r="P66" s="7">
        <v>2023</v>
      </c>
      <c r="Q66" s="14">
        <v>50</v>
      </c>
      <c r="R66" s="17"/>
      <c r="S66" s="7">
        <v>2023</v>
      </c>
      <c r="T66" s="14">
        <v>50</v>
      </c>
      <c r="U66" s="17"/>
      <c r="V66" s="7">
        <v>2023</v>
      </c>
      <c r="W66" s="14">
        <v>100</v>
      </c>
      <c r="X66" s="23"/>
    </row>
    <row r="67" spans="1:54" ht="24.75" customHeight="1"/>
    <row r="68" spans="1:54" ht="24.75" customHeight="1">
      <c r="A68" s="5" t="s">
        <v>5</v>
      </c>
      <c r="B68" s="294" t="s">
        <v>232</v>
      </c>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6"/>
    </row>
    <row r="69" spans="1:54" ht="24.75" customHeight="1">
      <c r="A69" s="5" t="s">
        <v>7</v>
      </c>
      <c r="B69" s="290" t="s">
        <v>233</v>
      </c>
      <c r="C69" s="291"/>
      <c r="D69" s="5" t="s">
        <v>7</v>
      </c>
      <c r="E69" s="292" t="s">
        <v>234</v>
      </c>
      <c r="F69" s="293"/>
      <c r="G69" s="5" t="s">
        <v>7</v>
      </c>
      <c r="H69" s="292" t="s">
        <v>235</v>
      </c>
      <c r="I69" s="293"/>
      <c r="J69" s="5" t="s">
        <v>7</v>
      </c>
      <c r="K69" s="292" t="s">
        <v>236</v>
      </c>
      <c r="L69" s="293"/>
      <c r="M69" s="5" t="s">
        <v>7</v>
      </c>
      <c r="N69" s="292"/>
      <c r="O69" s="293"/>
      <c r="P69" s="5" t="s">
        <v>7</v>
      </c>
      <c r="Q69" s="292"/>
      <c r="R69" s="293"/>
      <c r="S69" s="5" t="s">
        <v>7</v>
      </c>
      <c r="T69" s="292"/>
      <c r="U69" s="293"/>
      <c r="V69" s="5" t="s">
        <v>7</v>
      </c>
      <c r="W69" s="292"/>
      <c r="X69" s="293"/>
      <c r="Y69" s="5" t="s">
        <v>7</v>
      </c>
      <c r="Z69" s="292" t="s">
        <v>237</v>
      </c>
      <c r="AA69" s="293"/>
    </row>
    <row r="70" spans="1:54" ht="24.75" customHeight="1">
      <c r="A70" s="5" t="s">
        <v>13</v>
      </c>
      <c r="B70" s="290"/>
      <c r="C70" s="291"/>
      <c r="D70" s="5" t="s">
        <v>13</v>
      </c>
      <c r="E70" s="292"/>
      <c r="F70" s="293"/>
      <c r="G70" s="5" t="s">
        <v>13</v>
      </c>
      <c r="H70" s="286"/>
      <c r="I70" s="287"/>
      <c r="J70" s="5" t="s">
        <v>13</v>
      </c>
      <c r="K70" s="286"/>
      <c r="L70" s="287"/>
      <c r="M70" s="5" t="s">
        <v>13</v>
      </c>
      <c r="N70" s="286" t="s">
        <v>238</v>
      </c>
      <c r="O70" s="287"/>
      <c r="P70" s="5" t="s">
        <v>13</v>
      </c>
      <c r="Q70" s="286" t="s">
        <v>239</v>
      </c>
      <c r="R70" s="287"/>
      <c r="S70" s="5" t="s">
        <v>13</v>
      </c>
      <c r="T70" s="286" t="s">
        <v>240</v>
      </c>
      <c r="U70" s="287"/>
      <c r="V70" s="5" t="s">
        <v>13</v>
      </c>
      <c r="W70" s="286" t="s">
        <v>241</v>
      </c>
      <c r="X70" s="287"/>
      <c r="Y70" s="5" t="s">
        <v>13</v>
      </c>
      <c r="Z70" s="286"/>
      <c r="AA70" s="287"/>
    </row>
    <row r="71" spans="1:54" ht="24.75" customHeight="1">
      <c r="A71" s="7" t="s">
        <v>19</v>
      </c>
      <c r="B71" s="280" t="s">
        <v>242</v>
      </c>
      <c r="C71" s="281"/>
      <c r="D71" s="7" t="s">
        <v>19</v>
      </c>
      <c r="E71" s="280" t="s">
        <v>243</v>
      </c>
      <c r="F71" s="281"/>
      <c r="G71" s="7" t="s">
        <v>19</v>
      </c>
      <c r="H71" s="263" t="s">
        <v>244</v>
      </c>
      <c r="I71" s="264"/>
      <c r="J71" s="7" t="s">
        <v>19</v>
      </c>
      <c r="K71" s="280" t="s">
        <v>245</v>
      </c>
      <c r="L71" s="281"/>
      <c r="M71" s="7" t="s">
        <v>19</v>
      </c>
      <c r="N71" s="280" t="s">
        <v>246</v>
      </c>
      <c r="O71" s="281"/>
      <c r="P71" s="7" t="s">
        <v>19</v>
      </c>
      <c r="Q71" s="280" t="s">
        <v>247</v>
      </c>
      <c r="R71" s="281"/>
      <c r="S71" s="7" t="s">
        <v>19</v>
      </c>
      <c r="T71" s="280" t="s">
        <v>88</v>
      </c>
      <c r="U71" s="281"/>
      <c r="V71" s="7" t="s">
        <v>19</v>
      </c>
      <c r="W71" s="280" t="s">
        <v>248</v>
      </c>
      <c r="X71" s="281"/>
      <c r="Y71" s="7" t="s">
        <v>19</v>
      </c>
      <c r="Z71" s="280" t="s">
        <v>249</v>
      </c>
      <c r="AA71" s="281"/>
    </row>
    <row r="72" spans="1:54" ht="24.75" customHeight="1">
      <c r="A72" s="7" t="s">
        <v>30</v>
      </c>
      <c r="B72" s="280" t="s">
        <v>31</v>
      </c>
      <c r="C72" s="281"/>
      <c r="D72" s="7" t="s">
        <v>30</v>
      </c>
      <c r="E72" s="271" t="s">
        <v>250</v>
      </c>
      <c r="F72" s="272"/>
      <c r="G72" s="7" t="s">
        <v>30</v>
      </c>
      <c r="H72" s="259" t="s">
        <v>251</v>
      </c>
      <c r="I72" s="260"/>
      <c r="J72" s="7" t="s">
        <v>30</v>
      </c>
      <c r="K72" s="271" t="s">
        <v>252</v>
      </c>
      <c r="L72" s="272"/>
      <c r="M72" s="7" t="s">
        <v>30</v>
      </c>
      <c r="N72" s="271" t="s">
        <v>253</v>
      </c>
      <c r="O72" s="272"/>
      <c r="P72" s="7" t="s">
        <v>30</v>
      </c>
      <c r="Q72" s="271" t="s">
        <v>254</v>
      </c>
      <c r="R72" s="272"/>
      <c r="S72" s="7" t="s">
        <v>30</v>
      </c>
      <c r="T72" s="271" t="s">
        <v>255</v>
      </c>
      <c r="U72" s="272"/>
      <c r="V72" s="7" t="s">
        <v>30</v>
      </c>
      <c r="W72" s="271" t="s">
        <v>256</v>
      </c>
      <c r="X72" s="272"/>
      <c r="Y72" s="7" t="s">
        <v>30</v>
      </c>
      <c r="Z72" s="271" t="s">
        <v>257</v>
      </c>
      <c r="AA72" s="272"/>
    </row>
    <row r="73" spans="1:54" ht="24.75" customHeight="1">
      <c r="A73" s="7" t="s">
        <v>41</v>
      </c>
      <c r="B73" s="271" t="s">
        <v>42</v>
      </c>
      <c r="C73" s="272"/>
      <c r="D73" s="7" t="s">
        <v>41</v>
      </c>
      <c r="E73" s="280" t="s">
        <v>258</v>
      </c>
      <c r="F73" s="281"/>
      <c r="G73" s="7" t="s">
        <v>41</v>
      </c>
      <c r="H73" s="259" t="s">
        <v>259</v>
      </c>
      <c r="I73" s="260"/>
      <c r="J73" s="7" t="s">
        <v>41</v>
      </c>
      <c r="K73" s="271" t="s">
        <v>42</v>
      </c>
      <c r="L73" s="272"/>
      <c r="M73" s="7" t="s">
        <v>41</v>
      </c>
      <c r="N73" s="271" t="s">
        <v>260</v>
      </c>
      <c r="O73" s="272"/>
      <c r="P73" s="7" t="s">
        <v>41</v>
      </c>
      <c r="Q73" s="271" t="s">
        <v>261</v>
      </c>
      <c r="R73" s="272"/>
      <c r="S73" s="7" t="s">
        <v>41</v>
      </c>
      <c r="T73" s="271" t="s">
        <v>262</v>
      </c>
      <c r="U73" s="272"/>
      <c r="V73" s="7" t="s">
        <v>41</v>
      </c>
      <c r="W73" s="271" t="s">
        <v>263</v>
      </c>
      <c r="X73" s="272"/>
      <c r="Y73" s="7" t="s">
        <v>41</v>
      </c>
      <c r="Z73" s="263" t="s">
        <v>264</v>
      </c>
      <c r="AA73" s="264"/>
    </row>
    <row r="74" spans="1:54"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54" ht="24.75" customHeight="1">
      <c r="A75" s="7">
        <v>2020</v>
      </c>
      <c r="B75" s="15">
        <f t="shared" ref="B75:B78" si="6">AVERAGE(E75,H75,K75,Z75)</f>
        <v>12.5</v>
      </c>
      <c r="C75" s="15"/>
      <c r="D75" s="7">
        <v>2020</v>
      </c>
      <c r="E75" s="14">
        <v>0</v>
      </c>
      <c r="F75" s="17"/>
      <c r="G75" s="7">
        <v>2020</v>
      </c>
      <c r="H75" s="14">
        <v>0</v>
      </c>
      <c r="I75" s="17"/>
      <c r="J75" s="7">
        <v>2020</v>
      </c>
      <c r="K75" s="31">
        <f t="shared" ref="K75:K78" si="7">AVERAGE(N75,Q75,T75,W75)</f>
        <v>0</v>
      </c>
      <c r="L75" s="14"/>
      <c r="M75" s="7">
        <v>2020</v>
      </c>
      <c r="N75" s="21">
        <v>0</v>
      </c>
      <c r="O75" s="17"/>
      <c r="P75" s="7">
        <v>2020</v>
      </c>
      <c r="Q75" s="21">
        <v>0</v>
      </c>
      <c r="R75" s="17"/>
      <c r="S75" s="7">
        <v>2020</v>
      </c>
      <c r="T75" s="21">
        <v>0</v>
      </c>
      <c r="U75" s="17"/>
      <c r="V75" s="7">
        <v>2020</v>
      </c>
      <c r="W75" s="21">
        <v>0</v>
      </c>
      <c r="X75" s="17"/>
      <c r="Y75" s="7">
        <v>2020</v>
      </c>
      <c r="Z75" s="14">
        <v>50</v>
      </c>
      <c r="AA75" s="23"/>
    </row>
    <row r="76" spans="1:54" ht="24.75" customHeight="1">
      <c r="A76" s="7">
        <v>2021</v>
      </c>
      <c r="B76" s="15">
        <f t="shared" si="6"/>
        <v>12.5</v>
      </c>
      <c r="C76" s="15"/>
      <c r="D76" s="7">
        <v>2021</v>
      </c>
      <c r="E76" s="14">
        <v>0</v>
      </c>
      <c r="F76" s="17"/>
      <c r="G76" s="7">
        <v>2021</v>
      </c>
      <c r="H76" s="14">
        <v>0</v>
      </c>
      <c r="I76" s="17"/>
      <c r="J76" s="7">
        <v>2021</v>
      </c>
      <c r="K76" s="31">
        <f t="shared" si="7"/>
        <v>0</v>
      </c>
      <c r="L76" s="14"/>
      <c r="M76" s="7">
        <v>2021</v>
      </c>
      <c r="N76" s="21">
        <v>0</v>
      </c>
      <c r="O76" s="17"/>
      <c r="P76" s="7">
        <v>2021</v>
      </c>
      <c r="Q76" s="21">
        <v>0</v>
      </c>
      <c r="R76" s="17"/>
      <c r="S76" s="7">
        <v>2021</v>
      </c>
      <c r="T76" s="21">
        <v>0</v>
      </c>
      <c r="U76" s="17"/>
      <c r="V76" s="7">
        <v>2021</v>
      </c>
      <c r="W76" s="21">
        <v>0</v>
      </c>
      <c r="X76" s="17"/>
      <c r="Y76" s="7">
        <v>2021</v>
      </c>
      <c r="Z76" s="14">
        <v>50</v>
      </c>
      <c r="AA76" s="23"/>
    </row>
    <row r="77" spans="1:54" s="38" customFormat="1" ht="24.75" customHeight="1">
      <c r="A77" s="7">
        <v>2022</v>
      </c>
      <c r="B77" s="15">
        <f t="shared" si="6"/>
        <v>12.5</v>
      </c>
      <c r="C77" s="15"/>
      <c r="D77" s="7">
        <v>2022</v>
      </c>
      <c r="E77" s="14">
        <v>0</v>
      </c>
      <c r="F77" s="17"/>
      <c r="G77" s="7">
        <v>2022</v>
      </c>
      <c r="H77" s="14">
        <v>0</v>
      </c>
      <c r="I77" s="17"/>
      <c r="J77" s="7">
        <v>2022</v>
      </c>
      <c r="K77" s="31">
        <f t="shared" si="7"/>
        <v>0</v>
      </c>
      <c r="L77" s="14"/>
      <c r="M77" s="7">
        <v>2022</v>
      </c>
      <c r="N77" s="21">
        <v>0</v>
      </c>
      <c r="O77" s="17"/>
      <c r="P77" s="7">
        <v>2022</v>
      </c>
      <c r="Q77" s="21">
        <v>0</v>
      </c>
      <c r="R77" s="17"/>
      <c r="S77" s="7">
        <v>2022</v>
      </c>
      <c r="T77" s="21">
        <v>0</v>
      </c>
      <c r="U77" s="17"/>
      <c r="V77" s="7">
        <v>2022</v>
      </c>
      <c r="W77" s="21">
        <v>0</v>
      </c>
      <c r="X77" s="17"/>
      <c r="Y77" s="7">
        <v>2022</v>
      </c>
      <c r="Z77" s="14">
        <v>50</v>
      </c>
      <c r="AA77" s="23"/>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row>
    <row r="78" spans="1:54" s="38" customFormat="1" ht="24.75" customHeight="1">
      <c r="A78" s="7">
        <v>2023</v>
      </c>
      <c r="B78" s="15">
        <f t="shared" si="6"/>
        <v>12.5</v>
      </c>
      <c r="C78" s="15"/>
      <c r="D78" s="7">
        <v>2023</v>
      </c>
      <c r="E78" s="14">
        <v>0</v>
      </c>
      <c r="F78" s="17"/>
      <c r="G78" s="7">
        <v>2023</v>
      </c>
      <c r="H78" s="14">
        <v>0</v>
      </c>
      <c r="I78" s="17"/>
      <c r="J78" s="7">
        <v>2023</v>
      </c>
      <c r="K78" s="31">
        <f t="shared" si="7"/>
        <v>0</v>
      </c>
      <c r="L78" s="14"/>
      <c r="M78" s="7">
        <v>2023</v>
      </c>
      <c r="N78" s="21">
        <v>0</v>
      </c>
      <c r="O78" s="17"/>
      <c r="P78" s="7">
        <v>2023</v>
      </c>
      <c r="Q78" s="21">
        <v>0</v>
      </c>
      <c r="R78" s="17"/>
      <c r="S78" s="7">
        <v>2023</v>
      </c>
      <c r="T78" s="21">
        <v>0</v>
      </c>
      <c r="U78" s="17"/>
      <c r="V78" s="7">
        <v>2023</v>
      </c>
      <c r="W78" s="21">
        <v>0</v>
      </c>
      <c r="X78" s="17"/>
      <c r="Y78" s="7">
        <v>2023</v>
      </c>
      <c r="Z78" s="14">
        <v>50</v>
      </c>
      <c r="AA78" s="23"/>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row>
    <row r="79" spans="1:54" s="38" customFormat="1" ht="24.75" customHeight="1">
      <c r="A79" s="1"/>
      <c r="B79" s="1"/>
      <c r="C79" s="1"/>
      <c r="D79" s="1"/>
      <c r="E79" s="1"/>
      <c r="F79" s="1"/>
      <c r="G79" s="1"/>
      <c r="H79" s="1"/>
      <c r="I79" s="1"/>
      <c r="J79" s="1"/>
      <c r="K79" s="1"/>
      <c r="L79" s="1"/>
      <c r="M79" s="1"/>
      <c r="N79" s="1"/>
      <c r="O79" s="1"/>
      <c r="P79" s="1"/>
      <c r="Q79" s="1"/>
      <c r="R79" s="1"/>
      <c r="S79" s="1"/>
      <c r="T79" s="1"/>
      <c r="U79" s="1"/>
      <c r="V79" s="1"/>
      <c r="W79" s="39"/>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row>
    <row r="80" spans="1:54" s="38" customFormat="1"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c r="AH80" s="1"/>
      <c r="AI80" s="1"/>
      <c r="AJ80" s="1"/>
      <c r="AK80" s="1"/>
      <c r="AL80" s="1"/>
      <c r="AM80" s="1"/>
      <c r="AN80" s="1"/>
      <c r="AO80" s="1"/>
      <c r="AP80" s="1"/>
      <c r="AQ80" s="1"/>
      <c r="AR80" s="1"/>
      <c r="AS80" s="1"/>
      <c r="AT80" s="1"/>
      <c r="AU80" s="1"/>
      <c r="AV80" s="1"/>
      <c r="AW80" s="1"/>
      <c r="AX80" s="1"/>
      <c r="AY80" s="1"/>
      <c r="AZ80" s="1"/>
      <c r="BA80" s="1"/>
      <c r="BB80" s="1"/>
    </row>
    <row r="81" spans="1:54" s="38" customFormat="1" ht="24.75" customHeight="1">
      <c r="A81" s="5" t="s">
        <v>7</v>
      </c>
      <c r="B81" s="290" t="s">
        <v>266</v>
      </c>
      <c r="C81" s="291"/>
      <c r="D81" s="5" t="s">
        <v>7</v>
      </c>
      <c r="E81" s="292" t="s">
        <v>267</v>
      </c>
      <c r="F81" s="293"/>
      <c r="G81" s="5" t="s">
        <v>7</v>
      </c>
      <c r="H81" s="292" t="s">
        <v>268</v>
      </c>
      <c r="I81" s="293"/>
      <c r="J81" s="5" t="s">
        <v>7</v>
      </c>
      <c r="K81" s="292"/>
      <c r="L81" s="293"/>
      <c r="M81" s="5" t="s">
        <v>7</v>
      </c>
      <c r="N81" s="292"/>
      <c r="O81" s="293"/>
      <c r="P81" s="5" t="s">
        <v>7</v>
      </c>
      <c r="Q81" s="292"/>
      <c r="R81" s="293"/>
      <c r="S81" s="5" t="s">
        <v>7</v>
      </c>
      <c r="T81" s="292"/>
      <c r="U81" s="293"/>
      <c r="V81" s="5" t="s">
        <v>7</v>
      </c>
      <c r="W81" s="292" t="s">
        <v>269</v>
      </c>
      <c r="X81" s="293"/>
      <c r="Y81" s="5" t="s">
        <v>7</v>
      </c>
      <c r="Z81" s="292" t="s">
        <v>270</v>
      </c>
      <c r="AA81" s="293"/>
      <c r="AB81" s="5" t="s">
        <v>7</v>
      </c>
      <c r="AC81" s="292" t="s">
        <v>271</v>
      </c>
      <c r="AD81" s="293"/>
      <c r="AE81" s="5" t="s">
        <v>7</v>
      </c>
      <c r="AF81" s="292" t="s">
        <v>272</v>
      </c>
      <c r="AG81" s="293"/>
      <c r="AH81" s="1"/>
      <c r="AI81" s="1"/>
      <c r="AJ81" s="1"/>
      <c r="AK81" s="1"/>
      <c r="AL81" s="1"/>
      <c r="AM81" s="1"/>
      <c r="AN81" s="1"/>
      <c r="AO81" s="1"/>
      <c r="AP81" s="1"/>
      <c r="AQ81" s="1"/>
      <c r="AR81" s="1"/>
      <c r="AS81" s="1"/>
      <c r="AT81" s="1"/>
      <c r="AU81" s="1"/>
      <c r="AV81" s="1"/>
      <c r="AW81" s="1"/>
      <c r="AX81" s="1"/>
      <c r="AY81" s="1"/>
      <c r="AZ81" s="1"/>
      <c r="BA81" s="1"/>
      <c r="BB81" s="1"/>
    </row>
    <row r="82" spans="1:54" s="38" customFormat="1" ht="24.75" customHeight="1">
      <c r="A82" s="5" t="s">
        <v>13</v>
      </c>
      <c r="B82" s="290"/>
      <c r="C82" s="291"/>
      <c r="D82" s="5" t="s">
        <v>13</v>
      </c>
      <c r="E82" s="292"/>
      <c r="F82" s="293"/>
      <c r="G82" s="5" t="s">
        <v>13</v>
      </c>
      <c r="H82" s="286"/>
      <c r="I82" s="287"/>
      <c r="J82" s="5" t="s">
        <v>13</v>
      </c>
      <c r="K82" s="286" t="s">
        <v>273</v>
      </c>
      <c r="L82" s="287"/>
      <c r="M82" s="5" t="s">
        <v>13</v>
      </c>
      <c r="N82" s="286" t="s">
        <v>274</v>
      </c>
      <c r="O82" s="287"/>
      <c r="P82" s="5" t="s">
        <v>13</v>
      </c>
      <c r="Q82" s="286" t="s">
        <v>275</v>
      </c>
      <c r="R82" s="287"/>
      <c r="S82" s="5" t="s">
        <v>13</v>
      </c>
      <c r="T82" s="286" t="s">
        <v>276</v>
      </c>
      <c r="U82" s="287"/>
      <c r="V82" s="5" t="s">
        <v>13</v>
      </c>
      <c r="W82" s="286"/>
      <c r="X82" s="287"/>
      <c r="Y82" s="5" t="s">
        <v>13</v>
      </c>
      <c r="Z82" s="286"/>
      <c r="AA82" s="287"/>
      <c r="AB82" s="5" t="s">
        <v>13</v>
      </c>
      <c r="AC82" s="286"/>
      <c r="AD82" s="287"/>
      <c r="AE82" s="5" t="s">
        <v>13</v>
      </c>
      <c r="AF82" s="286"/>
      <c r="AG82" s="287"/>
      <c r="AH82" s="1"/>
      <c r="AI82" s="1"/>
      <c r="AJ82" s="1"/>
      <c r="AK82" s="1"/>
      <c r="AL82" s="1"/>
      <c r="AM82" s="1"/>
      <c r="AN82" s="1"/>
      <c r="AO82" s="1"/>
      <c r="AP82" s="1"/>
      <c r="AQ82" s="1"/>
      <c r="AR82" s="1"/>
      <c r="AS82" s="1"/>
      <c r="AT82" s="1"/>
      <c r="AU82" s="1"/>
      <c r="AV82" s="1"/>
      <c r="AW82" s="1"/>
      <c r="AX82" s="1"/>
      <c r="AY82" s="1"/>
      <c r="AZ82" s="1"/>
      <c r="BA82" s="1"/>
      <c r="BB82" s="1"/>
    </row>
    <row r="83" spans="1:54" s="38" customFormat="1" ht="24.75" customHeight="1">
      <c r="A83" s="7" t="s">
        <v>19</v>
      </c>
      <c r="B83" s="280" t="s">
        <v>277</v>
      </c>
      <c r="C83" s="281"/>
      <c r="D83" s="7" t="s">
        <v>19</v>
      </c>
      <c r="E83" s="280" t="s">
        <v>278</v>
      </c>
      <c r="F83" s="281"/>
      <c r="G83" s="7" t="s">
        <v>19</v>
      </c>
      <c r="H83" s="280" t="s">
        <v>279</v>
      </c>
      <c r="I83" s="281"/>
      <c r="J83" s="7" t="s">
        <v>19</v>
      </c>
      <c r="K83" s="280" t="s">
        <v>280</v>
      </c>
      <c r="L83" s="281"/>
      <c r="M83" s="7" t="s">
        <v>19</v>
      </c>
      <c r="N83" s="280" t="s">
        <v>141</v>
      </c>
      <c r="O83" s="281"/>
      <c r="P83" s="7" t="s">
        <v>19</v>
      </c>
      <c r="Q83" s="280" t="s">
        <v>281</v>
      </c>
      <c r="R83" s="281"/>
      <c r="S83" s="7" t="s">
        <v>19</v>
      </c>
      <c r="T83" s="288" t="s">
        <v>282</v>
      </c>
      <c r="U83" s="289"/>
      <c r="V83" s="7" t="s">
        <v>19</v>
      </c>
      <c r="W83" s="280" t="s">
        <v>283</v>
      </c>
      <c r="X83" s="281"/>
      <c r="Y83" s="7" t="s">
        <v>19</v>
      </c>
      <c r="Z83" s="280" t="s">
        <v>284</v>
      </c>
      <c r="AA83" s="281"/>
      <c r="AB83" s="7" t="s">
        <v>19</v>
      </c>
      <c r="AC83" s="280" t="s">
        <v>285</v>
      </c>
      <c r="AD83" s="281"/>
      <c r="AE83" s="7" t="s">
        <v>19</v>
      </c>
      <c r="AF83" s="280" t="s">
        <v>286</v>
      </c>
      <c r="AG83" s="281"/>
      <c r="AH83" s="1"/>
      <c r="AI83" s="1"/>
      <c r="AJ83" s="1"/>
      <c r="AK83" s="1"/>
      <c r="AL83" s="1"/>
      <c r="AM83" s="1"/>
      <c r="AN83" s="1"/>
      <c r="AO83" s="1"/>
      <c r="AP83" s="1"/>
      <c r="AQ83" s="1"/>
      <c r="AR83" s="1"/>
      <c r="AS83" s="1"/>
      <c r="AT83" s="1"/>
      <c r="AU83" s="1"/>
      <c r="AV83" s="1"/>
      <c r="AW83" s="1"/>
      <c r="AX83" s="1"/>
      <c r="AY83" s="1"/>
      <c r="AZ83" s="1"/>
      <c r="BA83" s="1"/>
      <c r="BB83" s="1"/>
    </row>
    <row r="84" spans="1:54" s="38" customFormat="1" ht="24.75" customHeight="1">
      <c r="A84" s="7" t="s">
        <v>30</v>
      </c>
      <c r="B84" s="280" t="s">
        <v>31</v>
      </c>
      <c r="C84" s="281"/>
      <c r="D84" s="7" t="s">
        <v>30</v>
      </c>
      <c r="E84" s="271" t="s">
        <v>287</v>
      </c>
      <c r="F84" s="272"/>
      <c r="G84" s="7" t="s">
        <v>30</v>
      </c>
      <c r="H84" s="271" t="s">
        <v>288</v>
      </c>
      <c r="I84" s="272"/>
      <c r="J84" s="7" t="s">
        <v>30</v>
      </c>
      <c r="K84" s="271" t="s">
        <v>289</v>
      </c>
      <c r="L84" s="272"/>
      <c r="M84" s="7" t="s">
        <v>30</v>
      </c>
      <c r="N84" s="271" t="s">
        <v>290</v>
      </c>
      <c r="O84" s="272"/>
      <c r="P84" s="7" t="s">
        <v>30</v>
      </c>
      <c r="Q84" s="271" t="s">
        <v>291</v>
      </c>
      <c r="R84" s="272"/>
      <c r="S84" s="7" t="s">
        <v>30</v>
      </c>
      <c r="T84" s="282" t="s">
        <v>292</v>
      </c>
      <c r="U84" s="283"/>
      <c r="V84" s="7" t="s">
        <v>30</v>
      </c>
      <c r="W84" s="284" t="s">
        <v>293</v>
      </c>
      <c r="X84" s="285"/>
      <c r="Y84" s="7" t="s">
        <v>30</v>
      </c>
      <c r="Z84" s="271" t="s">
        <v>294</v>
      </c>
      <c r="AA84" s="272"/>
      <c r="AB84" s="7" t="s">
        <v>30</v>
      </c>
      <c r="AC84" s="271" t="s">
        <v>295</v>
      </c>
      <c r="AD84" s="272"/>
      <c r="AE84" s="7" t="s">
        <v>30</v>
      </c>
      <c r="AF84" s="271" t="s">
        <v>296</v>
      </c>
      <c r="AG84" s="272"/>
      <c r="AH84" s="1"/>
      <c r="AI84" s="1"/>
      <c r="AJ84" s="1"/>
      <c r="AK84" s="1"/>
      <c r="AL84" s="1"/>
      <c r="AM84" s="1"/>
      <c r="AN84" s="1"/>
      <c r="AO84" s="1"/>
      <c r="AP84" s="1"/>
      <c r="AQ84" s="1"/>
      <c r="AR84" s="1"/>
      <c r="AS84" s="1"/>
      <c r="AT84" s="1"/>
      <c r="AU84" s="1"/>
      <c r="AV84" s="1"/>
      <c r="AW84" s="1"/>
      <c r="AX84" s="1"/>
      <c r="AY84" s="1"/>
      <c r="AZ84" s="1"/>
      <c r="BA84" s="1"/>
      <c r="BB84" s="1"/>
    </row>
    <row r="85" spans="1:54" s="38" customFormat="1" ht="24.75" customHeight="1">
      <c r="A85" s="7" t="s">
        <v>41</v>
      </c>
      <c r="B85" s="271" t="s">
        <v>42</v>
      </c>
      <c r="C85" s="272"/>
      <c r="D85" s="7" t="s">
        <v>41</v>
      </c>
      <c r="E85" s="271" t="s">
        <v>297</v>
      </c>
      <c r="F85" s="272"/>
      <c r="G85" s="7" t="s">
        <v>41</v>
      </c>
      <c r="H85" s="271" t="s">
        <v>42</v>
      </c>
      <c r="I85" s="272"/>
      <c r="J85" s="7" t="s">
        <v>41</v>
      </c>
      <c r="K85" s="271" t="s">
        <v>298</v>
      </c>
      <c r="L85" s="272"/>
      <c r="M85" s="7" t="s">
        <v>41</v>
      </c>
      <c r="N85" s="271" t="s">
        <v>298</v>
      </c>
      <c r="O85" s="272"/>
      <c r="P85" s="7" t="s">
        <v>41</v>
      </c>
      <c r="Q85" s="271" t="s">
        <v>298</v>
      </c>
      <c r="R85" s="272"/>
      <c r="S85" s="7" t="s">
        <v>41</v>
      </c>
      <c r="T85" s="271" t="s">
        <v>298</v>
      </c>
      <c r="U85" s="272"/>
      <c r="V85" s="7" t="s">
        <v>41</v>
      </c>
      <c r="W85" s="271" t="s">
        <v>299</v>
      </c>
      <c r="X85" s="272"/>
      <c r="Y85" s="7" t="s">
        <v>41</v>
      </c>
      <c r="Z85" s="271" t="s">
        <v>300</v>
      </c>
      <c r="AA85" s="272"/>
      <c r="AB85" s="7" t="s">
        <v>41</v>
      </c>
      <c r="AC85" s="271" t="s">
        <v>301</v>
      </c>
      <c r="AD85" s="272"/>
      <c r="AE85" s="7" t="s">
        <v>41</v>
      </c>
      <c r="AF85" s="271" t="s">
        <v>302</v>
      </c>
      <c r="AG85" s="272"/>
      <c r="AH85" s="1"/>
      <c r="AI85" s="1"/>
      <c r="AJ85" s="1"/>
      <c r="AK85" s="1"/>
      <c r="AL85" s="1"/>
      <c r="AM85" s="1"/>
      <c r="AN85" s="1"/>
      <c r="AO85" s="1"/>
      <c r="AP85" s="1"/>
      <c r="AQ85" s="1"/>
      <c r="AR85" s="1"/>
      <c r="AS85" s="1"/>
      <c r="AT85" s="1"/>
      <c r="AU85" s="1"/>
      <c r="AV85" s="1"/>
      <c r="AW85" s="1"/>
      <c r="AX85" s="1"/>
      <c r="AY85" s="1"/>
      <c r="AZ85" s="1"/>
      <c r="BA85" s="1"/>
      <c r="BB85" s="1"/>
    </row>
    <row r="86" spans="1:54" s="38" customFormat="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c r="AH86" s="1"/>
      <c r="AI86" s="1"/>
      <c r="AJ86" s="1"/>
      <c r="AK86" s="1"/>
      <c r="AL86" s="1"/>
      <c r="AM86" s="1"/>
      <c r="AN86" s="1"/>
      <c r="AO86" s="1"/>
      <c r="AP86" s="1"/>
      <c r="AQ86" s="1"/>
      <c r="AR86" s="1"/>
      <c r="AS86" s="1"/>
      <c r="AT86" s="1"/>
      <c r="AU86" s="1"/>
      <c r="AV86" s="1"/>
      <c r="AW86" s="1"/>
      <c r="AX86" s="1"/>
      <c r="AY86" s="1"/>
      <c r="AZ86" s="1"/>
      <c r="BA86" s="1"/>
      <c r="BB86" s="1"/>
    </row>
    <row r="87" spans="1:54" ht="30.65" customHeight="1">
      <c r="A87" s="7">
        <v>2020</v>
      </c>
      <c r="B87" s="15">
        <f>AVERAGE(E87,H87, W87,((Z87+AC87+AF87)/3))</f>
        <v>53.125</v>
      </c>
      <c r="C87" s="15"/>
      <c r="D87" s="7">
        <v>2020</v>
      </c>
      <c r="E87" s="21">
        <v>50</v>
      </c>
      <c r="F87" s="20" t="s">
        <v>303</v>
      </c>
      <c r="G87" s="7">
        <v>2020</v>
      </c>
      <c r="H87" s="31">
        <f t="shared" ref="H87:H90" si="8">AVERAGE(K87,N87,Q87,T87)</f>
        <v>62.5</v>
      </c>
      <c r="I87" s="14"/>
      <c r="J87" s="7">
        <v>2020</v>
      </c>
      <c r="K87" s="14">
        <v>100</v>
      </c>
      <c r="L87" s="17"/>
      <c r="M87" s="7">
        <v>2020</v>
      </c>
      <c r="N87" s="14">
        <v>50</v>
      </c>
      <c r="O87" s="17" t="s">
        <v>304</v>
      </c>
      <c r="P87" s="7">
        <v>2020</v>
      </c>
      <c r="Q87" s="21">
        <v>50</v>
      </c>
      <c r="R87" s="17" t="s">
        <v>304</v>
      </c>
      <c r="S87" s="7">
        <v>2020</v>
      </c>
      <c r="T87" s="14">
        <v>50</v>
      </c>
      <c r="U87" s="17" t="s">
        <v>304</v>
      </c>
      <c r="V87" s="7">
        <v>2020</v>
      </c>
      <c r="W87" s="14">
        <v>50</v>
      </c>
      <c r="X87" s="17"/>
      <c r="Y87" s="7">
        <v>2020</v>
      </c>
      <c r="Z87" s="14">
        <v>50</v>
      </c>
      <c r="AA87" s="17"/>
      <c r="AB87" s="7">
        <v>2020</v>
      </c>
      <c r="AC87" s="14">
        <v>100</v>
      </c>
      <c r="AD87" s="17"/>
      <c r="AE87" s="7">
        <v>2020</v>
      </c>
      <c r="AF87" s="14">
        <v>0</v>
      </c>
      <c r="AG87" s="23"/>
    </row>
    <row r="88" spans="1:54" ht="29.4" customHeight="1">
      <c r="A88" s="7">
        <v>2021</v>
      </c>
      <c r="B88" s="15">
        <f>AVERAGE(E88,H88, W88,((Z88+AC88+AF88)/3))</f>
        <v>53.125</v>
      </c>
      <c r="C88" s="15"/>
      <c r="D88" s="7">
        <v>2021</v>
      </c>
      <c r="E88" s="21">
        <v>50</v>
      </c>
      <c r="F88" s="17"/>
      <c r="G88" s="7">
        <v>2021</v>
      </c>
      <c r="H88" s="31">
        <f t="shared" si="8"/>
        <v>62.5</v>
      </c>
      <c r="I88" s="14"/>
      <c r="J88" s="7">
        <v>2021</v>
      </c>
      <c r="K88" s="14">
        <v>100</v>
      </c>
      <c r="L88" s="17"/>
      <c r="M88" s="7">
        <v>2021</v>
      </c>
      <c r="N88" s="14">
        <v>50</v>
      </c>
      <c r="O88" s="17"/>
      <c r="P88" s="7">
        <v>2021</v>
      </c>
      <c r="Q88" s="21">
        <v>50</v>
      </c>
      <c r="R88" s="17"/>
      <c r="S88" s="7">
        <v>2021</v>
      </c>
      <c r="T88" s="14">
        <v>50</v>
      </c>
      <c r="U88" s="17"/>
      <c r="V88" s="7">
        <v>2021</v>
      </c>
      <c r="W88" s="14">
        <v>50</v>
      </c>
      <c r="X88" s="17"/>
      <c r="Y88" s="7">
        <v>2021</v>
      </c>
      <c r="Z88" s="14">
        <v>50</v>
      </c>
      <c r="AA88" s="17"/>
      <c r="AB88" s="7">
        <v>2021</v>
      </c>
      <c r="AC88" s="14">
        <v>100</v>
      </c>
      <c r="AD88" s="17"/>
      <c r="AE88" s="7">
        <v>2021</v>
      </c>
      <c r="AF88" s="14">
        <v>0</v>
      </c>
      <c r="AG88" s="23"/>
    </row>
    <row r="89" spans="1:54" ht="28.25" customHeight="1">
      <c r="A89" s="7">
        <v>2022</v>
      </c>
      <c r="B89" s="15">
        <f>AVERAGE(E89,H89, W89,((Z89+AC89+AF89)/3))</f>
        <v>53.125</v>
      </c>
      <c r="C89" s="15"/>
      <c r="D89" s="7">
        <v>2022</v>
      </c>
      <c r="E89" s="21">
        <v>50</v>
      </c>
      <c r="F89" s="17"/>
      <c r="G89" s="7">
        <v>2022</v>
      </c>
      <c r="H89" s="31">
        <f t="shared" si="8"/>
        <v>62.5</v>
      </c>
      <c r="I89" s="14"/>
      <c r="J89" s="7">
        <v>2022</v>
      </c>
      <c r="K89" s="14">
        <v>100</v>
      </c>
      <c r="L89" s="17"/>
      <c r="M89" s="7">
        <v>2022</v>
      </c>
      <c r="N89" s="14">
        <v>50</v>
      </c>
      <c r="O89" s="17"/>
      <c r="P89" s="7">
        <v>2022</v>
      </c>
      <c r="Q89" s="21">
        <v>50</v>
      </c>
      <c r="R89" s="17"/>
      <c r="S89" s="7">
        <v>2022</v>
      </c>
      <c r="T89" s="14">
        <v>50</v>
      </c>
      <c r="U89" s="17"/>
      <c r="V89" s="7">
        <v>2022</v>
      </c>
      <c r="W89" s="14">
        <v>50</v>
      </c>
      <c r="X89" s="17"/>
      <c r="Y89" s="7">
        <v>2022</v>
      </c>
      <c r="Z89" s="14">
        <v>50</v>
      </c>
      <c r="AA89" s="17"/>
      <c r="AB89" s="7">
        <v>2022</v>
      </c>
      <c r="AC89" s="14">
        <v>100</v>
      </c>
      <c r="AD89" s="17"/>
      <c r="AE89" s="7">
        <v>2022</v>
      </c>
      <c r="AF89" s="14">
        <v>0</v>
      </c>
      <c r="AG89" s="23"/>
    </row>
    <row r="90" spans="1:54" ht="27" customHeight="1">
      <c r="A90" s="7">
        <v>2023</v>
      </c>
      <c r="B90" s="15">
        <f>AVERAGE(E90,H90, W90,((Z90+AC90+AF90)/3))</f>
        <v>53.125</v>
      </c>
      <c r="C90" s="15"/>
      <c r="D90" s="7">
        <v>2023</v>
      </c>
      <c r="E90" s="21">
        <v>50</v>
      </c>
      <c r="F90" s="17"/>
      <c r="G90" s="7">
        <v>2023</v>
      </c>
      <c r="H90" s="31">
        <f t="shared" si="8"/>
        <v>62.5</v>
      </c>
      <c r="I90" s="14"/>
      <c r="J90" s="7">
        <v>2023</v>
      </c>
      <c r="K90" s="14">
        <v>100</v>
      </c>
      <c r="L90" s="17"/>
      <c r="M90" s="7">
        <v>2023</v>
      </c>
      <c r="N90" s="14">
        <v>50</v>
      </c>
      <c r="O90" s="17"/>
      <c r="P90" s="7">
        <v>2023</v>
      </c>
      <c r="Q90" s="21">
        <v>50</v>
      </c>
      <c r="R90" s="17"/>
      <c r="S90" s="7">
        <v>2023</v>
      </c>
      <c r="T90" s="14">
        <v>50</v>
      </c>
      <c r="U90" s="17"/>
      <c r="V90" s="7">
        <v>2023</v>
      </c>
      <c r="W90" s="14">
        <v>50</v>
      </c>
      <c r="X90" s="17"/>
      <c r="Y90" s="7">
        <v>2023</v>
      </c>
      <c r="Z90" s="14">
        <v>50</v>
      </c>
      <c r="AA90" s="17"/>
      <c r="AB90" s="7">
        <v>2023</v>
      </c>
      <c r="AC90" s="14">
        <v>100</v>
      </c>
      <c r="AD90" s="17"/>
      <c r="AE90" s="7">
        <v>2023</v>
      </c>
      <c r="AF90" s="14">
        <v>0</v>
      </c>
      <c r="AG90" s="23"/>
    </row>
    <row r="91" spans="1:54" ht="29.4" customHeight="1"/>
    <row r="92" spans="1:54" ht="28.2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c r="AZ92" s="38"/>
      <c r="BA92" s="38"/>
      <c r="BB92" s="38"/>
    </row>
    <row r="93" spans="1:54" ht="27" customHeight="1">
      <c r="A93" s="26" t="s">
        <v>7</v>
      </c>
      <c r="B93" s="278" t="s">
        <v>306</v>
      </c>
      <c r="C93" s="279"/>
      <c r="D93" s="26" t="s">
        <v>7</v>
      </c>
      <c r="E93" s="278" t="s">
        <v>307</v>
      </c>
      <c r="F93" s="279"/>
      <c r="G93" s="26" t="s">
        <v>7</v>
      </c>
      <c r="H93" s="278">
        <v>148</v>
      </c>
      <c r="I93" s="279"/>
      <c r="J93" s="26" t="s">
        <v>7</v>
      </c>
      <c r="K93" s="278" t="s">
        <v>308</v>
      </c>
      <c r="L93" s="279"/>
      <c r="M93" s="26" t="s">
        <v>7</v>
      </c>
      <c r="N93" s="278">
        <v>149</v>
      </c>
      <c r="O93" s="279"/>
      <c r="P93" s="26" t="s">
        <v>7</v>
      </c>
      <c r="Q93" s="278" t="s">
        <v>309</v>
      </c>
      <c r="R93" s="279"/>
      <c r="S93" s="26" t="s">
        <v>7</v>
      </c>
      <c r="T93" s="278">
        <v>150</v>
      </c>
      <c r="U93" s="279"/>
      <c r="V93" s="26" t="s">
        <v>7</v>
      </c>
      <c r="W93" s="278" t="s">
        <v>310</v>
      </c>
      <c r="X93" s="279"/>
      <c r="Y93" s="26" t="s">
        <v>7</v>
      </c>
      <c r="Z93" s="278" t="s">
        <v>311</v>
      </c>
      <c r="AA93" s="279"/>
      <c r="AB93" s="26" t="s">
        <v>7</v>
      </c>
      <c r="AC93" s="278" t="s">
        <v>312</v>
      </c>
      <c r="AD93" s="279"/>
      <c r="AE93" s="26" t="s">
        <v>7</v>
      </c>
      <c r="AF93" s="278">
        <v>159</v>
      </c>
      <c r="AG93" s="279"/>
      <c r="AH93" s="26" t="s">
        <v>7</v>
      </c>
      <c r="AI93" s="278">
        <v>163</v>
      </c>
      <c r="AJ93" s="279"/>
      <c r="AK93" s="26" t="s">
        <v>7</v>
      </c>
      <c r="AL93" s="278">
        <v>165</v>
      </c>
      <c r="AM93" s="279"/>
      <c r="AN93" s="40"/>
      <c r="AO93" s="40"/>
      <c r="AP93" s="40"/>
      <c r="AQ93" s="40"/>
      <c r="AR93" s="40"/>
      <c r="AS93" s="40"/>
      <c r="AT93" s="40"/>
      <c r="AU93" s="40"/>
      <c r="AV93" s="40"/>
      <c r="AW93" s="40"/>
      <c r="AX93" s="40"/>
      <c r="AY93" s="40"/>
      <c r="AZ93" s="38"/>
      <c r="BA93" s="38"/>
      <c r="BB93" s="38"/>
    </row>
    <row r="94" spans="1:54" ht="28.25" customHeight="1">
      <c r="A94" s="26" t="s">
        <v>13</v>
      </c>
      <c r="B94" s="273"/>
      <c r="C94" s="274"/>
      <c r="D94" s="26" t="s">
        <v>13</v>
      </c>
      <c r="E94" s="267"/>
      <c r="F94" s="268"/>
      <c r="G94" s="26" t="s">
        <v>13</v>
      </c>
      <c r="H94" s="267"/>
      <c r="I94" s="268"/>
      <c r="J94" s="26" t="s">
        <v>13</v>
      </c>
      <c r="K94" s="267"/>
      <c r="L94" s="268"/>
      <c r="M94" s="26" t="s">
        <v>13</v>
      </c>
      <c r="N94" s="267"/>
      <c r="O94" s="268"/>
      <c r="P94" s="26" t="s">
        <v>13</v>
      </c>
      <c r="Q94" s="267"/>
      <c r="R94" s="268"/>
      <c r="S94" s="26" t="s">
        <v>13</v>
      </c>
      <c r="T94" s="267"/>
      <c r="U94" s="268"/>
      <c r="V94" s="26" t="s">
        <v>13</v>
      </c>
      <c r="W94" s="267"/>
      <c r="X94" s="268"/>
      <c r="Y94" s="26" t="s">
        <v>13</v>
      </c>
      <c r="Z94" s="267"/>
      <c r="AA94" s="268"/>
      <c r="AB94" s="26" t="s">
        <v>13</v>
      </c>
      <c r="AC94" s="267"/>
      <c r="AD94" s="268"/>
      <c r="AE94" s="26" t="s">
        <v>13</v>
      </c>
      <c r="AF94" s="267"/>
      <c r="AG94" s="268"/>
      <c r="AH94" s="26" t="s">
        <v>13</v>
      </c>
      <c r="AI94" s="267"/>
      <c r="AJ94" s="268"/>
      <c r="AK94" s="26" t="s">
        <v>13</v>
      </c>
      <c r="AL94" s="267"/>
      <c r="AM94" s="268"/>
      <c r="AN94" s="40"/>
      <c r="AO94" s="40"/>
      <c r="AP94" s="40"/>
      <c r="AQ94" s="40"/>
      <c r="AR94" s="40"/>
      <c r="AS94" s="40"/>
      <c r="AT94" s="40"/>
      <c r="AU94" s="40"/>
      <c r="AV94" s="40"/>
      <c r="AW94" s="40"/>
      <c r="AX94" s="40"/>
      <c r="AY94" s="40"/>
      <c r="AZ94" s="38"/>
      <c r="BA94" s="38"/>
      <c r="BB94" s="38"/>
    </row>
    <row r="95" spans="1:54" ht="29.4" customHeight="1">
      <c r="A95" s="27" t="s">
        <v>19</v>
      </c>
      <c r="B95" s="263" t="s">
        <v>313</v>
      </c>
      <c r="C95" s="264"/>
      <c r="D95" s="27" t="s">
        <v>19</v>
      </c>
      <c r="E95" s="269" t="s">
        <v>314</v>
      </c>
      <c r="F95" s="270"/>
      <c r="G95" s="27" t="s">
        <v>19</v>
      </c>
      <c r="H95" s="263" t="s">
        <v>315</v>
      </c>
      <c r="I95" s="264"/>
      <c r="J95" s="27" t="s">
        <v>19</v>
      </c>
      <c r="K95" s="269" t="s">
        <v>316</v>
      </c>
      <c r="L95" s="270"/>
      <c r="M95" s="27" t="s">
        <v>19</v>
      </c>
      <c r="N95" s="263" t="s">
        <v>317</v>
      </c>
      <c r="O95" s="264"/>
      <c r="P95" s="27" t="s">
        <v>19</v>
      </c>
      <c r="Q95" s="269" t="s">
        <v>318</v>
      </c>
      <c r="R95" s="270"/>
      <c r="S95" s="27" t="s">
        <v>19</v>
      </c>
      <c r="T95" s="263" t="s">
        <v>319</v>
      </c>
      <c r="U95" s="264"/>
      <c r="V95" s="27" t="s">
        <v>19</v>
      </c>
      <c r="W95" s="263" t="s">
        <v>320</v>
      </c>
      <c r="X95" s="264"/>
      <c r="Y95" s="27" t="s">
        <v>19</v>
      </c>
      <c r="Z95" s="263" t="s">
        <v>321</v>
      </c>
      <c r="AA95" s="264"/>
      <c r="AB95" s="27" t="s">
        <v>19</v>
      </c>
      <c r="AC95" s="269" t="s">
        <v>322</v>
      </c>
      <c r="AD95" s="270"/>
      <c r="AE95" s="27" t="s">
        <v>19</v>
      </c>
      <c r="AF95" s="263" t="s">
        <v>323</v>
      </c>
      <c r="AG95" s="264"/>
      <c r="AH95" s="27" t="s">
        <v>19</v>
      </c>
      <c r="AI95" s="263" t="s">
        <v>324</v>
      </c>
      <c r="AJ95" s="264"/>
      <c r="AK95" s="27" t="s">
        <v>19</v>
      </c>
      <c r="AL95" s="263" t="s">
        <v>325</v>
      </c>
      <c r="AM95" s="264"/>
      <c r="AN95" s="40"/>
      <c r="AO95" s="40"/>
      <c r="AP95" s="40"/>
      <c r="AQ95" s="40"/>
      <c r="AR95" s="40"/>
      <c r="AS95" s="40"/>
      <c r="AT95" s="40"/>
      <c r="AU95" s="40"/>
      <c r="AV95" s="40"/>
      <c r="AW95" s="40"/>
      <c r="AX95" s="40"/>
      <c r="AY95" s="40"/>
      <c r="AZ95" s="38"/>
      <c r="BA95" s="38"/>
      <c r="BB95" s="38"/>
    </row>
    <row r="96" spans="1:54" ht="24.65" customHeight="1">
      <c r="A96" s="27" t="s">
        <v>30</v>
      </c>
      <c r="B96" s="263" t="s">
        <v>31</v>
      </c>
      <c r="C96" s="264"/>
      <c r="D96" s="27" t="s">
        <v>30</v>
      </c>
      <c r="E96" s="265" t="s">
        <v>326</v>
      </c>
      <c r="F96" s="266"/>
      <c r="G96" s="27" t="s">
        <v>30</v>
      </c>
      <c r="H96" s="261" t="s">
        <v>327</v>
      </c>
      <c r="I96" s="262"/>
      <c r="J96" s="27" t="s">
        <v>30</v>
      </c>
      <c r="K96" s="265" t="s">
        <v>328</v>
      </c>
      <c r="L96" s="266"/>
      <c r="M96" s="27" t="s">
        <v>30</v>
      </c>
      <c r="N96" s="261" t="s">
        <v>327</v>
      </c>
      <c r="O96" s="262"/>
      <c r="P96" s="27" t="s">
        <v>30</v>
      </c>
      <c r="Q96" s="265" t="s">
        <v>329</v>
      </c>
      <c r="R96" s="266"/>
      <c r="S96" s="27" t="s">
        <v>30</v>
      </c>
      <c r="T96" s="261" t="s">
        <v>327</v>
      </c>
      <c r="U96" s="262"/>
      <c r="V96" s="27" t="s">
        <v>30</v>
      </c>
      <c r="W96" s="259" t="s">
        <v>330</v>
      </c>
      <c r="X96" s="260"/>
      <c r="Y96" s="27" t="s">
        <v>30</v>
      </c>
      <c r="Z96" s="259" t="s">
        <v>331</v>
      </c>
      <c r="AA96" s="260"/>
      <c r="AB96" s="27" t="s">
        <v>30</v>
      </c>
      <c r="AC96" s="257" t="s">
        <v>332</v>
      </c>
      <c r="AD96" s="258"/>
      <c r="AE96" s="27" t="s">
        <v>30</v>
      </c>
      <c r="AF96" s="259" t="s">
        <v>333</v>
      </c>
      <c r="AG96" s="260"/>
      <c r="AH96" s="27" t="s">
        <v>30</v>
      </c>
      <c r="AI96" s="259" t="s">
        <v>334</v>
      </c>
      <c r="AJ96" s="260"/>
      <c r="AK96" s="27" t="s">
        <v>30</v>
      </c>
      <c r="AL96" s="259" t="s">
        <v>335</v>
      </c>
      <c r="AM96" s="260"/>
      <c r="AN96" s="40"/>
      <c r="AO96" s="40"/>
      <c r="AP96" s="40"/>
      <c r="AQ96" s="40"/>
      <c r="AR96" s="40"/>
      <c r="AS96" s="40"/>
      <c r="AT96" s="40"/>
      <c r="AU96" s="40"/>
      <c r="AV96" s="40"/>
      <c r="AW96" s="40"/>
      <c r="AX96" s="40"/>
      <c r="AY96" s="40"/>
      <c r="AZ96" s="38"/>
      <c r="BA96" s="38"/>
      <c r="BB96" s="38"/>
    </row>
    <row r="97" spans="1:54" ht="29.4" customHeight="1">
      <c r="A97" s="27" t="s">
        <v>41</v>
      </c>
      <c r="B97" s="259" t="s">
        <v>42</v>
      </c>
      <c r="C97" s="260"/>
      <c r="D97" s="27" t="s">
        <v>41</v>
      </c>
      <c r="E97" s="257" t="s">
        <v>336</v>
      </c>
      <c r="F97" s="258"/>
      <c r="G97" s="27" t="s">
        <v>41</v>
      </c>
      <c r="H97" s="259" t="s">
        <v>337</v>
      </c>
      <c r="I97" s="260"/>
      <c r="J97" s="27" t="s">
        <v>41</v>
      </c>
      <c r="K97" s="257" t="s">
        <v>338</v>
      </c>
      <c r="L97" s="258"/>
      <c r="M97" s="27" t="s">
        <v>41</v>
      </c>
      <c r="N97" s="259" t="s">
        <v>337</v>
      </c>
      <c r="O97" s="260"/>
      <c r="P97" s="27" t="s">
        <v>41</v>
      </c>
      <c r="Q97" s="257" t="s">
        <v>338</v>
      </c>
      <c r="R97" s="258"/>
      <c r="S97" s="27" t="s">
        <v>41</v>
      </c>
      <c r="T97" s="259" t="s">
        <v>337</v>
      </c>
      <c r="U97" s="260"/>
      <c r="V97" s="27" t="s">
        <v>41</v>
      </c>
      <c r="W97" s="259" t="s">
        <v>339</v>
      </c>
      <c r="X97" s="260"/>
      <c r="Y97" s="27" t="s">
        <v>41</v>
      </c>
      <c r="Z97" s="259" t="s">
        <v>339</v>
      </c>
      <c r="AA97" s="260"/>
      <c r="AB97" s="27" t="s">
        <v>41</v>
      </c>
      <c r="AC97" s="257" t="s">
        <v>340</v>
      </c>
      <c r="AD97" s="258"/>
      <c r="AE97" s="27" t="s">
        <v>41</v>
      </c>
      <c r="AF97" s="259" t="s">
        <v>341</v>
      </c>
      <c r="AG97" s="260"/>
      <c r="AH97" s="27" t="s">
        <v>41</v>
      </c>
      <c r="AI97" s="259" t="s">
        <v>342</v>
      </c>
      <c r="AJ97" s="260"/>
      <c r="AK97" s="27" t="s">
        <v>41</v>
      </c>
      <c r="AL97" s="259" t="s">
        <v>343</v>
      </c>
      <c r="AM97" s="260"/>
      <c r="AN97" s="40"/>
      <c r="AO97" s="40"/>
      <c r="AP97" s="40"/>
      <c r="AQ97" s="40"/>
      <c r="AR97" s="40"/>
      <c r="AS97" s="40"/>
      <c r="AT97" s="40"/>
      <c r="AU97" s="40"/>
      <c r="AV97" s="40"/>
      <c r="AW97" s="40"/>
      <c r="AX97" s="40"/>
      <c r="AY97" s="40"/>
      <c r="AZ97" s="38"/>
      <c r="BA97" s="38"/>
      <c r="BB97" s="38"/>
    </row>
    <row r="98" spans="1:54" ht="28.25" customHeight="1">
      <c r="A98" s="27" t="s">
        <v>1</v>
      </c>
      <c r="B98" s="27" t="s">
        <v>52</v>
      </c>
      <c r="C98" s="27" t="s">
        <v>53</v>
      </c>
      <c r="D98" s="27" t="s">
        <v>121</v>
      </c>
      <c r="E98" s="41" t="s">
        <v>54</v>
      </c>
      <c r="F98" s="41" t="s">
        <v>122</v>
      </c>
      <c r="G98" s="27" t="s">
        <v>121</v>
      </c>
      <c r="H98" s="27" t="s">
        <v>54</v>
      </c>
      <c r="I98" s="27" t="s">
        <v>122</v>
      </c>
      <c r="J98" s="27" t="s">
        <v>121</v>
      </c>
      <c r="K98" s="41" t="s">
        <v>54</v>
      </c>
      <c r="L98" s="41" t="s">
        <v>122</v>
      </c>
      <c r="M98" s="27" t="s">
        <v>121</v>
      </c>
      <c r="N98" s="27" t="s">
        <v>54</v>
      </c>
      <c r="O98" s="27" t="s">
        <v>122</v>
      </c>
      <c r="P98" s="27" t="s">
        <v>121</v>
      </c>
      <c r="Q98" s="41" t="s">
        <v>54</v>
      </c>
      <c r="R98" s="41" t="s">
        <v>122</v>
      </c>
      <c r="S98" s="27" t="s">
        <v>121</v>
      </c>
      <c r="T98" s="27" t="s">
        <v>54</v>
      </c>
      <c r="U98" s="27" t="s">
        <v>122</v>
      </c>
      <c r="V98" s="27" t="s">
        <v>121</v>
      </c>
      <c r="W98" s="27" t="s">
        <v>54</v>
      </c>
      <c r="X98" s="27" t="s">
        <v>122</v>
      </c>
      <c r="Y98" s="27" t="s">
        <v>121</v>
      </c>
      <c r="Z98" s="27" t="s">
        <v>54</v>
      </c>
      <c r="AA98" s="27" t="s">
        <v>122</v>
      </c>
      <c r="AB98" s="27" t="s">
        <v>121</v>
      </c>
      <c r="AC98" s="41" t="s">
        <v>54</v>
      </c>
      <c r="AD98" s="41"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c r="AZ98" s="38"/>
      <c r="BA98" s="38"/>
      <c r="BB98" s="38"/>
    </row>
    <row r="99" spans="1:54" ht="29.4" customHeight="1">
      <c r="A99" s="27">
        <v>2020</v>
      </c>
      <c r="B99" s="42">
        <f>AVERAGE((E99+K99+Q99)/3+(H99+N99+T99)/3+W99+Z99+AC99+AF99+AI99+AL99)/8</f>
        <v>81.291666666666671</v>
      </c>
      <c r="C99" s="43"/>
      <c r="D99" s="27">
        <v>2020</v>
      </c>
      <c r="E99" s="34">
        <v>50</v>
      </c>
      <c r="F99" s="35"/>
      <c r="G99" s="7">
        <v>2020</v>
      </c>
      <c r="H99" s="44">
        <v>100</v>
      </c>
      <c r="I99" s="23"/>
      <c r="J99" s="27">
        <v>2020</v>
      </c>
      <c r="K99" s="45">
        <v>50</v>
      </c>
      <c r="L99" s="35"/>
      <c r="M99" s="7">
        <v>2020</v>
      </c>
      <c r="N99" s="21">
        <v>100</v>
      </c>
      <c r="O99" s="23"/>
      <c r="P99" s="27">
        <v>2020</v>
      </c>
      <c r="Q99" s="34">
        <v>100</v>
      </c>
      <c r="R99" s="35"/>
      <c r="S99" s="7">
        <v>2020</v>
      </c>
      <c r="T99" s="46">
        <v>0</v>
      </c>
      <c r="U99" s="22"/>
      <c r="V99" s="7">
        <v>2020</v>
      </c>
      <c r="W99" s="14">
        <v>67</v>
      </c>
      <c r="X99" s="23" t="s">
        <v>344</v>
      </c>
      <c r="Y99" s="7">
        <v>2020</v>
      </c>
      <c r="Z99" s="14">
        <v>100</v>
      </c>
      <c r="AA99" s="23"/>
      <c r="AB99" s="7">
        <v>2020</v>
      </c>
      <c r="AC99" s="47">
        <v>100</v>
      </c>
      <c r="AD99" s="35" t="s">
        <v>345</v>
      </c>
      <c r="AE99" s="7">
        <v>2020</v>
      </c>
      <c r="AF99" s="33">
        <v>100</v>
      </c>
      <c r="AG99" s="22"/>
      <c r="AH99" s="7">
        <v>2020</v>
      </c>
      <c r="AI99" s="48">
        <v>100</v>
      </c>
      <c r="AJ99" s="23"/>
      <c r="AK99" s="7">
        <v>2020</v>
      </c>
      <c r="AL99" s="21">
        <v>50</v>
      </c>
      <c r="AM99" s="23"/>
      <c r="AN99" s="40"/>
      <c r="AO99" s="40"/>
      <c r="AP99" s="40"/>
      <c r="AQ99" s="40"/>
      <c r="AR99" s="40"/>
      <c r="AS99" s="40"/>
      <c r="AT99" s="40"/>
      <c r="AU99" s="40"/>
      <c r="AV99" s="40"/>
      <c r="AW99" s="40"/>
      <c r="AX99" s="40"/>
      <c r="AY99" s="40"/>
      <c r="AZ99" s="38"/>
      <c r="BA99" s="38"/>
      <c r="BB99" s="38"/>
    </row>
    <row r="100" spans="1:54" ht="27" customHeight="1">
      <c r="A100" s="27">
        <v>2021</v>
      </c>
      <c r="B100" s="42">
        <f>AVERAGE((E100+K100+Q100)/3+(H100+N100+T100)/3+W100+Z100+AC100+AF100+AI100+AL100)/8</f>
        <v>81.291666666666671</v>
      </c>
      <c r="C100" s="49"/>
      <c r="D100" s="27">
        <v>2021</v>
      </c>
      <c r="E100" s="34">
        <v>50</v>
      </c>
      <c r="F100" s="35"/>
      <c r="G100" s="7">
        <v>2021</v>
      </c>
      <c r="H100" s="44">
        <v>100</v>
      </c>
      <c r="I100" s="23"/>
      <c r="J100" s="27">
        <v>2021</v>
      </c>
      <c r="K100" s="45">
        <v>50</v>
      </c>
      <c r="L100" s="35"/>
      <c r="M100" s="7">
        <v>2021</v>
      </c>
      <c r="N100" s="21">
        <v>100</v>
      </c>
      <c r="O100" s="23"/>
      <c r="P100" s="27">
        <v>2021</v>
      </c>
      <c r="Q100" s="34">
        <v>100</v>
      </c>
      <c r="R100" s="35"/>
      <c r="S100" s="7">
        <v>2021</v>
      </c>
      <c r="T100" s="46">
        <v>0</v>
      </c>
      <c r="U100" s="23"/>
      <c r="V100" s="7">
        <v>2021</v>
      </c>
      <c r="W100" s="14">
        <v>67</v>
      </c>
      <c r="X100" s="23"/>
      <c r="Y100" s="7">
        <v>2021</v>
      </c>
      <c r="Z100" s="14">
        <v>100</v>
      </c>
      <c r="AA100" s="23"/>
      <c r="AB100" s="7">
        <v>2021</v>
      </c>
      <c r="AC100" s="47">
        <v>100</v>
      </c>
      <c r="AD100" s="35"/>
      <c r="AE100" s="7">
        <v>2021</v>
      </c>
      <c r="AF100" s="14">
        <v>100</v>
      </c>
      <c r="AG100" s="23"/>
      <c r="AH100" s="7">
        <v>2021</v>
      </c>
      <c r="AI100" s="21">
        <v>100</v>
      </c>
      <c r="AJ100" s="23"/>
      <c r="AK100" s="7">
        <v>2021</v>
      </c>
      <c r="AL100" s="21">
        <v>50</v>
      </c>
      <c r="AM100" s="23"/>
      <c r="AN100" s="40"/>
      <c r="AO100" s="40"/>
      <c r="AP100" s="40"/>
      <c r="AQ100" s="40"/>
      <c r="AR100" s="40"/>
      <c r="AS100" s="40"/>
      <c r="AT100" s="40"/>
      <c r="AU100" s="40"/>
      <c r="AV100" s="40"/>
      <c r="AW100" s="40"/>
      <c r="AX100" s="40"/>
      <c r="AY100" s="40"/>
      <c r="AZ100" s="38"/>
      <c r="BA100" s="38"/>
      <c r="BB100" s="38"/>
    </row>
    <row r="101" spans="1:54" ht="27" customHeight="1">
      <c r="A101" s="27">
        <v>2022</v>
      </c>
      <c r="B101" s="42">
        <f>AVERAGE((E101+K101+Q101)/3+(H101+N101+T101)/3+W101+Z101+AC101+AF101+AI101+AL101)/8</f>
        <v>81.291666666666671</v>
      </c>
      <c r="C101" s="49"/>
      <c r="D101" s="27">
        <v>2022</v>
      </c>
      <c r="E101" s="34">
        <v>50</v>
      </c>
      <c r="F101" s="35"/>
      <c r="G101" s="27">
        <v>2022</v>
      </c>
      <c r="H101" s="44">
        <v>100</v>
      </c>
      <c r="I101" s="23"/>
      <c r="J101" s="27">
        <v>2022</v>
      </c>
      <c r="K101" s="45">
        <v>50</v>
      </c>
      <c r="L101" s="35"/>
      <c r="M101" s="27">
        <v>2022</v>
      </c>
      <c r="N101" s="21">
        <v>100</v>
      </c>
      <c r="O101" s="23"/>
      <c r="P101" s="27">
        <v>2022</v>
      </c>
      <c r="Q101" s="34">
        <v>100</v>
      </c>
      <c r="R101" s="35"/>
      <c r="S101" s="27">
        <v>2022</v>
      </c>
      <c r="T101" s="46">
        <v>0</v>
      </c>
      <c r="U101" s="23"/>
      <c r="V101" s="27">
        <v>2022</v>
      </c>
      <c r="W101" s="14">
        <v>67</v>
      </c>
      <c r="X101" s="23"/>
      <c r="Y101" s="27">
        <v>2022</v>
      </c>
      <c r="Z101" s="14">
        <v>100</v>
      </c>
      <c r="AA101" s="23"/>
      <c r="AB101" s="27">
        <v>2022</v>
      </c>
      <c r="AC101" s="47">
        <v>100</v>
      </c>
      <c r="AD101" s="35"/>
      <c r="AE101" s="27">
        <v>2022</v>
      </c>
      <c r="AF101" s="14">
        <v>100</v>
      </c>
      <c r="AG101" s="23"/>
      <c r="AH101" s="27">
        <v>2022</v>
      </c>
      <c r="AI101" s="21">
        <v>100</v>
      </c>
      <c r="AJ101" s="23"/>
      <c r="AK101" s="27">
        <v>2022</v>
      </c>
      <c r="AL101" s="21">
        <v>50</v>
      </c>
      <c r="AM101" s="23"/>
      <c r="AN101" s="40"/>
      <c r="AO101" s="40"/>
      <c r="AP101" s="40"/>
      <c r="AQ101" s="40"/>
      <c r="AR101" s="40"/>
      <c r="AS101" s="40"/>
      <c r="AT101" s="40"/>
      <c r="AU101" s="40"/>
      <c r="AV101" s="40"/>
      <c r="AW101" s="40"/>
      <c r="AX101" s="40"/>
      <c r="AY101" s="40"/>
      <c r="AZ101" s="38"/>
      <c r="BA101" s="38"/>
      <c r="BB101" s="38"/>
    </row>
    <row r="102" spans="1:54" ht="25.75" customHeight="1">
      <c r="A102" s="27">
        <v>2023</v>
      </c>
      <c r="B102" s="42">
        <f>AVERAGE((E102+K102+Q102)/3+(H102+N102+T102)/3+W102+Z102+AC102+AF102+AI102+AL102)/8</f>
        <v>81.291666666666671</v>
      </c>
      <c r="C102" s="49"/>
      <c r="D102" s="27">
        <v>2023</v>
      </c>
      <c r="E102" s="34">
        <v>50</v>
      </c>
      <c r="F102" s="35"/>
      <c r="G102" s="27">
        <v>2023</v>
      </c>
      <c r="H102" s="44">
        <v>100</v>
      </c>
      <c r="I102" s="23"/>
      <c r="J102" s="27">
        <v>2023</v>
      </c>
      <c r="K102" s="45">
        <v>50</v>
      </c>
      <c r="L102" s="35"/>
      <c r="M102" s="27">
        <v>2023</v>
      </c>
      <c r="N102" s="21">
        <v>100</v>
      </c>
      <c r="O102" s="23"/>
      <c r="P102" s="27">
        <v>2023</v>
      </c>
      <c r="Q102" s="34">
        <v>100</v>
      </c>
      <c r="R102" s="35"/>
      <c r="S102" s="27">
        <v>2023</v>
      </c>
      <c r="T102" s="46">
        <v>0</v>
      </c>
      <c r="U102" s="23"/>
      <c r="V102" s="27">
        <v>2023</v>
      </c>
      <c r="W102" s="14">
        <v>67</v>
      </c>
      <c r="X102" s="23"/>
      <c r="Y102" s="27">
        <v>2023</v>
      </c>
      <c r="Z102" s="14">
        <v>100</v>
      </c>
      <c r="AA102" s="23"/>
      <c r="AB102" s="27">
        <v>2023</v>
      </c>
      <c r="AC102" s="47">
        <v>100</v>
      </c>
      <c r="AD102" s="35"/>
      <c r="AE102" s="27">
        <v>2023</v>
      </c>
      <c r="AF102" s="14">
        <v>100</v>
      </c>
      <c r="AG102" s="23"/>
      <c r="AH102" s="27">
        <v>2023</v>
      </c>
      <c r="AI102" s="21">
        <v>100</v>
      </c>
      <c r="AJ102" s="23"/>
      <c r="AK102" s="27">
        <v>2023</v>
      </c>
      <c r="AL102" s="21">
        <v>50</v>
      </c>
      <c r="AM102" s="23"/>
    </row>
  </sheetData>
  <mergeCells count="438">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B20:AY20"/>
    <mergeCell ref="B21:C21"/>
    <mergeCell ref="E21:F21"/>
    <mergeCell ref="H21:I21"/>
    <mergeCell ref="K21:L21"/>
    <mergeCell ref="N21:O21"/>
    <mergeCell ref="AI21:AJ21"/>
    <mergeCell ref="AL21:AM21"/>
    <mergeCell ref="AO21:AP21"/>
    <mergeCell ref="AR21:AS21"/>
    <mergeCell ref="AU21:AV21"/>
    <mergeCell ref="AX21:AY21"/>
    <mergeCell ref="Q21:R21"/>
    <mergeCell ref="T21:U21"/>
    <mergeCell ref="W21:X21"/>
    <mergeCell ref="Z21:AA21"/>
    <mergeCell ref="AC21:AD21"/>
    <mergeCell ref="AF21:AG21"/>
    <mergeCell ref="H13:I13"/>
    <mergeCell ref="K13:L13"/>
    <mergeCell ref="N13:O13"/>
    <mergeCell ref="AL22:AM22"/>
    <mergeCell ref="AO22:AP22"/>
    <mergeCell ref="AR22:AS22"/>
    <mergeCell ref="AU22:AV22"/>
    <mergeCell ref="AX22:AY22"/>
    <mergeCell ref="B23:C23"/>
    <mergeCell ref="E23:F23"/>
    <mergeCell ref="H23:I23"/>
    <mergeCell ref="K23:L23"/>
    <mergeCell ref="N23:O23"/>
    <mergeCell ref="T22:U22"/>
    <mergeCell ref="W22:X22"/>
    <mergeCell ref="Z22:AA22"/>
    <mergeCell ref="AC22:AD22"/>
    <mergeCell ref="AF22:AG22"/>
    <mergeCell ref="AI22:AJ22"/>
    <mergeCell ref="B22:C22"/>
    <mergeCell ref="E22:F22"/>
    <mergeCell ref="H22:I22"/>
    <mergeCell ref="K22:L22"/>
    <mergeCell ref="N22:O22"/>
    <mergeCell ref="Q22:R22"/>
    <mergeCell ref="AL23:AM23"/>
    <mergeCell ref="AO23:AP23"/>
    <mergeCell ref="AR23:AS23"/>
    <mergeCell ref="AU23:AV23"/>
    <mergeCell ref="AX23:AY23"/>
    <mergeCell ref="B24:C24"/>
    <mergeCell ref="E24:F24"/>
    <mergeCell ref="H24:I24"/>
    <mergeCell ref="K24:L24"/>
    <mergeCell ref="N24:O24"/>
    <mergeCell ref="Q23:R23"/>
    <mergeCell ref="T23:U23"/>
    <mergeCell ref="W23:X23"/>
    <mergeCell ref="Z23:AA23"/>
    <mergeCell ref="AC23:AD23"/>
    <mergeCell ref="AF23:AG23"/>
    <mergeCell ref="AO24:AP24"/>
    <mergeCell ref="AR24:AS24"/>
    <mergeCell ref="AU24:AV24"/>
    <mergeCell ref="AX24:AY24"/>
    <mergeCell ref="AC24:AD24"/>
    <mergeCell ref="AF24:AG24"/>
    <mergeCell ref="AL24:AM24"/>
    <mergeCell ref="AC33:AD33"/>
    <mergeCell ref="AF33:AG33"/>
    <mergeCell ref="B25:C25"/>
    <mergeCell ref="E25:F25"/>
    <mergeCell ref="H25:I25"/>
    <mergeCell ref="K25:L25"/>
    <mergeCell ref="N25:O25"/>
    <mergeCell ref="Q25:R25"/>
    <mergeCell ref="Q24:R24"/>
    <mergeCell ref="W24:X24"/>
    <mergeCell ref="Z24:AA24"/>
    <mergeCell ref="T34:U34"/>
    <mergeCell ref="W34:X34"/>
    <mergeCell ref="Q33:R33"/>
    <mergeCell ref="T33:U33"/>
    <mergeCell ref="W33:X33"/>
    <mergeCell ref="AO25:AP25"/>
    <mergeCell ref="AR25:AS25"/>
    <mergeCell ref="AU25:AV25"/>
    <mergeCell ref="AX25:AY25"/>
    <mergeCell ref="B32:AM32"/>
    <mergeCell ref="B33:C33"/>
    <mergeCell ref="E33:F33"/>
    <mergeCell ref="H33:I33"/>
    <mergeCell ref="K33:L33"/>
    <mergeCell ref="N33:O33"/>
    <mergeCell ref="T25:U25"/>
    <mergeCell ref="W25:X25"/>
    <mergeCell ref="Z25:AA25"/>
    <mergeCell ref="AC25:AD25"/>
    <mergeCell ref="AF25:AG25"/>
    <mergeCell ref="AL25:AM25"/>
    <mergeCell ref="AI33:AJ33"/>
    <mergeCell ref="AL33:AM33"/>
    <mergeCell ref="Z33:AA33"/>
    <mergeCell ref="Q35:R35"/>
    <mergeCell ref="T35:U35"/>
    <mergeCell ref="W35:X35"/>
    <mergeCell ref="Z34:AA34"/>
    <mergeCell ref="AC34:AD34"/>
    <mergeCell ref="AF34:AG34"/>
    <mergeCell ref="AI34:AJ34"/>
    <mergeCell ref="AL34:AM34"/>
    <mergeCell ref="B35:C35"/>
    <mergeCell ref="E35:F35"/>
    <mergeCell ref="H35:I35"/>
    <mergeCell ref="K35:L35"/>
    <mergeCell ref="N35:O35"/>
    <mergeCell ref="AI35:AJ35"/>
    <mergeCell ref="AL35:AM35"/>
    <mergeCell ref="Z35:AA35"/>
    <mergeCell ref="AC35:AD35"/>
    <mergeCell ref="AF35:AG35"/>
    <mergeCell ref="B34:C34"/>
    <mergeCell ref="E34:F34"/>
    <mergeCell ref="H34:I34"/>
    <mergeCell ref="K34:L34"/>
    <mergeCell ref="N34:O34"/>
    <mergeCell ref="Q34:R34"/>
    <mergeCell ref="Z36:AA36"/>
    <mergeCell ref="AC36:AD36"/>
    <mergeCell ref="AF36:AG36"/>
    <mergeCell ref="AI36:AJ36"/>
    <mergeCell ref="AL36:AM36"/>
    <mergeCell ref="B37:C37"/>
    <mergeCell ref="E37:F37"/>
    <mergeCell ref="H37:I37"/>
    <mergeCell ref="K37:L37"/>
    <mergeCell ref="N37:O37"/>
    <mergeCell ref="AI37:AJ37"/>
    <mergeCell ref="AL37:AM37"/>
    <mergeCell ref="W37:X37"/>
    <mergeCell ref="Z37:AA37"/>
    <mergeCell ref="AC37:AD37"/>
    <mergeCell ref="AF37:AG37"/>
    <mergeCell ref="B36:C36"/>
    <mergeCell ref="E36:F36"/>
    <mergeCell ref="H36:I36"/>
    <mergeCell ref="K36:L36"/>
    <mergeCell ref="N36:O36"/>
    <mergeCell ref="Q36:R36"/>
    <mergeCell ref="T36:U36"/>
    <mergeCell ref="W36:X36"/>
    <mergeCell ref="B44:R44"/>
    <mergeCell ref="B45:C45"/>
    <mergeCell ref="E45:F45"/>
    <mergeCell ref="H45:I45"/>
    <mergeCell ref="K45:L45"/>
    <mergeCell ref="N45:O45"/>
    <mergeCell ref="Q45:R45"/>
    <mergeCell ref="Q37:R37"/>
    <mergeCell ref="T37:U37"/>
    <mergeCell ref="B47:C47"/>
    <mergeCell ref="E47:F47"/>
    <mergeCell ref="H47:I47"/>
    <mergeCell ref="K47:L47"/>
    <mergeCell ref="N47:O47"/>
    <mergeCell ref="Q47:R47"/>
    <mergeCell ref="B46:C46"/>
    <mergeCell ref="E46:F46"/>
    <mergeCell ref="H46:I46"/>
    <mergeCell ref="K46:L46"/>
    <mergeCell ref="N46:O46"/>
    <mergeCell ref="Q46:R46"/>
    <mergeCell ref="B49:C49"/>
    <mergeCell ref="E49:F49"/>
    <mergeCell ref="H49:I49"/>
    <mergeCell ref="K49:L49"/>
    <mergeCell ref="N49:O49"/>
    <mergeCell ref="Q49:R49"/>
    <mergeCell ref="B48:C48"/>
    <mergeCell ref="E48:F48"/>
    <mergeCell ref="H48:I48"/>
    <mergeCell ref="K48:L48"/>
    <mergeCell ref="N48:O48"/>
    <mergeCell ref="Q48:R48"/>
    <mergeCell ref="B56:X56"/>
    <mergeCell ref="B57:C57"/>
    <mergeCell ref="E57:F57"/>
    <mergeCell ref="H57:I57"/>
    <mergeCell ref="K57:L57"/>
    <mergeCell ref="N57:O57"/>
    <mergeCell ref="Q57:R57"/>
    <mergeCell ref="T57:U57"/>
    <mergeCell ref="W57:X57"/>
    <mergeCell ref="T58:U58"/>
    <mergeCell ref="W58:X5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T60:U60"/>
    <mergeCell ref="W60:X60"/>
    <mergeCell ref="B61:C61"/>
    <mergeCell ref="E61:F61"/>
    <mergeCell ref="H61:I61"/>
    <mergeCell ref="K61:L61"/>
    <mergeCell ref="N61:O61"/>
    <mergeCell ref="Q61:R61"/>
    <mergeCell ref="T61:U61"/>
    <mergeCell ref="W61:X61"/>
    <mergeCell ref="B60:C60"/>
    <mergeCell ref="E60:F60"/>
    <mergeCell ref="H60:I60"/>
    <mergeCell ref="K60:L60"/>
    <mergeCell ref="N60:O60"/>
    <mergeCell ref="Q60:R60"/>
    <mergeCell ref="B68:AA68"/>
    <mergeCell ref="B69:C69"/>
    <mergeCell ref="E69:F69"/>
    <mergeCell ref="H69:I69"/>
    <mergeCell ref="K69:L69"/>
    <mergeCell ref="N69:O69"/>
    <mergeCell ref="Q69:R69"/>
    <mergeCell ref="T69:U69"/>
    <mergeCell ref="W69:X69"/>
    <mergeCell ref="Z69:AA69"/>
    <mergeCell ref="T70:U70"/>
    <mergeCell ref="W70:X70"/>
    <mergeCell ref="Z70:AA70"/>
    <mergeCell ref="B71:C71"/>
    <mergeCell ref="E71:F71"/>
    <mergeCell ref="H71:I71"/>
    <mergeCell ref="K71:L71"/>
    <mergeCell ref="N71:O71"/>
    <mergeCell ref="Q71:R71"/>
    <mergeCell ref="T71:U71"/>
    <mergeCell ref="B70:C70"/>
    <mergeCell ref="E70:F70"/>
    <mergeCell ref="H70:I70"/>
    <mergeCell ref="K70:L70"/>
    <mergeCell ref="N70:O70"/>
    <mergeCell ref="Q70:R70"/>
    <mergeCell ref="W71:X71"/>
    <mergeCell ref="Z71:AA71"/>
    <mergeCell ref="B72:C72"/>
    <mergeCell ref="E72:F72"/>
    <mergeCell ref="H72:I72"/>
    <mergeCell ref="K72:L72"/>
    <mergeCell ref="N72:O72"/>
    <mergeCell ref="Q72:R72"/>
    <mergeCell ref="T72:U72"/>
    <mergeCell ref="W72:X72"/>
    <mergeCell ref="Z72:AA72"/>
    <mergeCell ref="B73:C73"/>
    <mergeCell ref="E73:F73"/>
    <mergeCell ref="H73:I73"/>
    <mergeCell ref="K73:L73"/>
    <mergeCell ref="N73:O73"/>
    <mergeCell ref="Q73:R73"/>
    <mergeCell ref="T73:U73"/>
    <mergeCell ref="W73:X73"/>
    <mergeCell ref="Z73:AA73"/>
    <mergeCell ref="B80:AG80"/>
    <mergeCell ref="B81:C81"/>
    <mergeCell ref="E81:F81"/>
    <mergeCell ref="H81:I81"/>
    <mergeCell ref="K81:L81"/>
    <mergeCell ref="N81:O81"/>
    <mergeCell ref="Q81:R81"/>
    <mergeCell ref="T81:U81"/>
    <mergeCell ref="W81:X81"/>
    <mergeCell ref="Z81:AA81"/>
    <mergeCell ref="AC81:AD81"/>
    <mergeCell ref="AF81:AG81"/>
    <mergeCell ref="AC82:AD82"/>
    <mergeCell ref="AF82:AG82"/>
    <mergeCell ref="B83:C83"/>
    <mergeCell ref="E83:F83"/>
    <mergeCell ref="H83:I83"/>
    <mergeCell ref="K83:L83"/>
    <mergeCell ref="N83:O83"/>
    <mergeCell ref="Q83:R83"/>
    <mergeCell ref="T83:U83"/>
    <mergeCell ref="B82:C82"/>
    <mergeCell ref="E82:F82"/>
    <mergeCell ref="H82:I82"/>
    <mergeCell ref="K82:L82"/>
    <mergeCell ref="N82:O82"/>
    <mergeCell ref="Q82:R82"/>
    <mergeCell ref="T82:U82"/>
    <mergeCell ref="W82:X82"/>
    <mergeCell ref="Z82:AA82"/>
    <mergeCell ref="AC93:AD93"/>
    <mergeCell ref="AF93:AG93"/>
    <mergeCell ref="AI93:AJ93"/>
    <mergeCell ref="AL93:AM93"/>
    <mergeCell ref="W83:X83"/>
    <mergeCell ref="Z83:AA83"/>
    <mergeCell ref="AC83:AD83"/>
    <mergeCell ref="AF83:AG83"/>
    <mergeCell ref="B84:C84"/>
    <mergeCell ref="E84:F84"/>
    <mergeCell ref="H84:I84"/>
    <mergeCell ref="K84:L84"/>
    <mergeCell ref="N84:O84"/>
    <mergeCell ref="Q84:R84"/>
    <mergeCell ref="AC84:AD84"/>
    <mergeCell ref="AF84:AG84"/>
    <mergeCell ref="Z85:AA85"/>
    <mergeCell ref="AC85:AD85"/>
    <mergeCell ref="AF85:AG85"/>
    <mergeCell ref="T84:U84"/>
    <mergeCell ref="W84:X84"/>
    <mergeCell ref="Z84:AA84"/>
    <mergeCell ref="B85:C85"/>
    <mergeCell ref="E85:F85"/>
    <mergeCell ref="N96:O96"/>
    <mergeCell ref="Q96:R96"/>
    <mergeCell ref="H85:I85"/>
    <mergeCell ref="K85:L85"/>
    <mergeCell ref="N85:O85"/>
    <mergeCell ref="Q85:R85"/>
    <mergeCell ref="T85:U85"/>
    <mergeCell ref="W85:X85"/>
    <mergeCell ref="B94:C94"/>
    <mergeCell ref="E94:F94"/>
    <mergeCell ref="H94:I94"/>
    <mergeCell ref="K94:L94"/>
    <mergeCell ref="N94:O94"/>
    <mergeCell ref="Q94:R94"/>
    <mergeCell ref="B92:AM92"/>
    <mergeCell ref="B93:C93"/>
    <mergeCell ref="E93:F93"/>
    <mergeCell ref="H93:I93"/>
    <mergeCell ref="K93:L93"/>
    <mergeCell ref="N93:O93"/>
    <mergeCell ref="Q93:R93"/>
    <mergeCell ref="T93:U93"/>
    <mergeCell ref="W93:X93"/>
    <mergeCell ref="Z93:AA93"/>
    <mergeCell ref="AL94:AM94"/>
    <mergeCell ref="B95:C95"/>
    <mergeCell ref="E95:F95"/>
    <mergeCell ref="H95:I95"/>
    <mergeCell ref="K95:L95"/>
    <mergeCell ref="N95:O95"/>
    <mergeCell ref="Q95:R95"/>
    <mergeCell ref="T95:U95"/>
    <mergeCell ref="W95:X95"/>
    <mergeCell ref="Z95:AA95"/>
    <mergeCell ref="T94:U94"/>
    <mergeCell ref="W94:X94"/>
    <mergeCell ref="Z94:AA94"/>
    <mergeCell ref="AC94:AD94"/>
    <mergeCell ref="AF94:AG94"/>
    <mergeCell ref="AI94:AJ94"/>
    <mergeCell ref="AC95:AD95"/>
    <mergeCell ref="AF95:AG95"/>
    <mergeCell ref="AI95:AJ95"/>
    <mergeCell ref="AL95:AM95"/>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8" scale="5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3789-FDF9-4812-9117-DFE2D05FCCE6}">
  <dimension ref="A1:CC113"/>
  <sheetViews>
    <sheetView zoomScale="95" zoomScaleNormal="70" workbookViewId="0">
      <selection activeCell="G5" sqref="G5"/>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4.75" customHeight="1">
      <c r="A1" s="323" t="s">
        <v>0</v>
      </c>
      <c r="B1" s="323"/>
      <c r="C1" s="323"/>
      <c r="D1" s="323"/>
    </row>
    <row r="2" spans="1:81" ht="41.4" customHeight="1">
      <c r="A2" s="2" t="s">
        <v>1</v>
      </c>
      <c r="B2" s="2" t="s">
        <v>2</v>
      </c>
      <c r="C2" s="2" t="s">
        <v>3</v>
      </c>
      <c r="D2" s="2" t="s">
        <v>4</v>
      </c>
    </row>
    <row r="3" spans="1:81" ht="15" customHeight="1">
      <c r="A3" s="3">
        <v>2020</v>
      </c>
      <c r="B3" s="16">
        <f>AVERAGE(B16,B29,B42,B55,B68,B81,B94,B107)</f>
        <v>69.34672619047619</v>
      </c>
      <c r="C3" s="16">
        <f>AVERAGE(B16,B29,B42,B55,B68,B81,B94)</f>
        <v>68.83673469387756</v>
      </c>
      <c r="D3" s="16">
        <f>AVERAGE(B16,B29,B55,B68,B81,B94)</f>
        <v>68</v>
      </c>
    </row>
    <row r="4" spans="1:81" ht="15" customHeight="1">
      <c r="A4" s="3">
        <v>2021</v>
      </c>
      <c r="B4" s="16">
        <f>AVERAGE(B17,B30,B43,B56,B69,B82,B95,B108)</f>
        <v>69.867559523809518</v>
      </c>
      <c r="C4" s="16">
        <f t="shared" ref="C4:C6" si="0">AVERAGE(B17,B30,B43,B56,B69,B82,B95)</f>
        <v>69.431972789115648</v>
      </c>
      <c r="D4" s="16">
        <f t="shared" ref="D4:D6" si="1">AVERAGE(B17,B30,B56,B69,B82,B95)</f>
        <v>68.694444444444443</v>
      </c>
    </row>
    <row r="5" spans="1:81" ht="15" customHeight="1">
      <c r="A5" s="3">
        <v>2022</v>
      </c>
      <c r="B5" s="16">
        <f t="shared" ref="B5:B7" si="2">AVERAGE(B18,B31,B44,B57,B70,B83,B96,B109)</f>
        <v>69.867559523809518</v>
      </c>
      <c r="C5" s="16">
        <f t="shared" si="0"/>
        <v>69.431972789115648</v>
      </c>
      <c r="D5" s="16">
        <f t="shared" si="1"/>
        <v>68.694444444444443</v>
      </c>
    </row>
    <row r="6" spans="1:81" ht="15" customHeight="1">
      <c r="A6" s="3">
        <v>2023</v>
      </c>
      <c r="B6" s="16">
        <f t="shared" si="2"/>
        <v>69.867559523809518</v>
      </c>
      <c r="C6" s="16">
        <f t="shared" si="0"/>
        <v>69.431972789115648</v>
      </c>
      <c r="D6" s="16">
        <f t="shared" si="1"/>
        <v>68.694444444444443</v>
      </c>
    </row>
    <row r="7" spans="1:81" ht="15" customHeight="1">
      <c r="A7" s="3">
        <v>2024</v>
      </c>
      <c r="B7" s="16">
        <f t="shared" si="2"/>
        <v>69.867559523809518</v>
      </c>
      <c r="C7" s="16">
        <f>AVERAGE(B20,B33,B46,B59,B72,B85,B98)</f>
        <v>69.431972789115648</v>
      </c>
      <c r="D7" s="16">
        <f>AVERAGE(B20,B33,B59,B72,B85,B98)</f>
        <v>68.694444444444443</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151.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111"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55.555555555555557</v>
      </c>
      <c r="C16" s="16"/>
      <c r="D16" s="7">
        <v>2020</v>
      </c>
      <c r="E16" s="51">
        <v>100</v>
      </c>
      <c r="F16" s="52" t="s">
        <v>346</v>
      </c>
      <c r="G16" s="7">
        <v>2020</v>
      </c>
      <c r="H16" s="53">
        <v>50</v>
      </c>
      <c r="I16" s="53" t="s">
        <v>347</v>
      </c>
      <c r="J16" s="7">
        <v>2020</v>
      </c>
      <c r="K16" s="53">
        <v>50</v>
      </c>
      <c r="L16" s="54" t="s">
        <v>348</v>
      </c>
      <c r="M16" s="7">
        <v>2020</v>
      </c>
      <c r="N16" s="53">
        <v>100</v>
      </c>
      <c r="O16" s="53" t="s">
        <v>349</v>
      </c>
      <c r="P16" s="7">
        <v>2020</v>
      </c>
      <c r="Q16" s="53">
        <v>100</v>
      </c>
      <c r="R16" s="53" t="s">
        <v>350</v>
      </c>
      <c r="S16" s="7">
        <v>2020</v>
      </c>
      <c r="T16" s="55">
        <v>100</v>
      </c>
      <c r="U16" s="56" t="s">
        <v>351</v>
      </c>
      <c r="V16" s="7">
        <v>2020</v>
      </c>
      <c r="W16" s="51">
        <v>0</v>
      </c>
      <c r="X16" s="51" t="s">
        <v>352</v>
      </c>
      <c r="Y16" s="7">
        <v>2020</v>
      </c>
      <c r="Z16" s="53">
        <v>0</v>
      </c>
      <c r="AA16" s="53" t="s">
        <v>353</v>
      </c>
      <c r="AB16" s="7">
        <v>2020</v>
      </c>
      <c r="AC16" s="57">
        <v>0</v>
      </c>
      <c r="AD16" s="57" t="s">
        <v>354</v>
      </c>
      <c r="AE16" s="32"/>
    </row>
    <row r="17" spans="1:52" ht="24.75" customHeight="1">
      <c r="A17" s="7">
        <v>2021</v>
      </c>
      <c r="B17" s="15">
        <f t="shared" si="3"/>
        <v>55.555555555555557</v>
      </c>
      <c r="C17" s="16"/>
      <c r="D17" s="7">
        <v>2021</v>
      </c>
      <c r="E17" s="51">
        <v>100</v>
      </c>
      <c r="F17" s="52" t="s">
        <v>346</v>
      </c>
      <c r="G17" s="7">
        <v>2021</v>
      </c>
      <c r="H17" s="53">
        <v>50</v>
      </c>
      <c r="I17" s="53" t="s">
        <v>347</v>
      </c>
      <c r="J17" s="7">
        <v>2021</v>
      </c>
      <c r="K17" s="53">
        <v>50</v>
      </c>
      <c r="L17" s="54" t="s">
        <v>348</v>
      </c>
      <c r="M17" s="7">
        <v>2021</v>
      </c>
      <c r="N17" s="53">
        <v>100</v>
      </c>
      <c r="O17" s="53" t="s">
        <v>349</v>
      </c>
      <c r="P17" s="7">
        <v>2021</v>
      </c>
      <c r="Q17" s="53">
        <v>100</v>
      </c>
      <c r="R17" s="53" t="s">
        <v>350</v>
      </c>
      <c r="S17" s="7">
        <v>2021</v>
      </c>
      <c r="T17" s="55">
        <v>100</v>
      </c>
      <c r="U17" s="56" t="s">
        <v>351</v>
      </c>
      <c r="V17" s="7">
        <v>2021</v>
      </c>
      <c r="W17" s="51">
        <v>0</v>
      </c>
      <c r="X17" s="51" t="s">
        <v>352</v>
      </c>
      <c r="Y17" s="7">
        <v>2021</v>
      </c>
      <c r="Z17" s="53">
        <v>0</v>
      </c>
      <c r="AA17" s="53" t="s">
        <v>353</v>
      </c>
      <c r="AB17" s="7">
        <v>2021</v>
      </c>
      <c r="AC17" s="57">
        <v>0</v>
      </c>
      <c r="AD17" s="57" t="s">
        <v>354</v>
      </c>
    </row>
    <row r="18" spans="1:52" ht="24.75" customHeight="1">
      <c r="A18" s="7">
        <v>2022</v>
      </c>
      <c r="B18" s="15">
        <f t="shared" si="3"/>
        <v>55.555555555555557</v>
      </c>
      <c r="C18" s="16"/>
      <c r="D18" s="7">
        <v>2022</v>
      </c>
      <c r="E18" s="51">
        <v>100</v>
      </c>
      <c r="F18" s="52" t="s">
        <v>346</v>
      </c>
      <c r="G18" s="7">
        <v>2022</v>
      </c>
      <c r="H18" s="53">
        <v>50</v>
      </c>
      <c r="I18" s="53" t="s">
        <v>347</v>
      </c>
      <c r="J18" s="7">
        <v>2022</v>
      </c>
      <c r="K18" s="53">
        <v>50</v>
      </c>
      <c r="L18" s="54" t="s">
        <v>348</v>
      </c>
      <c r="M18" s="7">
        <v>2022</v>
      </c>
      <c r="N18" s="53">
        <v>100</v>
      </c>
      <c r="O18" s="53" t="s">
        <v>349</v>
      </c>
      <c r="P18" s="7">
        <v>2022</v>
      </c>
      <c r="Q18" s="53">
        <v>100</v>
      </c>
      <c r="R18" s="53" t="s">
        <v>350</v>
      </c>
      <c r="S18" s="7">
        <v>2022</v>
      </c>
      <c r="T18" s="55">
        <v>100</v>
      </c>
      <c r="U18" s="56" t="s">
        <v>351</v>
      </c>
      <c r="V18" s="7">
        <v>2022</v>
      </c>
      <c r="W18" s="51">
        <v>0</v>
      </c>
      <c r="X18" s="51" t="s">
        <v>352</v>
      </c>
      <c r="Y18" s="7">
        <v>2022</v>
      </c>
      <c r="Z18" s="53">
        <v>0</v>
      </c>
      <c r="AA18" s="53" t="s">
        <v>353</v>
      </c>
      <c r="AB18" s="7">
        <v>2022</v>
      </c>
      <c r="AC18" s="57">
        <v>0</v>
      </c>
      <c r="AD18" s="57" t="s">
        <v>354</v>
      </c>
    </row>
    <row r="19" spans="1:52" ht="24.75" customHeight="1">
      <c r="A19" s="7">
        <v>2023</v>
      </c>
      <c r="B19" s="15">
        <f t="shared" si="3"/>
        <v>55.555555555555557</v>
      </c>
      <c r="C19" s="16"/>
      <c r="D19" s="7">
        <v>2023</v>
      </c>
      <c r="E19" s="51">
        <v>100</v>
      </c>
      <c r="F19" s="52" t="s">
        <v>346</v>
      </c>
      <c r="G19" s="7">
        <v>2023</v>
      </c>
      <c r="H19" s="53">
        <v>50</v>
      </c>
      <c r="I19" s="53" t="s">
        <v>347</v>
      </c>
      <c r="J19" s="7">
        <v>2023</v>
      </c>
      <c r="K19" s="53">
        <v>50</v>
      </c>
      <c r="L19" s="54" t="s">
        <v>348</v>
      </c>
      <c r="M19" s="7">
        <v>2023</v>
      </c>
      <c r="N19" s="53">
        <v>100</v>
      </c>
      <c r="O19" s="53" t="s">
        <v>349</v>
      </c>
      <c r="P19" s="7">
        <v>2023</v>
      </c>
      <c r="Q19" s="53">
        <v>100</v>
      </c>
      <c r="R19" s="53" t="s">
        <v>350</v>
      </c>
      <c r="S19" s="7">
        <v>2023</v>
      </c>
      <c r="T19" s="55">
        <v>100</v>
      </c>
      <c r="U19" s="56" t="s">
        <v>351</v>
      </c>
      <c r="V19" s="7">
        <v>2023</v>
      </c>
      <c r="W19" s="51">
        <v>0</v>
      </c>
      <c r="X19" s="51" t="s">
        <v>352</v>
      </c>
      <c r="Y19" s="7">
        <v>2023</v>
      </c>
      <c r="Z19" s="53">
        <v>0</v>
      </c>
      <c r="AA19" s="53" t="s">
        <v>353</v>
      </c>
      <c r="AB19" s="7">
        <v>2023</v>
      </c>
      <c r="AC19" s="57">
        <v>0</v>
      </c>
      <c r="AD19" s="57" t="s">
        <v>354</v>
      </c>
    </row>
    <row r="20" spans="1:52" ht="24.75" customHeight="1">
      <c r="A20" s="7">
        <v>2024</v>
      </c>
      <c r="B20" s="15">
        <f t="shared" si="3"/>
        <v>55.555555555555557</v>
      </c>
      <c r="C20" s="16"/>
      <c r="D20" s="7">
        <v>2024</v>
      </c>
      <c r="E20" s="51">
        <v>100</v>
      </c>
      <c r="F20" s="52" t="s">
        <v>346</v>
      </c>
      <c r="G20" s="7">
        <v>2024</v>
      </c>
      <c r="H20" s="53">
        <v>50</v>
      </c>
      <c r="I20" s="53" t="s">
        <v>347</v>
      </c>
      <c r="J20" s="7">
        <v>2024</v>
      </c>
      <c r="K20" s="53">
        <v>50</v>
      </c>
      <c r="L20" s="54" t="s">
        <v>348</v>
      </c>
      <c r="M20" s="7">
        <v>2024</v>
      </c>
      <c r="N20" s="53">
        <v>100</v>
      </c>
      <c r="O20" s="53" t="s">
        <v>349</v>
      </c>
      <c r="P20" s="7">
        <v>2024</v>
      </c>
      <c r="Q20" s="53">
        <v>100</v>
      </c>
      <c r="R20" s="53" t="s">
        <v>350</v>
      </c>
      <c r="S20" s="7">
        <v>2024</v>
      </c>
      <c r="T20" s="55">
        <v>100</v>
      </c>
      <c r="U20" s="56" t="s">
        <v>351</v>
      </c>
      <c r="V20" s="7">
        <v>2024</v>
      </c>
      <c r="W20" s="51">
        <v>0</v>
      </c>
      <c r="X20" s="51" t="s">
        <v>352</v>
      </c>
      <c r="Y20" s="7">
        <v>2024</v>
      </c>
      <c r="Z20" s="53">
        <v>0</v>
      </c>
      <c r="AA20" s="53" t="s">
        <v>353</v>
      </c>
      <c r="AB20" s="7">
        <v>2024</v>
      </c>
      <c r="AC20" s="57">
        <v>0</v>
      </c>
      <c r="AD20" s="57" t="s">
        <v>354</v>
      </c>
    </row>
    <row r="21" spans="1:52" ht="24.75" customHeight="1">
      <c r="A21" s="24"/>
      <c r="B21" s="24"/>
      <c r="C21" s="24"/>
      <c r="D21" s="24"/>
      <c r="E21" s="24"/>
      <c r="F21" s="24"/>
      <c r="G21" s="24"/>
      <c r="H21" s="24"/>
      <c r="I21" s="24"/>
      <c r="J21" s="24"/>
      <c r="K21" s="24"/>
      <c r="L21" s="24"/>
      <c r="M21" s="24"/>
      <c r="N21" s="24"/>
    </row>
    <row r="22" spans="1:52"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2"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2"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2"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2" ht="93" customHeight="1">
      <c r="A26" s="7" t="s">
        <v>30</v>
      </c>
      <c r="B26" s="322" t="s">
        <v>31</v>
      </c>
      <c r="C26" s="322"/>
      <c r="D26" s="7" t="s">
        <v>30</v>
      </c>
      <c r="E26" s="325" t="s">
        <v>94</v>
      </c>
      <c r="F26" s="325"/>
      <c r="G26" s="7" t="s">
        <v>30</v>
      </c>
      <c r="H26" s="310" t="s">
        <v>95</v>
      </c>
      <c r="I26" s="310"/>
      <c r="J26" s="7" t="s">
        <v>30</v>
      </c>
      <c r="K26" s="325"/>
      <c r="L26" s="325"/>
      <c r="M26" s="27" t="s">
        <v>30</v>
      </c>
      <c r="N26" s="325" t="s">
        <v>96</v>
      </c>
      <c r="O26" s="325"/>
      <c r="P26" s="27" t="s">
        <v>30</v>
      </c>
      <c r="Q26" s="325" t="s">
        <v>97</v>
      </c>
      <c r="R26" s="325"/>
      <c r="S26" s="27" t="s">
        <v>30</v>
      </c>
      <c r="T26" s="325"/>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2" ht="88.5" customHeight="1">
      <c r="A27" s="7" t="s">
        <v>41</v>
      </c>
      <c r="B27" s="310" t="s">
        <v>42</v>
      </c>
      <c r="C27" s="310"/>
      <c r="D27" s="7" t="s">
        <v>41</v>
      </c>
      <c r="E27" s="325" t="s">
        <v>106</v>
      </c>
      <c r="F27" s="325"/>
      <c r="G27" s="7" t="s">
        <v>41</v>
      </c>
      <c r="H27" s="310" t="s">
        <v>107</v>
      </c>
      <c r="I27" s="310"/>
      <c r="J27" s="7" t="s">
        <v>41</v>
      </c>
      <c r="K27" s="297" t="s">
        <v>108</v>
      </c>
      <c r="L27" s="298"/>
      <c r="M27" s="27" t="s">
        <v>41</v>
      </c>
      <c r="N27" s="325" t="s">
        <v>109</v>
      </c>
      <c r="O27" s="325"/>
      <c r="P27" s="27" t="s">
        <v>41</v>
      </c>
      <c r="Q27" s="325" t="s">
        <v>110</v>
      </c>
      <c r="R27" s="325"/>
      <c r="S27" s="27" t="s">
        <v>41</v>
      </c>
      <c r="T27" s="298" t="s">
        <v>111</v>
      </c>
      <c r="U27" s="298"/>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2"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2" ht="24.75" customHeight="1">
      <c r="A29" s="7">
        <v>2020</v>
      </c>
      <c r="B29" s="15">
        <f>AVERAGE(E29,H29,K29,T29,AF29,AO29,AU29,AX29,AR29)</f>
        <v>47.944444444444443</v>
      </c>
      <c r="C29" s="16"/>
      <c r="D29" s="7">
        <v>2020</v>
      </c>
      <c r="E29" s="59">
        <v>50</v>
      </c>
      <c r="F29" s="60" t="s">
        <v>355</v>
      </c>
      <c r="G29" s="7">
        <v>2020</v>
      </c>
      <c r="H29" s="59">
        <v>25</v>
      </c>
      <c r="I29" s="61" t="s">
        <v>356</v>
      </c>
      <c r="J29" s="7">
        <v>2020</v>
      </c>
      <c r="K29" s="14">
        <v>100</v>
      </c>
      <c r="L29" s="17"/>
      <c r="M29" s="7">
        <v>2020</v>
      </c>
      <c r="N29" s="53">
        <v>100</v>
      </c>
      <c r="O29" s="62" t="s">
        <v>357</v>
      </c>
      <c r="P29" s="7">
        <v>2020</v>
      </c>
      <c r="Q29" s="53">
        <v>100</v>
      </c>
      <c r="R29" s="62" t="s">
        <v>357</v>
      </c>
      <c r="S29" s="7">
        <v>2020</v>
      </c>
      <c r="T29" s="14">
        <v>40</v>
      </c>
      <c r="U29" s="17"/>
      <c r="V29" s="7">
        <v>2020</v>
      </c>
      <c r="W29" s="63">
        <v>0</v>
      </c>
      <c r="X29" s="62" t="s">
        <v>358</v>
      </c>
      <c r="Y29" s="7">
        <v>2020</v>
      </c>
      <c r="Z29" s="63">
        <v>50</v>
      </c>
      <c r="AA29" s="55" t="s">
        <v>359</v>
      </c>
      <c r="AB29" s="7">
        <v>2020</v>
      </c>
      <c r="AC29" s="63">
        <v>50</v>
      </c>
      <c r="AD29" s="55" t="s">
        <v>360</v>
      </c>
      <c r="AE29" s="7">
        <v>2020</v>
      </c>
      <c r="AF29" s="31">
        <f t="shared" ref="AF29:AF33" si="4">0.67*AI29+0.33*AL29</f>
        <v>16.5</v>
      </c>
      <c r="AG29" s="17"/>
      <c r="AH29" s="7">
        <v>2020</v>
      </c>
      <c r="AI29" s="64">
        <v>0</v>
      </c>
      <c r="AJ29" s="62" t="s">
        <v>361</v>
      </c>
      <c r="AK29" s="7">
        <v>2020</v>
      </c>
      <c r="AL29" s="53">
        <v>50</v>
      </c>
      <c r="AM29" s="62" t="s">
        <v>362</v>
      </c>
      <c r="AN29" s="7">
        <v>2020</v>
      </c>
      <c r="AO29" s="53">
        <v>50</v>
      </c>
      <c r="AP29" s="65" t="s">
        <v>363</v>
      </c>
      <c r="AQ29" s="7">
        <v>2020</v>
      </c>
      <c r="AR29" s="59">
        <v>0</v>
      </c>
      <c r="AS29" s="60" t="s">
        <v>364</v>
      </c>
      <c r="AT29" s="7">
        <v>2020</v>
      </c>
      <c r="AU29" s="53">
        <v>100</v>
      </c>
      <c r="AV29" s="55" t="s">
        <v>365</v>
      </c>
      <c r="AW29" s="7">
        <v>2020</v>
      </c>
      <c r="AX29" s="55">
        <v>50</v>
      </c>
      <c r="AY29" s="53" t="s">
        <v>366</v>
      </c>
      <c r="AZ29" s="32"/>
    </row>
    <row r="30" spans="1:52" ht="24.75" customHeight="1">
      <c r="A30" s="7">
        <v>2021</v>
      </c>
      <c r="B30" s="15">
        <f>AVERAGE(E30,H30,K30,T30,AF30,AO30,AU30,AX30,AR30)</f>
        <v>47.944444444444443</v>
      </c>
      <c r="C30" s="15"/>
      <c r="D30" s="7">
        <v>2021</v>
      </c>
      <c r="E30" s="59">
        <v>50</v>
      </c>
      <c r="F30" s="60" t="s">
        <v>355</v>
      </c>
      <c r="G30" s="7">
        <v>2021</v>
      </c>
      <c r="H30" s="59">
        <v>25</v>
      </c>
      <c r="I30" s="61" t="s">
        <v>356</v>
      </c>
      <c r="J30" s="7">
        <v>2021</v>
      </c>
      <c r="K30" s="14">
        <v>100</v>
      </c>
      <c r="L30" s="17"/>
      <c r="M30" s="7">
        <v>2021</v>
      </c>
      <c r="N30" s="53">
        <v>100</v>
      </c>
      <c r="O30" s="62" t="s">
        <v>357</v>
      </c>
      <c r="P30" s="7">
        <v>2021</v>
      </c>
      <c r="Q30" s="53">
        <v>100</v>
      </c>
      <c r="R30" s="62" t="s">
        <v>357</v>
      </c>
      <c r="S30" s="7">
        <v>2021</v>
      </c>
      <c r="T30" s="14">
        <v>40</v>
      </c>
      <c r="U30" s="17"/>
      <c r="V30" s="7">
        <v>2021</v>
      </c>
      <c r="W30" s="63">
        <v>0</v>
      </c>
      <c r="X30" s="62" t="s">
        <v>358</v>
      </c>
      <c r="Y30" s="7">
        <v>2021</v>
      </c>
      <c r="Z30" s="63">
        <v>50</v>
      </c>
      <c r="AA30" s="55" t="s">
        <v>359</v>
      </c>
      <c r="AB30" s="7">
        <v>2021</v>
      </c>
      <c r="AC30" s="63">
        <v>50</v>
      </c>
      <c r="AD30" s="55" t="s">
        <v>360</v>
      </c>
      <c r="AE30" s="7">
        <v>2021</v>
      </c>
      <c r="AF30" s="31">
        <f t="shared" si="4"/>
        <v>16.5</v>
      </c>
      <c r="AG30" s="17"/>
      <c r="AH30" s="7">
        <v>2021</v>
      </c>
      <c r="AI30" s="64">
        <v>0</v>
      </c>
      <c r="AJ30" s="62" t="s">
        <v>361</v>
      </c>
      <c r="AK30" s="7">
        <v>2021</v>
      </c>
      <c r="AL30" s="53">
        <v>50</v>
      </c>
      <c r="AM30" s="62" t="s">
        <v>362</v>
      </c>
      <c r="AN30" s="7">
        <v>2021</v>
      </c>
      <c r="AO30" s="53">
        <v>50</v>
      </c>
      <c r="AP30" s="65" t="s">
        <v>363</v>
      </c>
      <c r="AQ30" s="7">
        <v>2021</v>
      </c>
      <c r="AR30" s="59">
        <v>0</v>
      </c>
      <c r="AS30" s="60" t="s">
        <v>364</v>
      </c>
      <c r="AT30" s="7">
        <v>2021</v>
      </c>
      <c r="AU30" s="53">
        <v>100</v>
      </c>
      <c r="AV30" s="55" t="s">
        <v>365</v>
      </c>
      <c r="AW30" s="7">
        <v>2021</v>
      </c>
      <c r="AX30" s="55">
        <v>50</v>
      </c>
      <c r="AY30" s="53" t="s">
        <v>366</v>
      </c>
    </row>
    <row r="31" spans="1:52" ht="24.75" customHeight="1">
      <c r="A31" s="7">
        <v>2022</v>
      </c>
      <c r="B31" s="15">
        <f>AVERAGE(E31,H31,K31,T31,AF31,AO31,AU31,AX31,AR31)</f>
        <v>47.944444444444443</v>
      </c>
      <c r="C31" s="15"/>
      <c r="D31" s="7">
        <v>2022</v>
      </c>
      <c r="E31" s="59">
        <v>50</v>
      </c>
      <c r="F31" s="60" t="s">
        <v>355</v>
      </c>
      <c r="G31" s="7">
        <v>2022</v>
      </c>
      <c r="H31" s="59">
        <v>25</v>
      </c>
      <c r="I31" s="61" t="s">
        <v>356</v>
      </c>
      <c r="J31" s="7">
        <v>2022</v>
      </c>
      <c r="K31" s="14">
        <v>100</v>
      </c>
      <c r="L31" s="17"/>
      <c r="M31" s="7">
        <v>2022</v>
      </c>
      <c r="N31" s="53">
        <v>100</v>
      </c>
      <c r="O31" s="62" t="s">
        <v>357</v>
      </c>
      <c r="P31" s="7">
        <v>2022</v>
      </c>
      <c r="Q31" s="53">
        <v>100</v>
      </c>
      <c r="R31" s="62" t="s">
        <v>357</v>
      </c>
      <c r="S31" s="7">
        <v>2022</v>
      </c>
      <c r="T31" s="14">
        <v>40</v>
      </c>
      <c r="U31" s="17"/>
      <c r="V31" s="7">
        <v>2022</v>
      </c>
      <c r="W31" s="63">
        <v>0</v>
      </c>
      <c r="X31" s="62" t="s">
        <v>358</v>
      </c>
      <c r="Y31" s="7">
        <v>2022</v>
      </c>
      <c r="Z31" s="63">
        <v>50</v>
      </c>
      <c r="AA31" s="55" t="s">
        <v>359</v>
      </c>
      <c r="AB31" s="7">
        <v>2022</v>
      </c>
      <c r="AC31" s="63">
        <v>50</v>
      </c>
      <c r="AD31" s="55" t="s">
        <v>360</v>
      </c>
      <c r="AE31" s="7">
        <v>2022</v>
      </c>
      <c r="AF31" s="31">
        <f t="shared" si="4"/>
        <v>16.5</v>
      </c>
      <c r="AG31" s="17"/>
      <c r="AH31" s="7">
        <v>2022</v>
      </c>
      <c r="AI31" s="64">
        <v>0</v>
      </c>
      <c r="AJ31" s="62" t="s">
        <v>361</v>
      </c>
      <c r="AK31" s="7">
        <v>2022</v>
      </c>
      <c r="AL31" s="53">
        <v>50</v>
      </c>
      <c r="AM31" s="62" t="s">
        <v>362</v>
      </c>
      <c r="AN31" s="7">
        <v>2022</v>
      </c>
      <c r="AO31" s="53">
        <v>50</v>
      </c>
      <c r="AP31" s="65" t="s">
        <v>363</v>
      </c>
      <c r="AQ31" s="7">
        <v>2022</v>
      </c>
      <c r="AR31" s="59">
        <v>0</v>
      </c>
      <c r="AS31" s="60" t="s">
        <v>364</v>
      </c>
      <c r="AT31" s="7">
        <v>2022</v>
      </c>
      <c r="AU31" s="53">
        <v>100</v>
      </c>
      <c r="AV31" s="55" t="s">
        <v>365</v>
      </c>
      <c r="AW31" s="7">
        <v>2022</v>
      </c>
      <c r="AX31" s="55">
        <v>50</v>
      </c>
      <c r="AY31" s="53" t="s">
        <v>366</v>
      </c>
    </row>
    <row r="32" spans="1:52" ht="24.75" customHeight="1">
      <c r="A32" s="7">
        <v>2023</v>
      </c>
      <c r="B32" s="15">
        <f>AVERAGE(E32,H32,K32,T32,AF32,AO32,AU32,AX32,AR32)</f>
        <v>47.944444444444443</v>
      </c>
      <c r="C32" s="15"/>
      <c r="D32" s="7">
        <v>2023</v>
      </c>
      <c r="E32" s="59">
        <v>50</v>
      </c>
      <c r="F32" s="60" t="s">
        <v>355</v>
      </c>
      <c r="G32" s="7">
        <v>2023</v>
      </c>
      <c r="H32" s="59">
        <v>25</v>
      </c>
      <c r="I32" s="61" t="s">
        <v>356</v>
      </c>
      <c r="J32" s="7">
        <v>2023</v>
      </c>
      <c r="K32" s="14">
        <v>100</v>
      </c>
      <c r="L32" s="17"/>
      <c r="M32" s="7">
        <v>2023</v>
      </c>
      <c r="N32" s="53">
        <v>100</v>
      </c>
      <c r="O32" s="62" t="s">
        <v>357</v>
      </c>
      <c r="P32" s="7">
        <v>2023</v>
      </c>
      <c r="Q32" s="53">
        <v>100</v>
      </c>
      <c r="R32" s="62" t="s">
        <v>357</v>
      </c>
      <c r="S32" s="7">
        <v>2023</v>
      </c>
      <c r="T32" s="14">
        <v>40</v>
      </c>
      <c r="U32" s="17"/>
      <c r="V32" s="7">
        <v>2023</v>
      </c>
      <c r="W32" s="63">
        <v>0</v>
      </c>
      <c r="X32" s="62" t="s">
        <v>358</v>
      </c>
      <c r="Y32" s="7">
        <v>2023</v>
      </c>
      <c r="Z32" s="63">
        <v>50</v>
      </c>
      <c r="AA32" s="55" t="s">
        <v>359</v>
      </c>
      <c r="AB32" s="7">
        <v>2023</v>
      </c>
      <c r="AC32" s="63">
        <v>50</v>
      </c>
      <c r="AD32" s="55" t="s">
        <v>360</v>
      </c>
      <c r="AE32" s="7">
        <v>2023</v>
      </c>
      <c r="AF32" s="31">
        <f t="shared" si="4"/>
        <v>16.5</v>
      </c>
      <c r="AG32" s="17"/>
      <c r="AH32" s="7">
        <v>2023</v>
      </c>
      <c r="AI32" s="64">
        <v>0</v>
      </c>
      <c r="AJ32" s="62" t="s">
        <v>361</v>
      </c>
      <c r="AK32" s="7">
        <v>2023</v>
      </c>
      <c r="AL32" s="53">
        <v>50</v>
      </c>
      <c r="AM32" s="62" t="s">
        <v>362</v>
      </c>
      <c r="AN32" s="7">
        <v>2023</v>
      </c>
      <c r="AO32" s="53">
        <v>50</v>
      </c>
      <c r="AP32" s="65" t="s">
        <v>363</v>
      </c>
      <c r="AQ32" s="7">
        <v>2023</v>
      </c>
      <c r="AR32" s="59">
        <v>0</v>
      </c>
      <c r="AS32" s="60" t="s">
        <v>364</v>
      </c>
      <c r="AT32" s="7">
        <v>2023</v>
      </c>
      <c r="AU32" s="53">
        <v>100</v>
      </c>
      <c r="AV32" s="55" t="s">
        <v>365</v>
      </c>
      <c r="AW32" s="7">
        <v>2023</v>
      </c>
      <c r="AX32" s="55">
        <v>50</v>
      </c>
      <c r="AY32" s="53" t="s">
        <v>366</v>
      </c>
    </row>
    <row r="33" spans="1:51" ht="24.75" customHeight="1">
      <c r="A33" s="7">
        <v>2024</v>
      </c>
      <c r="B33" s="15">
        <f>AVERAGE(E33,H33,K33,T33,AF33,AO33,AU33,AX33,AR33)</f>
        <v>47.944444444444443</v>
      </c>
      <c r="C33" s="15"/>
      <c r="D33" s="7">
        <v>2024</v>
      </c>
      <c r="E33" s="59">
        <v>50</v>
      </c>
      <c r="F33" s="60" t="s">
        <v>355</v>
      </c>
      <c r="G33" s="7">
        <v>2024</v>
      </c>
      <c r="H33" s="59">
        <v>25</v>
      </c>
      <c r="I33" s="61" t="s">
        <v>356</v>
      </c>
      <c r="J33" s="7">
        <v>2024</v>
      </c>
      <c r="K33" s="14">
        <v>100</v>
      </c>
      <c r="L33" s="17"/>
      <c r="M33" s="7">
        <v>2024</v>
      </c>
      <c r="N33" s="53">
        <v>100</v>
      </c>
      <c r="O33" s="62" t="s">
        <v>357</v>
      </c>
      <c r="P33" s="7">
        <v>2024</v>
      </c>
      <c r="Q33" s="53">
        <v>100</v>
      </c>
      <c r="R33" s="62" t="s">
        <v>357</v>
      </c>
      <c r="S33" s="7">
        <v>2024</v>
      </c>
      <c r="T33" s="14">
        <v>40</v>
      </c>
      <c r="U33" s="17"/>
      <c r="V33" s="7">
        <v>2024</v>
      </c>
      <c r="W33" s="63">
        <v>0</v>
      </c>
      <c r="X33" s="62" t="s">
        <v>367</v>
      </c>
      <c r="Y33" s="7">
        <v>2024</v>
      </c>
      <c r="Z33" s="63">
        <v>50</v>
      </c>
      <c r="AA33" s="55" t="s">
        <v>359</v>
      </c>
      <c r="AB33" s="7">
        <v>2024</v>
      </c>
      <c r="AC33" s="63">
        <v>50</v>
      </c>
      <c r="AD33" s="55" t="s">
        <v>368</v>
      </c>
      <c r="AE33" s="7">
        <v>2024</v>
      </c>
      <c r="AF33" s="31">
        <f t="shared" si="4"/>
        <v>16.5</v>
      </c>
      <c r="AG33" s="17"/>
      <c r="AH33" s="7">
        <v>2024</v>
      </c>
      <c r="AI33" s="64">
        <v>0</v>
      </c>
      <c r="AJ33" s="62" t="s">
        <v>361</v>
      </c>
      <c r="AK33" s="7">
        <v>2024</v>
      </c>
      <c r="AL33" s="53">
        <v>50</v>
      </c>
      <c r="AM33" s="62" t="s">
        <v>362</v>
      </c>
      <c r="AN33" s="7">
        <v>2024</v>
      </c>
      <c r="AO33" s="53">
        <v>50</v>
      </c>
      <c r="AP33" s="65" t="s">
        <v>363</v>
      </c>
      <c r="AQ33" s="7">
        <v>2024</v>
      </c>
      <c r="AR33" s="59">
        <v>0</v>
      </c>
      <c r="AS33" s="60" t="s">
        <v>364</v>
      </c>
      <c r="AT33" s="7">
        <v>2024</v>
      </c>
      <c r="AU33" s="53">
        <v>100</v>
      </c>
      <c r="AV33" s="55" t="s">
        <v>365</v>
      </c>
      <c r="AW33" s="7">
        <v>2024</v>
      </c>
      <c r="AX33" s="55">
        <v>50</v>
      </c>
      <c r="AY33" s="53" t="s">
        <v>366</v>
      </c>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108"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c r="AG39" s="310"/>
      <c r="AH39" s="7" t="s">
        <v>30</v>
      </c>
      <c r="AI39" s="310" t="s">
        <v>162</v>
      </c>
      <c r="AJ39" s="310"/>
      <c r="AK39" s="7" t="s">
        <v>30</v>
      </c>
      <c r="AL39" s="310" t="s">
        <v>163</v>
      </c>
      <c r="AM39" s="310"/>
    </row>
    <row r="40" spans="1:51" ht="99.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297" t="s">
        <v>172</v>
      </c>
      <c r="AG40" s="298"/>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73.857142857142861</v>
      </c>
      <c r="C42" s="16"/>
      <c r="D42" s="7">
        <v>2020</v>
      </c>
      <c r="E42" s="53">
        <v>100</v>
      </c>
      <c r="F42" s="66" t="s">
        <v>369</v>
      </c>
      <c r="G42" s="7">
        <v>2020</v>
      </c>
      <c r="H42" s="53">
        <v>0</v>
      </c>
      <c r="I42" s="66" t="s">
        <v>370</v>
      </c>
      <c r="J42" s="7">
        <v>2020</v>
      </c>
      <c r="K42" s="51">
        <v>75</v>
      </c>
      <c r="L42" s="67" t="s">
        <v>371</v>
      </c>
      <c r="M42" s="7">
        <v>2020</v>
      </c>
      <c r="N42" s="31">
        <f t="shared" ref="N42:N46" si="5">AVERAGE(Q42,T42,W42)</f>
        <v>100</v>
      </c>
      <c r="O42" s="14"/>
      <c r="P42" s="7">
        <v>2020</v>
      </c>
      <c r="Q42" s="53">
        <v>100</v>
      </c>
      <c r="R42" s="66" t="s">
        <v>372</v>
      </c>
      <c r="S42" s="7">
        <v>2020</v>
      </c>
      <c r="T42" s="53">
        <v>100</v>
      </c>
      <c r="U42" s="66" t="s">
        <v>373</v>
      </c>
      <c r="V42" s="7">
        <v>2020</v>
      </c>
      <c r="W42" s="53">
        <v>100</v>
      </c>
      <c r="X42" s="66" t="s">
        <v>374</v>
      </c>
      <c r="Y42" s="7">
        <v>2020</v>
      </c>
      <c r="Z42" s="51">
        <v>75</v>
      </c>
      <c r="AA42" s="67" t="s">
        <v>375</v>
      </c>
      <c r="AB42" s="7">
        <v>2020</v>
      </c>
      <c r="AC42" s="53">
        <v>100</v>
      </c>
      <c r="AD42" s="66" t="s">
        <v>376</v>
      </c>
      <c r="AE42" s="7">
        <v>2020</v>
      </c>
      <c r="AF42" s="14">
        <v>67</v>
      </c>
      <c r="AG42" s="14"/>
      <c r="AH42" s="7">
        <v>2020</v>
      </c>
      <c r="AI42" s="53">
        <v>0</v>
      </c>
      <c r="AJ42" s="66" t="s">
        <v>377</v>
      </c>
      <c r="AK42" s="7">
        <v>2020</v>
      </c>
      <c r="AL42" s="53">
        <v>100</v>
      </c>
      <c r="AM42" s="66" t="s">
        <v>378</v>
      </c>
      <c r="AN42" s="68"/>
    </row>
    <row r="43" spans="1:51" ht="24.75" customHeight="1">
      <c r="A43" s="7">
        <v>2021</v>
      </c>
      <c r="B43" s="16">
        <f>AVERAGE(E43,H43,K43,N43,Z43,AC43,AF43)</f>
        <v>73.857142857142861</v>
      </c>
      <c r="C43" s="16"/>
      <c r="D43" s="7">
        <v>2021</v>
      </c>
      <c r="E43" s="53">
        <v>100</v>
      </c>
      <c r="F43" s="66" t="s">
        <v>369</v>
      </c>
      <c r="G43" s="7">
        <v>2021</v>
      </c>
      <c r="H43" s="53">
        <v>0</v>
      </c>
      <c r="I43" s="66" t="s">
        <v>370</v>
      </c>
      <c r="J43" s="7">
        <v>2021</v>
      </c>
      <c r="K43" s="51">
        <v>75</v>
      </c>
      <c r="L43" s="67" t="s">
        <v>371</v>
      </c>
      <c r="M43" s="7">
        <v>2021</v>
      </c>
      <c r="N43" s="31">
        <f t="shared" si="5"/>
        <v>100</v>
      </c>
      <c r="O43" s="14"/>
      <c r="P43" s="7">
        <v>2021</v>
      </c>
      <c r="Q43" s="53">
        <v>100</v>
      </c>
      <c r="R43" s="66" t="s">
        <v>372</v>
      </c>
      <c r="S43" s="7">
        <v>2021</v>
      </c>
      <c r="T43" s="53">
        <v>100</v>
      </c>
      <c r="U43" s="66" t="s">
        <v>373</v>
      </c>
      <c r="V43" s="7">
        <v>2021</v>
      </c>
      <c r="W43" s="53">
        <v>100</v>
      </c>
      <c r="X43" s="66" t="s">
        <v>374</v>
      </c>
      <c r="Y43" s="7">
        <v>2021</v>
      </c>
      <c r="Z43" s="51">
        <v>75</v>
      </c>
      <c r="AA43" s="67" t="s">
        <v>375</v>
      </c>
      <c r="AB43" s="7">
        <v>2021</v>
      </c>
      <c r="AC43" s="53">
        <v>100</v>
      </c>
      <c r="AD43" s="66" t="s">
        <v>376</v>
      </c>
      <c r="AE43" s="7">
        <v>2021</v>
      </c>
      <c r="AF43" s="14">
        <v>67</v>
      </c>
      <c r="AG43" s="14"/>
      <c r="AH43" s="7">
        <v>2021</v>
      </c>
      <c r="AI43" s="53">
        <v>0</v>
      </c>
      <c r="AJ43" s="66" t="s">
        <v>377</v>
      </c>
      <c r="AK43" s="7">
        <v>2021</v>
      </c>
      <c r="AL43" s="53">
        <v>100</v>
      </c>
      <c r="AM43" s="66" t="s">
        <v>378</v>
      </c>
    </row>
    <row r="44" spans="1:51" ht="24.75" customHeight="1">
      <c r="A44" s="7">
        <v>2022</v>
      </c>
      <c r="B44" s="16">
        <f>AVERAGE(E44,H44,K44,N44,Z44,AC44,AF44)</f>
        <v>73.857142857142861</v>
      </c>
      <c r="C44" s="16"/>
      <c r="D44" s="7">
        <v>2022</v>
      </c>
      <c r="E44" s="53">
        <v>100</v>
      </c>
      <c r="F44" s="66" t="s">
        <v>369</v>
      </c>
      <c r="G44" s="7">
        <v>2022</v>
      </c>
      <c r="H44" s="53">
        <v>0</v>
      </c>
      <c r="I44" s="66" t="s">
        <v>370</v>
      </c>
      <c r="J44" s="7">
        <v>2022</v>
      </c>
      <c r="K44" s="51">
        <v>75</v>
      </c>
      <c r="L44" s="67" t="s">
        <v>371</v>
      </c>
      <c r="M44" s="7">
        <v>2022</v>
      </c>
      <c r="N44" s="31">
        <f t="shared" si="5"/>
        <v>100</v>
      </c>
      <c r="O44" s="14"/>
      <c r="P44" s="7">
        <v>2022</v>
      </c>
      <c r="Q44" s="53">
        <v>100</v>
      </c>
      <c r="R44" s="66" t="s">
        <v>372</v>
      </c>
      <c r="S44" s="7">
        <v>2022</v>
      </c>
      <c r="T44" s="53">
        <v>100</v>
      </c>
      <c r="U44" s="66" t="s">
        <v>373</v>
      </c>
      <c r="V44" s="7">
        <v>2022</v>
      </c>
      <c r="W44" s="53">
        <v>100</v>
      </c>
      <c r="X44" s="66" t="s">
        <v>374</v>
      </c>
      <c r="Y44" s="7">
        <v>2022</v>
      </c>
      <c r="Z44" s="51">
        <v>75</v>
      </c>
      <c r="AA44" s="67" t="s">
        <v>375</v>
      </c>
      <c r="AB44" s="7">
        <v>2022</v>
      </c>
      <c r="AC44" s="53">
        <v>100</v>
      </c>
      <c r="AD44" s="66" t="s">
        <v>376</v>
      </c>
      <c r="AE44" s="7">
        <v>2022</v>
      </c>
      <c r="AF44" s="14">
        <v>67</v>
      </c>
      <c r="AG44" s="14"/>
      <c r="AH44" s="7">
        <v>2022</v>
      </c>
      <c r="AI44" s="53">
        <v>0</v>
      </c>
      <c r="AJ44" s="66" t="s">
        <v>377</v>
      </c>
      <c r="AK44" s="7">
        <v>2022</v>
      </c>
      <c r="AL44" s="53">
        <v>100</v>
      </c>
      <c r="AM44" s="66" t="s">
        <v>378</v>
      </c>
    </row>
    <row r="45" spans="1:51" ht="24.75" customHeight="1">
      <c r="A45" s="7">
        <v>2023</v>
      </c>
      <c r="B45" s="16">
        <f>AVERAGE(E45,H45,K45,N45,Z45,AC45,AF45)</f>
        <v>73.857142857142861</v>
      </c>
      <c r="C45" s="16"/>
      <c r="D45" s="7">
        <v>2023</v>
      </c>
      <c r="E45" s="53">
        <v>100</v>
      </c>
      <c r="F45" s="66" t="s">
        <v>369</v>
      </c>
      <c r="G45" s="7">
        <v>2023</v>
      </c>
      <c r="H45" s="53">
        <v>0</v>
      </c>
      <c r="I45" s="66" t="s">
        <v>370</v>
      </c>
      <c r="J45" s="7">
        <v>2023</v>
      </c>
      <c r="K45" s="51">
        <v>75</v>
      </c>
      <c r="L45" s="67" t="s">
        <v>371</v>
      </c>
      <c r="M45" s="7">
        <v>2023</v>
      </c>
      <c r="N45" s="31">
        <f t="shared" si="5"/>
        <v>100</v>
      </c>
      <c r="O45" s="14"/>
      <c r="P45" s="7">
        <v>2023</v>
      </c>
      <c r="Q45" s="53">
        <v>100</v>
      </c>
      <c r="R45" s="66" t="s">
        <v>372</v>
      </c>
      <c r="S45" s="7">
        <v>2023</v>
      </c>
      <c r="T45" s="53">
        <v>100</v>
      </c>
      <c r="U45" s="66" t="s">
        <v>373</v>
      </c>
      <c r="V45" s="7">
        <v>2023</v>
      </c>
      <c r="W45" s="53">
        <v>100</v>
      </c>
      <c r="X45" s="66" t="s">
        <v>374</v>
      </c>
      <c r="Y45" s="7">
        <v>2023</v>
      </c>
      <c r="Z45" s="51">
        <v>75</v>
      </c>
      <c r="AA45" s="67" t="s">
        <v>375</v>
      </c>
      <c r="AB45" s="7">
        <v>2023</v>
      </c>
      <c r="AC45" s="53">
        <v>100</v>
      </c>
      <c r="AD45" s="66" t="s">
        <v>376</v>
      </c>
      <c r="AE45" s="7">
        <v>2023</v>
      </c>
      <c r="AF45" s="14">
        <v>67</v>
      </c>
      <c r="AG45" s="14"/>
      <c r="AH45" s="7">
        <v>2023</v>
      </c>
      <c r="AI45" s="53">
        <v>0</v>
      </c>
      <c r="AJ45" s="66" t="s">
        <v>377</v>
      </c>
      <c r="AK45" s="7">
        <v>2023</v>
      </c>
      <c r="AL45" s="53">
        <v>100</v>
      </c>
      <c r="AM45" s="66" t="s">
        <v>378</v>
      </c>
    </row>
    <row r="46" spans="1:51" ht="24.75" customHeight="1">
      <c r="A46" s="7">
        <v>2024</v>
      </c>
      <c r="B46" s="16">
        <f>AVERAGE(E46,H46,K46,N46,Z46,AC46,AF46)</f>
        <v>73.857142857142861</v>
      </c>
      <c r="C46" s="16"/>
      <c r="D46" s="7">
        <v>2024</v>
      </c>
      <c r="E46" s="53">
        <v>100</v>
      </c>
      <c r="F46" s="66" t="s">
        <v>369</v>
      </c>
      <c r="G46" s="7">
        <v>2024</v>
      </c>
      <c r="H46" s="53">
        <v>0</v>
      </c>
      <c r="I46" s="66" t="s">
        <v>370</v>
      </c>
      <c r="J46" s="7">
        <v>2024</v>
      </c>
      <c r="K46" s="51">
        <v>75</v>
      </c>
      <c r="L46" s="67" t="s">
        <v>371</v>
      </c>
      <c r="M46" s="7">
        <v>2024</v>
      </c>
      <c r="N46" s="31">
        <f t="shared" si="5"/>
        <v>100</v>
      </c>
      <c r="O46" s="14"/>
      <c r="P46" s="7">
        <v>2024</v>
      </c>
      <c r="Q46" s="53">
        <v>100</v>
      </c>
      <c r="R46" s="66" t="s">
        <v>372</v>
      </c>
      <c r="S46" s="7">
        <v>2024</v>
      </c>
      <c r="T46" s="53">
        <v>100</v>
      </c>
      <c r="U46" s="66" t="s">
        <v>373</v>
      </c>
      <c r="V46" s="7">
        <v>2024</v>
      </c>
      <c r="W46" s="53">
        <v>100</v>
      </c>
      <c r="X46" s="66" t="s">
        <v>374</v>
      </c>
      <c r="Y46" s="7">
        <v>2024</v>
      </c>
      <c r="Z46" s="51">
        <v>75</v>
      </c>
      <c r="AA46" s="67" t="s">
        <v>375</v>
      </c>
      <c r="AB46" s="7">
        <v>2024</v>
      </c>
      <c r="AC46" s="53">
        <v>100</v>
      </c>
      <c r="AD46" s="66" t="s">
        <v>376</v>
      </c>
      <c r="AE46" s="7">
        <v>2024</v>
      </c>
      <c r="AF46" s="14">
        <v>67</v>
      </c>
      <c r="AG46" s="14"/>
      <c r="AH46" s="7">
        <v>2024</v>
      </c>
      <c r="AI46" s="53">
        <v>0</v>
      </c>
      <c r="AJ46" s="66" t="s">
        <v>377</v>
      </c>
      <c r="AK46" s="7">
        <v>2024</v>
      </c>
      <c r="AL46" s="53">
        <v>100</v>
      </c>
      <c r="AM46" s="66" t="s">
        <v>378</v>
      </c>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70.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71.2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65</v>
      </c>
      <c r="C55" s="16"/>
      <c r="D55" s="7">
        <v>2020</v>
      </c>
      <c r="E55" s="57">
        <v>25</v>
      </c>
      <c r="F55" s="69" t="s">
        <v>379</v>
      </c>
      <c r="G55" s="7">
        <v>2020</v>
      </c>
      <c r="H55" s="53">
        <v>100</v>
      </c>
      <c r="I55" s="66" t="s">
        <v>380</v>
      </c>
      <c r="J55" s="7">
        <v>2020</v>
      </c>
      <c r="K55" s="53">
        <v>50</v>
      </c>
      <c r="L55" s="66" t="s">
        <v>381</v>
      </c>
      <c r="M55" s="7">
        <v>2020</v>
      </c>
      <c r="N55" s="53">
        <v>50</v>
      </c>
      <c r="O55" s="66" t="s">
        <v>382</v>
      </c>
      <c r="P55" s="7">
        <v>2020</v>
      </c>
      <c r="Q55" s="53">
        <v>100</v>
      </c>
      <c r="R55" s="66" t="s">
        <v>383</v>
      </c>
      <c r="S55" s="32"/>
    </row>
    <row r="56" spans="1:24" ht="24.75" customHeight="1">
      <c r="A56" s="7">
        <v>2021</v>
      </c>
      <c r="B56" s="15">
        <f t="shared" si="6"/>
        <v>65</v>
      </c>
      <c r="C56" s="15"/>
      <c r="D56" s="7">
        <v>2021</v>
      </c>
      <c r="E56" s="57">
        <v>25</v>
      </c>
      <c r="F56" s="69" t="s">
        <v>379</v>
      </c>
      <c r="G56" s="7">
        <v>2021</v>
      </c>
      <c r="H56" s="53">
        <v>100</v>
      </c>
      <c r="I56" s="66" t="s">
        <v>380</v>
      </c>
      <c r="J56" s="7">
        <v>2021</v>
      </c>
      <c r="K56" s="53">
        <v>50</v>
      </c>
      <c r="L56" s="66" t="s">
        <v>381</v>
      </c>
      <c r="M56" s="7">
        <v>2021</v>
      </c>
      <c r="N56" s="53">
        <v>50</v>
      </c>
      <c r="O56" s="66" t="s">
        <v>382</v>
      </c>
      <c r="P56" s="7">
        <v>2021</v>
      </c>
      <c r="Q56" s="53">
        <v>100</v>
      </c>
      <c r="R56" s="66" t="s">
        <v>383</v>
      </c>
    </row>
    <row r="57" spans="1:24" ht="24.75" customHeight="1">
      <c r="A57" s="7">
        <v>2022</v>
      </c>
      <c r="B57" s="15">
        <f t="shared" si="6"/>
        <v>65</v>
      </c>
      <c r="C57" s="15"/>
      <c r="D57" s="7">
        <v>2022</v>
      </c>
      <c r="E57" s="57">
        <v>25</v>
      </c>
      <c r="F57" s="69" t="s">
        <v>379</v>
      </c>
      <c r="G57" s="7">
        <v>2022</v>
      </c>
      <c r="H57" s="53">
        <v>100</v>
      </c>
      <c r="I57" s="66" t="s">
        <v>380</v>
      </c>
      <c r="J57" s="7">
        <v>2022</v>
      </c>
      <c r="K57" s="53">
        <v>50</v>
      </c>
      <c r="L57" s="66" t="s">
        <v>381</v>
      </c>
      <c r="M57" s="7">
        <v>2022</v>
      </c>
      <c r="N57" s="53">
        <v>50</v>
      </c>
      <c r="O57" s="66" t="s">
        <v>382</v>
      </c>
      <c r="P57" s="7">
        <v>2022</v>
      </c>
      <c r="Q57" s="53">
        <v>100</v>
      </c>
      <c r="R57" s="66" t="s">
        <v>383</v>
      </c>
    </row>
    <row r="58" spans="1:24" ht="24.75" customHeight="1">
      <c r="A58" s="7">
        <v>2023</v>
      </c>
      <c r="B58" s="15">
        <f t="shared" si="6"/>
        <v>65</v>
      </c>
      <c r="C58" s="15"/>
      <c r="D58" s="7">
        <v>2023</v>
      </c>
      <c r="E58" s="57">
        <v>25</v>
      </c>
      <c r="F58" s="69" t="s">
        <v>379</v>
      </c>
      <c r="G58" s="7">
        <v>2023</v>
      </c>
      <c r="H58" s="53">
        <v>100</v>
      </c>
      <c r="I58" s="66" t="s">
        <v>380</v>
      </c>
      <c r="J58" s="7">
        <v>2023</v>
      </c>
      <c r="K58" s="53">
        <v>50</v>
      </c>
      <c r="L58" s="66" t="s">
        <v>381</v>
      </c>
      <c r="M58" s="7">
        <v>2023</v>
      </c>
      <c r="N58" s="53">
        <v>50</v>
      </c>
      <c r="O58" s="66" t="s">
        <v>382</v>
      </c>
      <c r="P58" s="7">
        <v>2023</v>
      </c>
      <c r="Q58" s="53">
        <v>100</v>
      </c>
      <c r="R58" s="66" t="s">
        <v>383</v>
      </c>
    </row>
    <row r="59" spans="1:24" ht="24.75" customHeight="1">
      <c r="A59" s="7">
        <v>2024</v>
      </c>
      <c r="B59" s="15">
        <f t="shared" si="6"/>
        <v>65</v>
      </c>
      <c r="C59" s="15"/>
      <c r="D59" s="7">
        <v>2024</v>
      </c>
      <c r="E59" s="57">
        <v>25</v>
      </c>
      <c r="F59" s="69" t="s">
        <v>379</v>
      </c>
      <c r="G59" s="7">
        <v>2024</v>
      </c>
      <c r="H59" s="53">
        <v>100</v>
      </c>
      <c r="I59" s="66" t="s">
        <v>380</v>
      </c>
      <c r="J59" s="7">
        <v>2024</v>
      </c>
      <c r="K59" s="53">
        <v>50</v>
      </c>
      <c r="L59" s="66" t="s">
        <v>381</v>
      </c>
      <c r="M59" s="7">
        <v>2024</v>
      </c>
      <c r="N59" s="53">
        <v>50</v>
      </c>
      <c r="O59" s="66" t="s">
        <v>382</v>
      </c>
      <c r="P59" s="7">
        <v>2024</v>
      </c>
      <c r="Q59" s="53">
        <v>100</v>
      </c>
      <c r="R59" s="66" t="s">
        <v>383</v>
      </c>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88.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90.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75</v>
      </c>
      <c r="C68" s="16"/>
      <c r="D68" s="7">
        <v>2020</v>
      </c>
      <c r="E68" s="53">
        <v>50</v>
      </c>
      <c r="F68" s="66" t="s">
        <v>384</v>
      </c>
      <c r="G68" s="7">
        <v>2020</v>
      </c>
      <c r="H68" s="53">
        <v>100</v>
      </c>
      <c r="I68" s="66" t="s">
        <v>385</v>
      </c>
      <c r="J68" s="7">
        <v>2020</v>
      </c>
      <c r="K68" s="53">
        <v>100</v>
      </c>
      <c r="L68" s="66" t="s">
        <v>386</v>
      </c>
      <c r="M68" s="7">
        <v>2020</v>
      </c>
      <c r="N68" s="53">
        <v>50</v>
      </c>
      <c r="O68" s="66" t="s">
        <v>387</v>
      </c>
      <c r="P68" s="7">
        <v>2020</v>
      </c>
      <c r="Q68" s="53">
        <v>100</v>
      </c>
      <c r="R68" s="66" t="s">
        <v>388</v>
      </c>
      <c r="S68" s="7">
        <v>2020</v>
      </c>
      <c r="T68" s="53">
        <v>0</v>
      </c>
      <c r="U68" s="66" t="s">
        <v>389</v>
      </c>
      <c r="V68" s="7">
        <v>2020</v>
      </c>
      <c r="W68" s="53">
        <v>100</v>
      </c>
      <c r="X68" s="66" t="s">
        <v>390</v>
      </c>
    </row>
    <row r="69" spans="1:27" ht="24.75" customHeight="1">
      <c r="A69" s="7">
        <v>2021</v>
      </c>
      <c r="B69" s="15">
        <f t="shared" si="7"/>
        <v>79.166666666666671</v>
      </c>
      <c r="C69" s="15"/>
      <c r="D69" s="7">
        <v>2021</v>
      </c>
      <c r="E69" s="53">
        <v>50</v>
      </c>
      <c r="F69" s="66" t="s">
        <v>384</v>
      </c>
      <c r="G69" s="7">
        <v>2021</v>
      </c>
      <c r="H69" s="53">
        <v>100</v>
      </c>
      <c r="I69" s="66" t="s">
        <v>385</v>
      </c>
      <c r="J69" s="7">
        <v>2021</v>
      </c>
      <c r="K69" s="53">
        <v>100</v>
      </c>
      <c r="L69" s="66" t="s">
        <v>386</v>
      </c>
      <c r="M69" s="7">
        <v>2021</v>
      </c>
      <c r="N69" s="35">
        <v>100</v>
      </c>
      <c r="O69" s="67" t="s">
        <v>391</v>
      </c>
      <c r="P69" s="7">
        <v>2021</v>
      </c>
      <c r="Q69" s="53">
        <v>100</v>
      </c>
      <c r="R69" s="66" t="s">
        <v>392</v>
      </c>
      <c r="S69" s="7">
        <v>2021</v>
      </c>
      <c r="T69" s="53">
        <v>0</v>
      </c>
      <c r="U69" s="66" t="s">
        <v>389</v>
      </c>
      <c r="V69" s="7">
        <v>2021</v>
      </c>
      <c r="W69" s="53">
        <v>100</v>
      </c>
      <c r="X69" s="70" t="s">
        <v>390</v>
      </c>
      <c r="Y69" s="71"/>
    </row>
    <row r="70" spans="1:27" ht="24.75" customHeight="1">
      <c r="A70" s="7">
        <v>2022</v>
      </c>
      <c r="B70" s="15">
        <f t="shared" si="7"/>
        <v>79.166666666666671</v>
      </c>
      <c r="C70" s="15"/>
      <c r="D70" s="7">
        <v>2022</v>
      </c>
      <c r="E70" s="53">
        <v>50</v>
      </c>
      <c r="F70" s="66" t="s">
        <v>384</v>
      </c>
      <c r="G70" s="7">
        <v>2022</v>
      </c>
      <c r="H70" s="53">
        <v>100</v>
      </c>
      <c r="I70" s="66" t="s">
        <v>385</v>
      </c>
      <c r="J70" s="7">
        <v>2022</v>
      </c>
      <c r="K70" s="53">
        <v>100</v>
      </c>
      <c r="L70" s="66" t="s">
        <v>386</v>
      </c>
      <c r="M70" s="7">
        <v>2022</v>
      </c>
      <c r="N70" s="23">
        <v>100</v>
      </c>
      <c r="O70" s="66" t="s">
        <v>391</v>
      </c>
      <c r="P70" s="7">
        <v>2022</v>
      </c>
      <c r="Q70" s="53">
        <v>100</v>
      </c>
      <c r="R70" s="66" t="s">
        <v>393</v>
      </c>
      <c r="S70" s="7">
        <v>2022</v>
      </c>
      <c r="T70" s="53">
        <v>0</v>
      </c>
      <c r="U70" s="66" t="s">
        <v>389</v>
      </c>
      <c r="V70" s="7">
        <v>2022</v>
      </c>
      <c r="W70" s="53">
        <v>100</v>
      </c>
      <c r="X70" s="66" t="s">
        <v>390</v>
      </c>
    </row>
    <row r="71" spans="1:27" ht="24.75" customHeight="1">
      <c r="A71" s="7">
        <v>2023</v>
      </c>
      <c r="B71" s="15">
        <f t="shared" si="7"/>
        <v>79.166666666666671</v>
      </c>
      <c r="C71" s="15"/>
      <c r="D71" s="7">
        <v>2023</v>
      </c>
      <c r="E71" s="53">
        <v>50</v>
      </c>
      <c r="F71" s="66" t="s">
        <v>384</v>
      </c>
      <c r="G71" s="7">
        <v>2023</v>
      </c>
      <c r="H71" s="53">
        <v>100</v>
      </c>
      <c r="I71" s="66" t="s">
        <v>385</v>
      </c>
      <c r="J71" s="7">
        <v>2023</v>
      </c>
      <c r="K71" s="53">
        <v>100</v>
      </c>
      <c r="L71" s="66" t="s">
        <v>386</v>
      </c>
      <c r="M71" s="7">
        <v>2023</v>
      </c>
      <c r="N71" s="23">
        <v>100</v>
      </c>
      <c r="O71" s="66" t="s">
        <v>391</v>
      </c>
      <c r="P71" s="7">
        <v>2023</v>
      </c>
      <c r="Q71" s="53">
        <v>100</v>
      </c>
      <c r="R71" s="66" t="s">
        <v>393</v>
      </c>
      <c r="S71" s="7">
        <v>2023</v>
      </c>
      <c r="T71" s="53">
        <v>0</v>
      </c>
      <c r="U71" s="66" t="s">
        <v>389</v>
      </c>
      <c r="V71" s="7">
        <v>2023</v>
      </c>
      <c r="W71" s="53">
        <v>100</v>
      </c>
      <c r="X71" s="66" t="s">
        <v>390</v>
      </c>
    </row>
    <row r="72" spans="1:27" ht="24.75" customHeight="1">
      <c r="A72" s="7">
        <v>2024</v>
      </c>
      <c r="B72" s="15">
        <f t="shared" si="7"/>
        <v>79.166666666666671</v>
      </c>
      <c r="C72" s="15"/>
      <c r="D72" s="7">
        <v>2024</v>
      </c>
      <c r="E72" s="53">
        <v>50</v>
      </c>
      <c r="F72" s="66" t="s">
        <v>384</v>
      </c>
      <c r="G72" s="7">
        <v>2024</v>
      </c>
      <c r="H72" s="53">
        <v>100</v>
      </c>
      <c r="I72" s="66" t="s">
        <v>385</v>
      </c>
      <c r="J72" s="7">
        <v>2024</v>
      </c>
      <c r="K72" s="53">
        <v>100</v>
      </c>
      <c r="L72" s="66" t="s">
        <v>386</v>
      </c>
      <c r="M72" s="7">
        <v>2024</v>
      </c>
      <c r="N72" s="23">
        <v>100</v>
      </c>
      <c r="O72" s="66" t="s">
        <v>391</v>
      </c>
      <c r="P72" s="7">
        <v>2024</v>
      </c>
      <c r="Q72" s="53">
        <v>100</v>
      </c>
      <c r="R72" s="66" t="s">
        <v>393</v>
      </c>
      <c r="S72" s="7">
        <v>2024</v>
      </c>
      <c r="T72" s="53">
        <v>0</v>
      </c>
      <c r="U72" s="66" t="s">
        <v>389</v>
      </c>
      <c r="V72" s="7">
        <v>2024</v>
      </c>
      <c r="W72" s="53">
        <v>100</v>
      </c>
      <c r="X72" s="66" t="s">
        <v>390</v>
      </c>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80.2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74.2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4" ht="24.75" customHeight="1">
      <c r="A81" s="7">
        <v>2020</v>
      </c>
      <c r="B81" s="15">
        <f t="shared" ref="B81:B85" si="8">AVERAGE(E81,H81,K81,Z81)</f>
        <v>64.5</v>
      </c>
      <c r="C81" s="15"/>
      <c r="D81" s="7">
        <v>2020</v>
      </c>
      <c r="E81" s="53">
        <v>100</v>
      </c>
      <c r="F81" s="66" t="s">
        <v>394</v>
      </c>
      <c r="G81" s="7">
        <v>2020</v>
      </c>
      <c r="H81" s="53">
        <v>33</v>
      </c>
      <c r="I81" s="66" t="s">
        <v>395</v>
      </c>
      <c r="J81" s="7">
        <v>2020</v>
      </c>
      <c r="K81" s="31">
        <f t="shared" ref="K81:K85" si="9">AVERAGE(N81,Q81,T81,W81)</f>
        <v>25</v>
      </c>
      <c r="L81" s="14"/>
      <c r="M81" s="7">
        <v>2020</v>
      </c>
      <c r="N81" s="53">
        <v>50</v>
      </c>
      <c r="O81" s="66" t="s">
        <v>396</v>
      </c>
      <c r="P81" s="7">
        <v>2020</v>
      </c>
      <c r="Q81" s="53">
        <v>50</v>
      </c>
      <c r="R81" s="66" t="s">
        <v>397</v>
      </c>
      <c r="S81" s="7">
        <v>2020</v>
      </c>
      <c r="T81" s="53">
        <v>0</v>
      </c>
      <c r="U81" s="66" t="s">
        <v>398</v>
      </c>
      <c r="V81" s="7">
        <v>2020</v>
      </c>
      <c r="W81" s="53">
        <v>0</v>
      </c>
      <c r="X81" s="66" t="s">
        <v>399</v>
      </c>
      <c r="Y81" s="7">
        <v>2020</v>
      </c>
      <c r="Z81" s="53">
        <v>100</v>
      </c>
      <c r="AA81" s="66" t="s">
        <v>400</v>
      </c>
      <c r="AB81" s="32"/>
    </row>
    <row r="82" spans="1:34" ht="24.75" customHeight="1">
      <c r="A82" s="7">
        <v>2021</v>
      </c>
      <c r="B82" s="15">
        <f t="shared" si="8"/>
        <v>64.5</v>
      </c>
      <c r="C82" s="15"/>
      <c r="D82" s="7">
        <v>2021</v>
      </c>
      <c r="E82" s="53">
        <v>100</v>
      </c>
      <c r="F82" s="66" t="s">
        <v>394</v>
      </c>
      <c r="G82" s="7">
        <v>2021</v>
      </c>
      <c r="H82" s="53">
        <v>33</v>
      </c>
      <c r="I82" s="66" t="s">
        <v>395</v>
      </c>
      <c r="J82" s="7">
        <v>2021</v>
      </c>
      <c r="K82" s="31">
        <f t="shared" si="9"/>
        <v>25</v>
      </c>
      <c r="L82" s="14"/>
      <c r="M82" s="7">
        <v>2021</v>
      </c>
      <c r="N82" s="53">
        <v>50</v>
      </c>
      <c r="O82" s="66" t="s">
        <v>396</v>
      </c>
      <c r="P82" s="7">
        <v>2021</v>
      </c>
      <c r="Q82" s="53">
        <v>50</v>
      </c>
      <c r="R82" s="66" t="s">
        <v>397</v>
      </c>
      <c r="S82" s="7">
        <v>2021</v>
      </c>
      <c r="T82" s="53">
        <v>0</v>
      </c>
      <c r="U82" s="66" t="s">
        <v>398</v>
      </c>
      <c r="V82" s="7">
        <v>2021</v>
      </c>
      <c r="W82" s="53">
        <v>0</v>
      </c>
      <c r="X82" s="66" t="s">
        <v>399</v>
      </c>
      <c r="Y82" s="7">
        <v>2021</v>
      </c>
      <c r="Z82" s="53">
        <v>100</v>
      </c>
      <c r="AA82" s="66" t="s">
        <v>400</v>
      </c>
    </row>
    <row r="83" spans="1:34" ht="24.75" customHeight="1">
      <c r="A83" s="7">
        <v>2022</v>
      </c>
      <c r="B83" s="15">
        <f t="shared" si="8"/>
        <v>64.5</v>
      </c>
      <c r="C83" s="15"/>
      <c r="D83" s="7">
        <v>2022</v>
      </c>
      <c r="E83" s="53">
        <v>100</v>
      </c>
      <c r="F83" s="66" t="s">
        <v>394</v>
      </c>
      <c r="G83" s="7">
        <v>2022</v>
      </c>
      <c r="H83" s="53">
        <v>33</v>
      </c>
      <c r="I83" s="66" t="s">
        <v>395</v>
      </c>
      <c r="J83" s="7">
        <v>2022</v>
      </c>
      <c r="K83" s="31">
        <f t="shared" si="9"/>
        <v>25</v>
      </c>
      <c r="L83" s="14"/>
      <c r="M83" s="7">
        <v>2022</v>
      </c>
      <c r="N83" s="53">
        <v>50</v>
      </c>
      <c r="O83" s="66" t="s">
        <v>396</v>
      </c>
      <c r="P83" s="7">
        <v>2022</v>
      </c>
      <c r="Q83" s="53">
        <v>50</v>
      </c>
      <c r="R83" s="66" t="s">
        <v>397</v>
      </c>
      <c r="S83" s="7">
        <v>2022</v>
      </c>
      <c r="T83" s="53">
        <v>0</v>
      </c>
      <c r="U83" s="66" t="s">
        <v>398</v>
      </c>
      <c r="V83" s="7">
        <v>2022</v>
      </c>
      <c r="W83" s="53">
        <v>0</v>
      </c>
      <c r="X83" s="66" t="s">
        <v>399</v>
      </c>
      <c r="Y83" s="7">
        <v>2022</v>
      </c>
      <c r="Z83" s="53">
        <v>100</v>
      </c>
      <c r="AA83" s="66" t="s">
        <v>400</v>
      </c>
    </row>
    <row r="84" spans="1:34" ht="24.75" customHeight="1">
      <c r="A84" s="7">
        <v>2023</v>
      </c>
      <c r="B84" s="15">
        <f t="shared" si="8"/>
        <v>64.5</v>
      </c>
      <c r="C84" s="15"/>
      <c r="D84" s="7">
        <v>2023</v>
      </c>
      <c r="E84" s="53">
        <v>100</v>
      </c>
      <c r="F84" s="66" t="s">
        <v>394</v>
      </c>
      <c r="G84" s="7">
        <v>2023</v>
      </c>
      <c r="H84" s="53">
        <v>33</v>
      </c>
      <c r="I84" s="66" t="s">
        <v>395</v>
      </c>
      <c r="J84" s="7">
        <v>2023</v>
      </c>
      <c r="K84" s="31">
        <f t="shared" si="9"/>
        <v>25</v>
      </c>
      <c r="L84" s="14"/>
      <c r="M84" s="7">
        <v>2023</v>
      </c>
      <c r="N84" s="53">
        <v>50</v>
      </c>
      <c r="O84" s="66" t="s">
        <v>396</v>
      </c>
      <c r="P84" s="7">
        <v>2023</v>
      </c>
      <c r="Q84" s="53">
        <v>50</v>
      </c>
      <c r="R84" s="66" t="s">
        <v>397</v>
      </c>
      <c r="S84" s="7">
        <v>2023</v>
      </c>
      <c r="T84" s="53">
        <v>0</v>
      </c>
      <c r="U84" s="66" t="s">
        <v>398</v>
      </c>
      <c r="V84" s="7">
        <v>2023</v>
      </c>
      <c r="W84" s="53">
        <v>0</v>
      </c>
      <c r="X84" s="66" t="s">
        <v>399</v>
      </c>
      <c r="Y84" s="7">
        <v>2023</v>
      </c>
      <c r="Z84" s="53">
        <v>100</v>
      </c>
      <c r="AA84" s="66" t="s">
        <v>400</v>
      </c>
    </row>
    <row r="85" spans="1:34" ht="24.75" customHeight="1">
      <c r="A85" s="7">
        <v>2024</v>
      </c>
      <c r="B85" s="15">
        <f t="shared" si="8"/>
        <v>64.5</v>
      </c>
      <c r="C85" s="15"/>
      <c r="D85" s="7">
        <v>2024</v>
      </c>
      <c r="E85" s="53">
        <v>100</v>
      </c>
      <c r="F85" s="66" t="s">
        <v>394</v>
      </c>
      <c r="G85" s="7">
        <v>2024</v>
      </c>
      <c r="H85" s="53">
        <v>33</v>
      </c>
      <c r="I85" s="66" t="s">
        <v>395</v>
      </c>
      <c r="J85" s="7">
        <v>2024</v>
      </c>
      <c r="K85" s="31">
        <f t="shared" si="9"/>
        <v>25</v>
      </c>
      <c r="L85" s="14"/>
      <c r="M85" s="7">
        <v>2024</v>
      </c>
      <c r="N85" s="53">
        <v>50</v>
      </c>
      <c r="O85" s="66" t="s">
        <v>401</v>
      </c>
      <c r="P85" s="7">
        <v>2024</v>
      </c>
      <c r="Q85" s="53">
        <v>50</v>
      </c>
      <c r="R85" s="66" t="s">
        <v>397</v>
      </c>
      <c r="S85" s="7">
        <v>2024</v>
      </c>
      <c r="T85" s="53">
        <v>0</v>
      </c>
      <c r="U85" s="66" t="s">
        <v>398</v>
      </c>
      <c r="V85" s="7">
        <v>2024</v>
      </c>
      <c r="W85" s="53">
        <v>0</v>
      </c>
      <c r="X85" s="66" t="s">
        <v>399</v>
      </c>
      <c r="Y85" s="7">
        <v>2024</v>
      </c>
      <c r="Z85" s="53">
        <v>100</v>
      </c>
      <c r="AA85" s="66" t="s">
        <v>400</v>
      </c>
    </row>
    <row r="86" spans="1:34" ht="24.75" customHeight="1">
      <c r="W86" s="39"/>
    </row>
    <row r="87" spans="1:34"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4"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4"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4"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4" ht="72"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4" ht="65.2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4"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4" ht="24.75" customHeight="1">
      <c r="A94" s="7">
        <v>2020</v>
      </c>
      <c r="B94" s="15">
        <f>AVERAGE(E94,H94, W94,((Z94+AC94+AF94)/3))</f>
        <v>100</v>
      </c>
      <c r="C94" s="15"/>
      <c r="D94" s="7">
        <v>2020</v>
      </c>
      <c r="E94" s="53">
        <v>100</v>
      </c>
      <c r="F94" s="72" t="s">
        <v>402</v>
      </c>
      <c r="G94" s="7">
        <v>2020</v>
      </c>
      <c r="H94" s="31">
        <f t="shared" ref="H94:H98" si="10">AVERAGE(K94,N94,Q94,T94)</f>
        <v>100</v>
      </c>
      <c r="I94" s="14"/>
      <c r="J94" s="7">
        <v>2020</v>
      </c>
      <c r="K94" s="53">
        <v>100</v>
      </c>
      <c r="L94" s="72" t="s">
        <v>403</v>
      </c>
      <c r="M94" s="7">
        <v>2020</v>
      </c>
      <c r="N94" s="53">
        <v>100</v>
      </c>
      <c r="O94" s="62" t="s">
        <v>404</v>
      </c>
      <c r="P94" s="7">
        <v>2020</v>
      </c>
      <c r="Q94" s="53">
        <v>100</v>
      </c>
      <c r="R94" s="62" t="s">
        <v>405</v>
      </c>
      <c r="S94" s="7">
        <v>2020</v>
      </c>
      <c r="T94" s="53">
        <v>100</v>
      </c>
      <c r="U94" s="72" t="s">
        <v>406</v>
      </c>
      <c r="V94" s="7">
        <v>2020</v>
      </c>
      <c r="W94" s="53">
        <v>100</v>
      </c>
      <c r="X94" s="17" t="s">
        <v>407</v>
      </c>
      <c r="Y94" s="7">
        <v>2020</v>
      </c>
      <c r="Z94" s="53">
        <v>100</v>
      </c>
      <c r="AA94" s="72" t="s">
        <v>408</v>
      </c>
      <c r="AB94" s="7">
        <v>2020</v>
      </c>
      <c r="AC94" s="53">
        <v>100</v>
      </c>
      <c r="AD94" s="72" t="s">
        <v>409</v>
      </c>
      <c r="AE94" s="7">
        <v>2020</v>
      </c>
      <c r="AF94" s="53">
        <v>100</v>
      </c>
      <c r="AG94" s="72" t="s">
        <v>410</v>
      </c>
      <c r="AH94" s="32"/>
    </row>
    <row r="95" spans="1:34" ht="24.75" customHeight="1">
      <c r="A95" s="7">
        <v>2021</v>
      </c>
      <c r="B95" s="15">
        <f>AVERAGE(E95,H95, W95,((Z95+AC95+AF95)/3))</f>
        <v>100</v>
      </c>
      <c r="C95" s="15"/>
      <c r="D95" s="7">
        <v>2021</v>
      </c>
      <c r="E95" s="53">
        <v>100</v>
      </c>
      <c r="F95" s="72" t="s">
        <v>402</v>
      </c>
      <c r="G95" s="7">
        <v>2021</v>
      </c>
      <c r="H95" s="31">
        <f t="shared" si="10"/>
        <v>100</v>
      </c>
      <c r="I95" s="14"/>
      <c r="J95" s="7">
        <v>2021</v>
      </c>
      <c r="K95" s="53">
        <v>100</v>
      </c>
      <c r="L95" s="72" t="s">
        <v>403</v>
      </c>
      <c r="M95" s="7">
        <v>2021</v>
      </c>
      <c r="N95" s="53">
        <v>100</v>
      </c>
      <c r="O95" s="62" t="s">
        <v>404</v>
      </c>
      <c r="P95" s="7">
        <v>2021</v>
      </c>
      <c r="Q95" s="53">
        <v>100</v>
      </c>
      <c r="R95" s="62" t="s">
        <v>405</v>
      </c>
      <c r="S95" s="7">
        <v>2021</v>
      </c>
      <c r="T95" s="53">
        <v>100</v>
      </c>
      <c r="U95" s="72" t="s">
        <v>406</v>
      </c>
      <c r="V95" s="7">
        <v>2021</v>
      </c>
      <c r="W95" s="53">
        <v>100</v>
      </c>
      <c r="X95" s="17" t="s">
        <v>407</v>
      </c>
      <c r="Y95" s="7">
        <v>2021</v>
      </c>
      <c r="Z95" s="53">
        <v>100</v>
      </c>
      <c r="AA95" s="72" t="s">
        <v>408</v>
      </c>
      <c r="AB95" s="7">
        <v>2021</v>
      </c>
      <c r="AC95" s="53">
        <v>100</v>
      </c>
      <c r="AD95" s="72" t="s">
        <v>409</v>
      </c>
      <c r="AE95" s="7">
        <v>2021</v>
      </c>
      <c r="AF95" s="53">
        <v>100</v>
      </c>
      <c r="AG95" s="72" t="s">
        <v>410</v>
      </c>
    </row>
    <row r="96" spans="1:34" ht="24.75" customHeight="1">
      <c r="A96" s="7">
        <v>2022</v>
      </c>
      <c r="B96" s="15">
        <f>AVERAGE(E96,H96, W96,((Z96+AC96+AF96)/3))</f>
        <v>100</v>
      </c>
      <c r="C96" s="15"/>
      <c r="D96" s="7">
        <v>2022</v>
      </c>
      <c r="E96" s="53">
        <v>100</v>
      </c>
      <c r="F96" s="72" t="s">
        <v>402</v>
      </c>
      <c r="G96" s="7">
        <v>2022</v>
      </c>
      <c r="H96" s="31">
        <f t="shared" si="10"/>
        <v>100</v>
      </c>
      <c r="I96" s="14"/>
      <c r="J96" s="7">
        <v>2022</v>
      </c>
      <c r="K96" s="53">
        <v>100</v>
      </c>
      <c r="L96" s="72" t="s">
        <v>403</v>
      </c>
      <c r="M96" s="7">
        <v>2022</v>
      </c>
      <c r="N96" s="53">
        <v>100</v>
      </c>
      <c r="O96" s="62" t="s">
        <v>404</v>
      </c>
      <c r="P96" s="7">
        <v>2022</v>
      </c>
      <c r="Q96" s="53">
        <v>100</v>
      </c>
      <c r="R96" s="62" t="s">
        <v>405</v>
      </c>
      <c r="S96" s="7">
        <v>2022</v>
      </c>
      <c r="T96" s="53">
        <v>100</v>
      </c>
      <c r="U96" s="72" t="s">
        <v>406</v>
      </c>
      <c r="V96" s="7">
        <v>2022</v>
      </c>
      <c r="W96" s="53">
        <v>100</v>
      </c>
      <c r="X96" s="17" t="s">
        <v>407</v>
      </c>
      <c r="Y96" s="7">
        <v>2022</v>
      </c>
      <c r="Z96" s="53">
        <v>100</v>
      </c>
      <c r="AA96" s="72" t="s">
        <v>408</v>
      </c>
      <c r="AB96" s="7">
        <v>2022</v>
      </c>
      <c r="AC96" s="53">
        <v>100</v>
      </c>
      <c r="AD96" s="72" t="s">
        <v>409</v>
      </c>
      <c r="AE96" s="7">
        <v>2022</v>
      </c>
      <c r="AF96" s="53">
        <v>100</v>
      </c>
      <c r="AG96" s="72" t="s">
        <v>410</v>
      </c>
    </row>
    <row r="97" spans="1:51" ht="24.75" customHeight="1">
      <c r="A97" s="7">
        <v>2023</v>
      </c>
      <c r="B97" s="15">
        <f>AVERAGE(E97,H97, W97,((Z97+AC97+AF97)/3))</f>
        <v>100</v>
      </c>
      <c r="C97" s="15"/>
      <c r="D97" s="7">
        <v>2023</v>
      </c>
      <c r="E97" s="53">
        <v>100</v>
      </c>
      <c r="F97" s="72" t="s">
        <v>402</v>
      </c>
      <c r="G97" s="7">
        <v>2023</v>
      </c>
      <c r="H97" s="31">
        <f t="shared" si="10"/>
        <v>100</v>
      </c>
      <c r="I97" s="14"/>
      <c r="J97" s="7">
        <v>2023</v>
      </c>
      <c r="K97" s="53">
        <v>100</v>
      </c>
      <c r="L97" s="72" t="s">
        <v>403</v>
      </c>
      <c r="M97" s="7">
        <v>2023</v>
      </c>
      <c r="N97" s="53">
        <v>100</v>
      </c>
      <c r="O97" s="62" t="s">
        <v>404</v>
      </c>
      <c r="P97" s="7">
        <v>2023</v>
      </c>
      <c r="Q97" s="53">
        <v>100</v>
      </c>
      <c r="R97" s="62" t="s">
        <v>405</v>
      </c>
      <c r="S97" s="7">
        <v>2023</v>
      </c>
      <c r="T97" s="53">
        <v>100</v>
      </c>
      <c r="U97" s="72" t="s">
        <v>406</v>
      </c>
      <c r="V97" s="7">
        <v>2023</v>
      </c>
      <c r="W97" s="53">
        <v>100</v>
      </c>
      <c r="X97" s="17" t="s">
        <v>407</v>
      </c>
      <c r="Y97" s="7">
        <v>2023</v>
      </c>
      <c r="Z97" s="53">
        <v>100</v>
      </c>
      <c r="AA97" s="72" t="s">
        <v>408</v>
      </c>
      <c r="AB97" s="7">
        <v>2023</v>
      </c>
      <c r="AC97" s="53">
        <v>100</v>
      </c>
      <c r="AD97" s="72" t="s">
        <v>409</v>
      </c>
      <c r="AE97" s="7">
        <v>2023</v>
      </c>
      <c r="AF97" s="53">
        <v>100</v>
      </c>
      <c r="AG97" s="72" t="s">
        <v>410</v>
      </c>
    </row>
    <row r="98" spans="1:51" ht="24.75" customHeight="1">
      <c r="A98" s="7">
        <v>2024</v>
      </c>
      <c r="B98" s="15">
        <f>AVERAGE(E98,H98, W98,((Z98+AC98+AF98)/3))</f>
        <v>100</v>
      </c>
      <c r="C98" s="15"/>
      <c r="D98" s="7">
        <v>2024</v>
      </c>
      <c r="E98" s="53">
        <v>100</v>
      </c>
      <c r="F98" s="72" t="s">
        <v>402</v>
      </c>
      <c r="G98" s="7">
        <v>2024</v>
      </c>
      <c r="H98" s="31">
        <f t="shared" si="10"/>
        <v>100</v>
      </c>
      <c r="I98" s="14"/>
      <c r="J98" s="7">
        <v>2024</v>
      </c>
      <c r="K98" s="53">
        <v>100</v>
      </c>
      <c r="L98" s="72" t="s">
        <v>403</v>
      </c>
      <c r="M98" s="7">
        <v>2024</v>
      </c>
      <c r="N98" s="53">
        <v>100</v>
      </c>
      <c r="O98" s="62" t="s">
        <v>404</v>
      </c>
      <c r="P98" s="7">
        <v>2024</v>
      </c>
      <c r="Q98" s="53">
        <v>100</v>
      </c>
      <c r="R98" s="62" t="s">
        <v>405</v>
      </c>
      <c r="S98" s="7">
        <v>2024</v>
      </c>
      <c r="T98" s="53">
        <v>100</v>
      </c>
      <c r="U98" s="72" t="s">
        <v>406</v>
      </c>
      <c r="V98" s="7">
        <v>2024</v>
      </c>
      <c r="W98" s="53">
        <v>100</v>
      </c>
      <c r="X98" s="17" t="s">
        <v>407</v>
      </c>
      <c r="Y98" s="7">
        <v>2024</v>
      </c>
      <c r="Z98" s="53">
        <v>100</v>
      </c>
      <c r="AA98" s="72" t="s">
        <v>408</v>
      </c>
      <c r="AB98" s="7">
        <v>2024</v>
      </c>
      <c r="AC98" s="53">
        <v>100</v>
      </c>
      <c r="AD98" s="72" t="s">
        <v>409</v>
      </c>
      <c r="AE98" s="7">
        <v>2024</v>
      </c>
      <c r="AF98" s="53">
        <v>100</v>
      </c>
      <c r="AG98" s="72" t="s">
        <v>410</v>
      </c>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117.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90"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72.916666666666657</v>
      </c>
      <c r="C107" s="43"/>
      <c r="D107" s="27">
        <v>2020</v>
      </c>
      <c r="E107" s="14">
        <v>100</v>
      </c>
      <c r="F107" s="23" t="s">
        <v>411</v>
      </c>
      <c r="G107" s="7">
        <v>2020</v>
      </c>
      <c r="H107" s="44">
        <v>100</v>
      </c>
      <c r="I107" s="23" t="s">
        <v>412</v>
      </c>
      <c r="J107" s="27">
        <v>2020</v>
      </c>
      <c r="K107" s="74">
        <v>100</v>
      </c>
      <c r="L107" s="23" t="s">
        <v>413</v>
      </c>
      <c r="M107" s="7">
        <v>2020</v>
      </c>
      <c r="N107" s="21">
        <v>50</v>
      </c>
      <c r="O107" s="75" t="s">
        <v>414</v>
      </c>
      <c r="P107" s="27">
        <v>2020</v>
      </c>
      <c r="Q107" s="14">
        <v>50</v>
      </c>
      <c r="R107" s="76" t="s">
        <v>415</v>
      </c>
      <c r="S107" s="7">
        <v>2020</v>
      </c>
      <c r="T107" s="21">
        <v>0</v>
      </c>
      <c r="U107" s="76" t="s">
        <v>416</v>
      </c>
      <c r="V107" s="7">
        <v>2020</v>
      </c>
      <c r="W107" s="14">
        <v>100</v>
      </c>
      <c r="X107" s="77" t="s">
        <v>417</v>
      </c>
      <c r="Y107" s="7">
        <v>2020</v>
      </c>
      <c r="Z107" s="14">
        <v>100</v>
      </c>
      <c r="AA107" s="23" t="s">
        <v>418</v>
      </c>
      <c r="AB107" s="7">
        <v>2020</v>
      </c>
      <c r="AC107" s="21">
        <v>100</v>
      </c>
      <c r="AD107" s="23" t="s">
        <v>419</v>
      </c>
      <c r="AE107" s="7">
        <v>2020</v>
      </c>
      <c r="AF107" s="14">
        <v>50</v>
      </c>
      <c r="AG107" s="23" t="s">
        <v>420</v>
      </c>
      <c r="AH107" s="7">
        <v>2020</v>
      </c>
      <c r="AI107" s="21">
        <v>100</v>
      </c>
      <c r="AJ107" s="23" t="s">
        <v>421</v>
      </c>
      <c r="AK107" s="7">
        <v>2020</v>
      </c>
      <c r="AL107" s="21">
        <v>0</v>
      </c>
      <c r="AM107" s="23" t="s">
        <v>422</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72.916666666666657</v>
      </c>
      <c r="C108" s="49"/>
      <c r="D108" s="27">
        <v>2021</v>
      </c>
      <c r="E108" s="14">
        <v>100</v>
      </c>
      <c r="F108" s="23" t="s">
        <v>411</v>
      </c>
      <c r="G108" s="7">
        <v>2021</v>
      </c>
      <c r="H108" s="44">
        <v>100</v>
      </c>
      <c r="I108" s="23" t="s">
        <v>412</v>
      </c>
      <c r="J108" s="27">
        <v>2021</v>
      </c>
      <c r="K108" s="74">
        <v>100</v>
      </c>
      <c r="L108" s="23" t="s">
        <v>413</v>
      </c>
      <c r="M108" s="7">
        <v>2021</v>
      </c>
      <c r="N108" s="21">
        <v>50</v>
      </c>
      <c r="O108" s="75" t="s">
        <v>414</v>
      </c>
      <c r="P108" s="27">
        <v>2021</v>
      </c>
      <c r="Q108" s="14">
        <v>50</v>
      </c>
      <c r="R108" s="76" t="s">
        <v>415</v>
      </c>
      <c r="S108" s="7">
        <v>2021</v>
      </c>
      <c r="T108" s="21">
        <v>0</v>
      </c>
      <c r="U108" s="76" t="s">
        <v>416</v>
      </c>
      <c r="V108" s="7">
        <v>2021</v>
      </c>
      <c r="W108" s="14">
        <v>100</v>
      </c>
      <c r="X108" s="77" t="s">
        <v>417</v>
      </c>
      <c r="Y108" s="7">
        <v>2021</v>
      </c>
      <c r="Z108" s="14">
        <v>100</v>
      </c>
      <c r="AA108" s="23" t="s">
        <v>418</v>
      </c>
      <c r="AB108" s="7">
        <v>2021</v>
      </c>
      <c r="AC108" s="21">
        <v>100</v>
      </c>
      <c r="AD108" s="23" t="s">
        <v>419</v>
      </c>
      <c r="AE108" s="7">
        <v>2021</v>
      </c>
      <c r="AF108" s="14">
        <v>50</v>
      </c>
      <c r="AG108" s="23" t="s">
        <v>420</v>
      </c>
      <c r="AH108" s="7">
        <v>2021</v>
      </c>
      <c r="AI108" s="21">
        <v>100</v>
      </c>
      <c r="AJ108" s="23" t="s">
        <v>421</v>
      </c>
      <c r="AK108" s="7">
        <v>2021</v>
      </c>
      <c r="AL108" s="21">
        <v>0</v>
      </c>
      <c r="AM108" s="23" t="s">
        <v>422</v>
      </c>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72.916666666666657</v>
      </c>
      <c r="C109" s="49"/>
      <c r="D109" s="27">
        <v>2022</v>
      </c>
      <c r="E109" s="14">
        <v>100</v>
      </c>
      <c r="F109" s="23" t="s">
        <v>411</v>
      </c>
      <c r="G109" s="27">
        <v>2022</v>
      </c>
      <c r="H109" s="44">
        <v>100</v>
      </c>
      <c r="I109" s="23" t="s">
        <v>412</v>
      </c>
      <c r="J109" s="27">
        <v>2022</v>
      </c>
      <c r="K109" s="74">
        <v>100</v>
      </c>
      <c r="L109" s="23" t="s">
        <v>413</v>
      </c>
      <c r="M109" s="27">
        <v>2022</v>
      </c>
      <c r="N109" s="21">
        <v>50</v>
      </c>
      <c r="O109" s="75" t="s">
        <v>414</v>
      </c>
      <c r="P109" s="27">
        <v>2022</v>
      </c>
      <c r="Q109" s="14">
        <v>50</v>
      </c>
      <c r="R109" s="76" t="s">
        <v>415</v>
      </c>
      <c r="S109" s="27">
        <v>2022</v>
      </c>
      <c r="T109" s="21">
        <v>0</v>
      </c>
      <c r="U109" s="76" t="s">
        <v>416</v>
      </c>
      <c r="V109" s="27">
        <v>2022</v>
      </c>
      <c r="W109" s="14">
        <v>100</v>
      </c>
      <c r="X109" s="77" t="s">
        <v>417</v>
      </c>
      <c r="Y109" s="27">
        <v>2022</v>
      </c>
      <c r="Z109" s="14">
        <v>100</v>
      </c>
      <c r="AA109" s="23" t="s">
        <v>418</v>
      </c>
      <c r="AB109" s="27">
        <v>2022</v>
      </c>
      <c r="AC109" s="21">
        <v>100</v>
      </c>
      <c r="AD109" s="23" t="s">
        <v>419</v>
      </c>
      <c r="AE109" s="27">
        <v>2022</v>
      </c>
      <c r="AF109" s="14">
        <v>50</v>
      </c>
      <c r="AG109" s="23" t="s">
        <v>420</v>
      </c>
      <c r="AH109" s="27">
        <v>2022</v>
      </c>
      <c r="AI109" s="21">
        <v>100</v>
      </c>
      <c r="AJ109" s="23" t="s">
        <v>421</v>
      </c>
      <c r="AK109" s="27">
        <v>2022</v>
      </c>
      <c r="AL109" s="21">
        <v>0</v>
      </c>
      <c r="AM109" s="23" t="s">
        <v>422</v>
      </c>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72.916666666666657</v>
      </c>
      <c r="C110" s="49"/>
      <c r="D110" s="27">
        <v>2023</v>
      </c>
      <c r="E110" s="14">
        <v>100</v>
      </c>
      <c r="F110" s="23" t="s">
        <v>411</v>
      </c>
      <c r="G110" s="27">
        <v>2023</v>
      </c>
      <c r="H110" s="44">
        <v>100</v>
      </c>
      <c r="I110" s="23" t="s">
        <v>412</v>
      </c>
      <c r="J110" s="27">
        <v>2023</v>
      </c>
      <c r="K110" s="74">
        <v>100</v>
      </c>
      <c r="L110" s="23" t="s">
        <v>413</v>
      </c>
      <c r="M110" s="27">
        <v>2023</v>
      </c>
      <c r="N110" s="21">
        <v>50</v>
      </c>
      <c r="O110" s="75" t="s">
        <v>414</v>
      </c>
      <c r="P110" s="27">
        <v>2023</v>
      </c>
      <c r="Q110" s="14">
        <v>50</v>
      </c>
      <c r="R110" s="76" t="s">
        <v>415</v>
      </c>
      <c r="S110" s="27">
        <v>2023</v>
      </c>
      <c r="T110" s="21">
        <v>0</v>
      </c>
      <c r="U110" s="76" t="s">
        <v>416</v>
      </c>
      <c r="V110" s="27">
        <v>2023</v>
      </c>
      <c r="W110" s="14">
        <v>100</v>
      </c>
      <c r="X110" s="77" t="s">
        <v>417</v>
      </c>
      <c r="Y110" s="27">
        <v>2023</v>
      </c>
      <c r="Z110" s="14">
        <v>100</v>
      </c>
      <c r="AA110" s="23" t="s">
        <v>418</v>
      </c>
      <c r="AB110" s="27">
        <v>2023</v>
      </c>
      <c r="AC110" s="21">
        <v>100</v>
      </c>
      <c r="AD110" s="23" t="s">
        <v>419</v>
      </c>
      <c r="AE110" s="27">
        <v>2023</v>
      </c>
      <c r="AF110" s="14">
        <v>50</v>
      </c>
      <c r="AG110" s="23" t="s">
        <v>420</v>
      </c>
      <c r="AH110" s="27">
        <v>2023</v>
      </c>
      <c r="AI110" s="21">
        <v>100</v>
      </c>
      <c r="AJ110" s="23" t="s">
        <v>421</v>
      </c>
      <c r="AK110" s="27">
        <v>2023</v>
      </c>
      <c r="AL110" s="21">
        <v>0</v>
      </c>
      <c r="AM110" s="23" t="s">
        <v>422</v>
      </c>
    </row>
    <row r="111" spans="1:51" ht="22.5" customHeight="1">
      <c r="A111" s="27">
        <v>2024</v>
      </c>
      <c r="B111" s="42">
        <f>AVERAGE((E111+K111+Q111)/3+(H111+N111+T111)/3+W111+Z111+AC111+AF111+AI111+AL111)/8</f>
        <v>72.916666666666657</v>
      </c>
      <c r="C111" s="49"/>
      <c r="D111" s="27">
        <v>2024</v>
      </c>
      <c r="E111" s="14">
        <v>100</v>
      </c>
      <c r="F111" s="23" t="s">
        <v>411</v>
      </c>
      <c r="G111" s="27">
        <v>2024</v>
      </c>
      <c r="H111" s="44">
        <v>100</v>
      </c>
      <c r="I111" s="23" t="s">
        <v>412</v>
      </c>
      <c r="J111" s="27">
        <v>2024</v>
      </c>
      <c r="K111" s="74">
        <v>100</v>
      </c>
      <c r="L111" s="23" t="s">
        <v>413</v>
      </c>
      <c r="M111" s="27">
        <v>2024</v>
      </c>
      <c r="N111" s="21">
        <v>50</v>
      </c>
      <c r="O111" s="75" t="s">
        <v>414</v>
      </c>
      <c r="P111" s="27">
        <v>2024</v>
      </c>
      <c r="Q111" s="14">
        <v>50</v>
      </c>
      <c r="R111" s="76" t="s">
        <v>415</v>
      </c>
      <c r="S111" s="27">
        <v>2024</v>
      </c>
      <c r="T111" s="21">
        <v>0</v>
      </c>
      <c r="U111" s="76" t="s">
        <v>416</v>
      </c>
      <c r="V111" s="27">
        <v>2024</v>
      </c>
      <c r="W111" s="14">
        <v>100</v>
      </c>
      <c r="X111" s="77" t="s">
        <v>417</v>
      </c>
      <c r="Y111" s="27">
        <v>2024</v>
      </c>
      <c r="Z111" s="14">
        <v>100</v>
      </c>
      <c r="AA111" s="23" t="s">
        <v>418</v>
      </c>
      <c r="AB111" s="27">
        <v>2024</v>
      </c>
      <c r="AC111" s="21">
        <v>100</v>
      </c>
      <c r="AD111" s="23" t="s">
        <v>419</v>
      </c>
      <c r="AE111" s="27">
        <v>2024</v>
      </c>
      <c r="AF111" s="14">
        <v>50</v>
      </c>
      <c r="AG111" s="23" t="s">
        <v>420</v>
      </c>
      <c r="AH111" s="27">
        <v>2024</v>
      </c>
      <c r="AI111" s="21">
        <v>100</v>
      </c>
      <c r="AJ111" s="23" t="s">
        <v>421</v>
      </c>
      <c r="AK111" s="27">
        <v>2024</v>
      </c>
      <c r="AL111" s="21">
        <v>0</v>
      </c>
      <c r="AM111" s="23" t="s">
        <v>422</v>
      </c>
    </row>
    <row r="112" spans="1:51" ht="15" customHeight="1">
      <c r="O112" s="78"/>
    </row>
    <row r="113" spans="6:20" ht="15" customHeight="1">
      <c r="F113" s="79"/>
      <c r="R113" s="78"/>
      <c r="T113" s="78" t="s">
        <v>423</v>
      </c>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691A0-CA4F-4B80-9070-67D931727756}">
  <dimension ref="A1:CC102"/>
  <sheetViews>
    <sheetView topLeftCell="AD92" zoomScale="103" zoomScaleNormal="119" workbookViewId="0">
      <selection activeCell="O101" sqref="O101"/>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3" customHeight="1">
      <c r="A1" s="323" t="s">
        <v>0</v>
      </c>
      <c r="B1" s="323"/>
      <c r="C1" s="323"/>
      <c r="D1" s="323"/>
    </row>
    <row r="2" spans="1:81" ht="66.650000000000006" customHeight="1">
      <c r="A2" s="2" t="s">
        <v>1</v>
      </c>
      <c r="B2" s="2" t="s">
        <v>2</v>
      </c>
      <c r="C2" s="2" t="s">
        <v>3</v>
      </c>
      <c r="D2" s="2" t="s">
        <v>4</v>
      </c>
    </row>
    <row r="3" spans="1:81" ht="15" customHeight="1">
      <c r="A3" s="3">
        <v>2020</v>
      </c>
      <c r="B3" s="4">
        <f>AVERAGE(B15,B27,B39,B51,B63,B75,B87,B99)</f>
        <v>39.330605158730158</v>
      </c>
      <c r="C3" s="4">
        <f>AVERAGE(B15,B27,B39,B51,B63,B75,B87)</f>
        <v>40.794501133786852</v>
      </c>
      <c r="D3" s="4">
        <f>AVERAGE(B15,B27,B51,B63,B75,B87)</f>
        <v>44.030092592592588</v>
      </c>
    </row>
    <row r="4" spans="1:81" ht="15" customHeight="1">
      <c r="A4" s="3">
        <v>2021</v>
      </c>
      <c r="B4" s="4">
        <f>AVERAGE(B16,B28,B40,B52,B64,B76,B88,B100)</f>
        <v>39.330605158730158</v>
      </c>
      <c r="C4" s="4">
        <f>AVERAGE(B16,B28,B40,B52,B64,B76,B88)</f>
        <v>40.794501133786852</v>
      </c>
      <c r="D4" s="4">
        <f>AVERAGE(B16,B28,B52,B64,B76,B88)</f>
        <v>44.030092592592588</v>
      </c>
    </row>
    <row r="5" spans="1:81" ht="15" customHeight="1">
      <c r="A5" s="3">
        <v>2022</v>
      </c>
      <c r="B5" s="4">
        <f>AVERAGE(B17,B29,B41,B53,B65,B77,B89,B101)</f>
        <v>39.330605158730158</v>
      </c>
      <c r="C5" s="4">
        <f>AVERAGE(B17,B29,B41,B53,B65,B77,B89)</f>
        <v>40.794501133786852</v>
      </c>
      <c r="D5" s="4">
        <f>AVERAGE(B17,B29,B53,B65,B77,B89)</f>
        <v>44.030092592592588</v>
      </c>
    </row>
    <row r="6" spans="1:81" ht="15" customHeight="1">
      <c r="A6" s="3">
        <v>2023</v>
      </c>
      <c r="B6" s="4">
        <f>AVERAGE(B18,B30,B42,B54,B66,B78,B90,B102)</f>
        <v>39.330605158730158</v>
      </c>
      <c r="C6" s="4">
        <f>AVERAGE(B18,B30,B42,B54,B66,B78,B90)</f>
        <v>40.794501133786852</v>
      </c>
      <c r="D6" s="4">
        <f>AVERAGE(B18,B30,B54,B66,B78,B90)</f>
        <v>44.030092592592588</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8" si="0">AVERAGE(E15, H15,K15,N15,Q15,T15,W15,Z15,AC15)</f>
        <v>48.111111111111114</v>
      </c>
      <c r="C15" s="16"/>
      <c r="D15" s="7">
        <v>2020</v>
      </c>
      <c r="E15" s="14">
        <v>50</v>
      </c>
      <c r="F15" s="17"/>
      <c r="G15" s="7">
        <v>2020</v>
      </c>
      <c r="H15" s="14">
        <v>50</v>
      </c>
      <c r="I15" s="17"/>
      <c r="J15" s="7">
        <v>2020</v>
      </c>
      <c r="K15" s="14">
        <v>50</v>
      </c>
      <c r="L15" s="17"/>
      <c r="M15" s="7">
        <v>2020</v>
      </c>
      <c r="N15" s="14">
        <v>50</v>
      </c>
      <c r="O15" s="17"/>
      <c r="P15" s="7">
        <v>2020</v>
      </c>
      <c r="Q15" s="14">
        <v>33</v>
      </c>
      <c r="R15" s="17"/>
      <c r="S15" s="7">
        <v>2020</v>
      </c>
      <c r="T15" s="80">
        <v>100</v>
      </c>
      <c r="U15" s="17"/>
      <c r="V15" s="7">
        <v>2020</v>
      </c>
      <c r="W15" s="14">
        <v>0</v>
      </c>
      <c r="X15" s="17"/>
      <c r="Y15" s="7">
        <v>2020</v>
      </c>
      <c r="Z15" s="14">
        <v>0</v>
      </c>
      <c r="AA15" s="17"/>
      <c r="AB15" s="7">
        <v>2020</v>
      </c>
      <c r="AC15" s="21">
        <v>100</v>
      </c>
      <c r="AD15" s="23"/>
    </row>
    <row r="16" spans="1:81" ht="24.75" customHeight="1">
      <c r="A16" s="7">
        <v>2021</v>
      </c>
      <c r="B16" s="15">
        <f t="shared" si="0"/>
        <v>48.111111111111114</v>
      </c>
      <c r="C16" s="16"/>
      <c r="D16" s="7">
        <v>2021</v>
      </c>
      <c r="E16" s="14">
        <v>50</v>
      </c>
      <c r="F16" s="17" t="s">
        <v>424</v>
      </c>
      <c r="G16" s="7">
        <v>2021</v>
      </c>
      <c r="H16" s="14">
        <v>50</v>
      </c>
      <c r="I16" s="17"/>
      <c r="J16" s="7">
        <v>2021</v>
      </c>
      <c r="K16" s="14">
        <v>50</v>
      </c>
      <c r="L16" s="17"/>
      <c r="M16" s="7">
        <v>2021</v>
      </c>
      <c r="N16" s="14">
        <v>50</v>
      </c>
      <c r="O16" s="17"/>
      <c r="P16" s="7">
        <v>2021</v>
      </c>
      <c r="Q16" s="14">
        <v>33</v>
      </c>
      <c r="R16" s="17"/>
      <c r="S16" s="7">
        <v>2021</v>
      </c>
      <c r="T16" s="80">
        <v>100</v>
      </c>
      <c r="U16" s="17"/>
      <c r="V16" s="7">
        <v>2021</v>
      </c>
      <c r="W16" s="14">
        <v>0</v>
      </c>
      <c r="X16" s="17"/>
      <c r="Y16" s="7">
        <v>2021</v>
      </c>
      <c r="Z16" s="14">
        <v>0</v>
      </c>
      <c r="AA16" s="17"/>
      <c r="AB16" s="7">
        <v>2021</v>
      </c>
      <c r="AC16" s="21">
        <v>100</v>
      </c>
      <c r="AD16" s="23" t="s">
        <v>425</v>
      </c>
    </row>
    <row r="17" spans="1:51" ht="24.75" customHeight="1">
      <c r="A17" s="7">
        <v>2022</v>
      </c>
      <c r="B17" s="15">
        <f t="shared" si="0"/>
        <v>48.111111111111114</v>
      </c>
      <c r="C17" s="16"/>
      <c r="D17" s="7">
        <v>2022</v>
      </c>
      <c r="E17" s="14">
        <v>50</v>
      </c>
      <c r="F17" s="17"/>
      <c r="G17" s="7">
        <v>2022</v>
      </c>
      <c r="H17" s="14">
        <v>50</v>
      </c>
      <c r="I17" s="17"/>
      <c r="J17" s="7">
        <v>2022</v>
      </c>
      <c r="K17" s="14">
        <v>50</v>
      </c>
      <c r="L17" s="17"/>
      <c r="M17" s="7">
        <v>2022</v>
      </c>
      <c r="N17" s="14">
        <v>50</v>
      </c>
      <c r="O17" s="17"/>
      <c r="P17" s="7">
        <v>2022</v>
      </c>
      <c r="Q17" s="14">
        <v>33</v>
      </c>
      <c r="R17" s="17"/>
      <c r="S17" s="7">
        <v>2022</v>
      </c>
      <c r="T17" s="80">
        <v>100</v>
      </c>
      <c r="U17" s="17"/>
      <c r="V17" s="7">
        <v>2022</v>
      </c>
      <c r="W17" s="14">
        <v>0</v>
      </c>
      <c r="X17" s="17"/>
      <c r="Y17" s="7">
        <v>2022</v>
      </c>
      <c r="Z17" s="14">
        <v>0</v>
      </c>
      <c r="AA17" s="17"/>
      <c r="AB17" s="7">
        <v>2022</v>
      </c>
      <c r="AC17" s="21">
        <v>100</v>
      </c>
      <c r="AD17" s="23"/>
    </row>
    <row r="18" spans="1:51" ht="24.75" customHeight="1">
      <c r="A18" s="7">
        <v>2023</v>
      </c>
      <c r="B18" s="15">
        <f t="shared" si="0"/>
        <v>48.111111111111114</v>
      </c>
      <c r="C18" s="16"/>
      <c r="D18" s="7">
        <v>2023</v>
      </c>
      <c r="E18" s="14">
        <v>50</v>
      </c>
      <c r="F18" s="17"/>
      <c r="G18" s="7">
        <v>2023</v>
      </c>
      <c r="H18" s="14">
        <v>50</v>
      </c>
      <c r="I18" s="17"/>
      <c r="J18" s="7">
        <v>2023</v>
      </c>
      <c r="K18" s="14">
        <v>50</v>
      </c>
      <c r="L18" s="17"/>
      <c r="M18" s="7">
        <v>2023</v>
      </c>
      <c r="N18" s="14">
        <v>50</v>
      </c>
      <c r="O18" s="17"/>
      <c r="P18" s="7">
        <v>2023</v>
      </c>
      <c r="Q18" s="14">
        <v>33</v>
      </c>
      <c r="R18" s="17"/>
      <c r="S18" s="7">
        <v>2023</v>
      </c>
      <c r="T18" s="80">
        <v>100</v>
      </c>
      <c r="U18" s="17"/>
      <c r="V18" s="7">
        <v>2023</v>
      </c>
      <c r="W18" s="14">
        <v>0</v>
      </c>
      <c r="X18" s="81" t="s">
        <v>426</v>
      </c>
      <c r="Y18" s="7">
        <v>2023</v>
      </c>
      <c r="Z18" s="14">
        <v>0</v>
      </c>
      <c r="AA18" s="17"/>
      <c r="AB18" s="7">
        <v>2023</v>
      </c>
      <c r="AC18" s="21">
        <v>100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t="s">
        <v>427</v>
      </c>
      <c r="L24" s="325"/>
      <c r="M24" s="27" t="s">
        <v>30</v>
      </c>
      <c r="N24" s="325" t="s">
        <v>96</v>
      </c>
      <c r="O24" s="325"/>
      <c r="P24" s="27" t="s">
        <v>30</v>
      </c>
      <c r="Q24" s="325" t="s">
        <v>97</v>
      </c>
      <c r="R24" s="325"/>
      <c r="S24" s="27" t="s">
        <v>30</v>
      </c>
      <c r="T24" s="325" t="s">
        <v>428</v>
      </c>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329" t="s">
        <v>429</v>
      </c>
      <c r="L25" s="325"/>
      <c r="M25" s="27" t="s">
        <v>41</v>
      </c>
      <c r="N25" s="325" t="s">
        <v>109</v>
      </c>
      <c r="O25" s="325"/>
      <c r="P25" s="27" t="s">
        <v>41</v>
      </c>
      <c r="Q25" s="325" t="s">
        <v>110</v>
      </c>
      <c r="R25" s="325"/>
      <c r="S25" s="27" t="s">
        <v>41</v>
      </c>
      <c r="T25" s="329" t="s">
        <v>429</v>
      </c>
      <c r="U25" s="325"/>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37.944444444444443</v>
      </c>
      <c r="C27" s="16"/>
      <c r="D27" s="7">
        <v>2020</v>
      </c>
      <c r="E27" s="21">
        <v>50</v>
      </c>
      <c r="F27" s="17"/>
      <c r="G27" s="7">
        <v>2020</v>
      </c>
      <c r="H27" s="14">
        <v>25</v>
      </c>
      <c r="I27" s="17"/>
      <c r="J27" s="7">
        <v>2020</v>
      </c>
      <c r="K27" s="14">
        <v>100</v>
      </c>
      <c r="L27" s="17"/>
      <c r="M27" s="7">
        <v>2020</v>
      </c>
      <c r="N27" s="14">
        <v>100</v>
      </c>
      <c r="O27" s="17"/>
      <c r="P27" s="7">
        <v>2020</v>
      </c>
      <c r="Q27" s="14">
        <v>100</v>
      </c>
      <c r="R27" s="17"/>
      <c r="S27" s="7">
        <v>2020</v>
      </c>
      <c r="T27" s="14">
        <v>100</v>
      </c>
      <c r="U27" s="17"/>
      <c r="V27" s="7">
        <v>2020</v>
      </c>
      <c r="W27" s="14">
        <v>100</v>
      </c>
      <c r="X27" s="17"/>
      <c r="Y27" s="7">
        <v>2020</v>
      </c>
      <c r="Z27" s="14">
        <v>100</v>
      </c>
      <c r="AA27" s="17"/>
      <c r="AB27" s="7">
        <v>2020</v>
      </c>
      <c r="AC27" s="14">
        <v>100</v>
      </c>
      <c r="AD27" s="17"/>
      <c r="AE27" s="7">
        <v>2020</v>
      </c>
      <c r="AF27" s="31">
        <f t="shared" ref="AF27:AF30" si="1">0.67*AI27+0.33*AL27</f>
        <v>16.5</v>
      </c>
      <c r="AG27" s="17"/>
      <c r="AH27" s="7">
        <v>2020</v>
      </c>
      <c r="AI27" s="14">
        <v>0</v>
      </c>
      <c r="AJ27" s="17" t="s">
        <v>430</v>
      </c>
      <c r="AK27" s="7">
        <v>2020</v>
      </c>
      <c r="AL27" s="14">
        <v>50</v>
      </c>
      <c r="AM27" s="17"/>
      <c r="AN27" s="7">
        <v>2020</v>
      </c>
      <c r="AO27" s="14">
        <v>50</v>
      </c>
      <c r="AP27" s="17"/>
      <c r="AQ27" s="7">
        <v>2020</v>
      </c>
      <c r="AR27" s="14">
        <v>0</v>
      </c>
      <c r="AS27" s="17"/>
      <c r="AT27" s="7">
        <v>2020</v>
      </c>
      <c r="AU27" s="14">
        <v>0</v>
      </c>
      <c r="AV27" s="17"/>
      <c r="AW27" s="7">
        <v>2020</v>
      </c>
      <c r="AX27" s="14">
        <v>0</v>
      </c>
      <c r="AY27" s="23"/>
    </row>
    <row r="28" spans="1:51" ht="24.75" customHeight="1">
      <c r="A28" s="7">
        <v>2021</v>
      </c>
      <c r="B28" s="15">
        <f>AVERAGE(E28,H28,K28,T28,AF28,AO28,AU28,AX28,AR28)</f>
        <v>37.944444444444443</v>
      </c>
      <c r="C28" s="15"/>
      <c r="D28" s="7">
        <v>2021</v>
      </c>
      <c r="E28" s="21">
        <v>50</v>
      </c>
      <c r="F28" s="17"/>
      <c r="G28" s="7">
        <v>2021</v>
      </c>
      <c r="H28" s="14">
        <v>25</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si="1"/>
        <v>16.5</v>
      </c>
      <c r="AG28" s="17"/>
      <c r="AH28" s="7">
        <v>2021</v>
      </c>
      <c r="AI28" s="14">
        <v>0</v>
      </c>
      <c r="AJ28" s="17"/>
      <c r="AK28" s="7">
        <v>2021</v>
      </c>
      <c r="AL28" s="14">
        <v>50</v>
      </c>
      <c r="AM28" s="17"/>
      <c r="AN28" s="7">
        <v>2021</v>
      </c>
      <c r="AO28" s="14">
        <v>50</v>
      </c>
      <c r="AP28" s="17"/>
      <c r="AQ28" s="7">
        <v>2021</v>
      </c>
      <c r="AR28" s="14">
        <v>0</v>
      </c>
      <c r="AS28" s="17"/>
      <c r="AT28" s="7">
        <v>2021</v>
      </c>
      <c r="AU28" s="14">
        <v>0</v>
      </c>
      <c r="AV28" s="17"/>
      <c r="AW28" s="7">
        <v>2021</v>
      </c>
      <c r="AX28" s="14">
        <v>0</v>
      </c>
      <c r="AY28" s="23"/>
    </row>
    <row r="29" spans="1:51" ht="24.75" customHeight="1">
      <c r="A29" s="7">
        <v>2022</v>
      </c>
      <c r="B29" s="15">
        <f>AVERAGE(E29,H29,K29,T29,AF29,AO29,AU29,AX29,AR29)</f>
        <v>37.944444444444443</v>
      </c>
      <c r="C29" s="15"/>
      <c r="D29" s="7">
        <v>2022</v>
      </c>
      <c r="E29" s="21">
        <v>50</v>
      </c>
      <c r="F29" s="17"/>
      <c r="G29" s="7">
        <v>2022</v>
      </c>
      <c r="H29" s="14">
        <v>25</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 t="shared" si="1"/>
        <v>16.5</v>
      </c>
      <c r="AG29" s="17"/>
      <c r="AH29" s="7">
        <v>2022</v>
      </c>
      <c r="AI29" s="14">
        <v>0</v>
      </c>
      <c r="AJ29" s="17"/>
      <c r="AK29" s="7">
        <v>2022</v>
      </c>
      <c r="AL29" s="14">
        <v>50</v>
      </c>
      <c r="AM29" s="17"/>
      <c r="AN29" s="7">
        <v>2022</v>
      </c>
      <c r="AO29" s="14">
        <v>50</v>
      </c>
      <c r="AP29" s="17"/>
      <c r="AQ29" s="7">
        <v>2022</v>
      </c>
      <c r="AR29" s="14">
        <v>0</v>
      </c>
      <c r="AS29" s="17"/>
      <c r="AT29" s="7">
        <v>2022</v>
      </c>
      <c r="AU29" s="14">
        <v>0</v>
      </c>
      <c r="AV29" s="17"/>
      <c r="AW29" s="7">
        <v>2022</v>
      </c>
      <c r="AX29" s="14">
        <v>0</v>
      </c>
      <c r="AY29" s="23"/>
    </row>
    <row r="30" spans="1:51" ht="24.75" customHeight="1">
      <c r="A30" s="7">
        <v>2023</v>
      </c>
      <c r="B30" s="15">
        <f>AVERAGE(E30,H30,K30,T30,AF30,AO30,AU30,AX30,AR30)</f>
        <v>37.944444444444443</v>
      </c>
      <c r="C30" s="15"/>
      <c r="D30" s="7">
        <v>2023</v>
      </c>
      <c r="E30" s="21">
        <v>50</v>
      </c>
      <c r="F30" s="17"/>
      <c r="G30" s="7">
        <v>2023</v>
      </c>
      <c r="H30" s="14">
        <v>25</v>
      </c>
      <c r="I30" s="17"/>
      <c r="J30" s="7">
        <v>2023</v>
      </c>
      <c r="K30" s="14">
        <v>100</v>
      </c>
      <c r="L30" s="17"/>
      <c r="M30" s="7">
        <v>2023</v>
      </c>
      <c r="N30" s="14">
        <v>100</v>
      </c>
      <c r="O30" s="17"/>
      <c r="P30" s="7">
        <v>2023</v>
      </c>
      <c r="Q30" s="14">
        <v>100</v>
      </c>
      <c r="R30" s="17"/>
      <c r="S30" s="7">
        <v>2023</v>
      </c>
      <c r="T30" s="14">
        <v>100</v>
      </c>
      <c r="U30" s="17"/>
      <c r="V30" s="7">
        <v>2023</v>
      </c>
      <c r="W30" s="14">
        <v>100</v>
      </c>
      <c r="X30" s="17"/>
      <c r="Y30" s="7">
        <v>2023</v>
      </c>
      <c r="Z30" s="14">
        <v>100</v>
      </c>
      <c r="AA30" s="17"/>
      <c r="AB30" s="7">
        <v>2023</v>
      </c>
      <c r="AC30" s="14">
        <v>100</v>
      </c>
      <c r="AD30" s="17"/>
      <c r="AE30" s="7">
        <v>2023</v>
      </c>
      <c r="AF30" s="31">
        <f t="shared" si="1"/>
        <v>16.5</v>
      </c>
      <c r="AG30" s="17"/>
      <c r="AH30" s="7">
        <v>2023</v>
      </c>
      <c r="AI30" s="14">
        <v>0</v>
      </c>
      <c r="AJ30" s="17"/>
      <c r="AK30" s="7">
        <v>2023</v>
      </c>
      <c r="AL30" s="14">
        <v>50</v>
      </c>
      <c r="AM30" s="17" t="s">
        <v>431</v>
      </c>
      <c r="AN30" s="7">
        <v>2023</v>
      </c>
      <c r="AO30" s="14">
        <v>50</v>
      </c>
      <c r="AP30" s="17"/>
      <c r="AQ30" s="7">
        <v>2023</v>
      </c>
      <c r="AR30" s="14">
        <v>0</v>
      </c>
      <c r="AS30" s="17"/>
      <c r="AT30" s="7">
        <v>2023</v>
      </c>
      <c r="AU30" s="14">
        <v>0</v>
      </c>
      <c r="AV30" s="17"/>
      <c r="AW30" s="7">
        <v>2023</v>
      </c>
      <c r="AX30" s="14">
        <v>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t="s">
        <v>432</v>
      </c>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308" t="s">
        <v>433</v>
      </c>
      <c r="AG37" s="310"/>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21.380952380952383</v>
      </c>
      <c r="C39" s="16"/>
      <c r="D39" s="7">
        <v>2020</v>
      </c>
      <c r="E39" s="14">
        <v>33</v>
      </c>
      <c r="F39" s="23" t="s">
        <v>434</v>
      </c>
      <c r="G39" s="7">
        <v>2020</v>
      </c>
      <c r="H39" s="14">
        <v>0</v>
      </c>
      <c r="I39" s="17"/>
      <c r="J39" s="7">
        <v>2020</v>
      </c>
      <c r="K39" s="14">
        <v>0</v>
      </c>
      <c r="L39" s="17"/>
      <c r="M39" s="7">
        <v>2020</v>
      </c>
      <c r="N39" s="31">
        <f t="shared" ref="N39:N42" si="2">AVERAGE(Q39,T39,W39)</f>
        <v>66.666666666666671</v>
      </c>
      <c r="O39" s="14"/>
      <c r="P39" s="7">
        <v>2020</v>
      </c>
      <c r="Q39" s="14">
        <v>100</v>
      </c>
      <c r="R39" s="17"/>
      <c r="S39" s="7">
        <v>2020</v>
      </c>
      <c r="T39" s="14">
        <v>50</v>
      </c>
      <c r="U39" s="17"/>
      <c r="V39" s="7">
        <v>2020</v>
      </c>
      <c r="W39" s="14">
        <v>50</v>
      </c>
      <c r="X39" s="17"/>
      <c r="Y39" s="7">
        <v>2020</v>
      </c>
      <c r="Z39" s="14">
        <v>0</v>
      </c>
      <c r="AA39" s="17"/>
      <c r="AB39" s="7">
        <v>2020</v>
      </c>
      <c r="AC39" s="14">
        <v>50</v>
      </c>
      <c r="AD39" s="17"/>
      <c r="AE39" s="7">
        <v>2020</v>
      </c>
      <c r="AF39" s="14">
        <v>0</v>
      </c>
      <c r="AG39" s="14"/>
      <c r="AH39" s="7">
        <v>2020</v>
      </c>
      <c r="AI39" s="21">
        <v>0</v>
      </c>
      <c r="AJ39" s="17"/>
      <c r="AK39" s="7">
        <v>2020</v>
      </c>
      <c r="AL39" s="14">
        <v>0</v>
      </c>
      <c r="AM39" s="23"/>
    </row>
    <row r="40" spans="1:39" ht="24.75" customHeight="1">
      <c r="A40" s="7">
        <v>2021</v>
      </c>
      <c r="B40" s="16">
        <f>AVERAGE(E40,H40,K40,N40,Z40,AC40,AF40)</f>
        <v>21.380952380952383</v>
      </c>
      <c r="C40" s="16"/>
      <c r="D40" s="7">
        <v>2021</v>
      </c>
      <c r="E40" s="14">
        <v>33</v>
      </c>
      <c r="F40" s="17"/>
      <c r="G40" s="7">
        <v>2021</v>
      </c>
      <c r="H40" s="14">
        <v>0</v>
      </c>
      <c r="I40" s="17"/>
      <c r="J40" s="7">
        <v>2021</v>
      </c>
      <c r="K40" s="14">
        <v>0</v>
      </c>
      <c r="L40" s="17"/>
      <c r="M40" s="7">
        <v>2021</v>
      </c>
      <c r="N40" s="31">
        <f t="shared" si="2"/>
        <v>66.666666666666671</v>
      </c>
      <c r="O40" s="14"/>
      <c r="P40" s="7">
        <v>2021</v>
      </c>
      <c r="Q40" s="14">
        <v>100</v>
      </c>
      <c r="R40" s="17"/>
      <c r="S40" s="7">
        <v>2021</v>
      </c>
      <c r="T40" s="14">
        <v>50</v>
      </c>
      <c r="U40" s="17"/>
      <c r="V40" s="7">
        <v>2021</v>
      </c>
      <c r="W40" s="14">
        <v>50</v>
      </c>
      <c r="X40" s="17"/>
      <c r="Y40" s="7">
        <v>2021</v>
      </c>
      <c r="Z40" s="14">
        <v>0</v>
      </c>
      <c r="AA40" s="17"/>
      <c r="AB40" s="7">
        <v>2021</v>
      </c>
      <c r="AC40" s="14">
        <v>50</v>
      </c>
      <c r="AD40" s="17"/>
      <c r="AE40" s="7">
        <v>2021</v>
      </c>
      <c r="AF40" s="14">
        <v>0</v>
      </c>
      <c r="AG40" s="14"/>
      <c r="AH40" s="7">
        <v>2021</v>
      </c>
      <c r="AI40" s="21">
        <v>0</v>
      </c>
      <c r="AJ40" s="17"/>
      <c r="AK40" s="7">
        <v>2021</v>
      </c>
      <c r="AL40" s="14">
        <v>0</v>
      </c>
      <c r="AM40" s="23"/>
    </row>
    <row r="41" spans="1:39" ht="24.75" customHeight="1">
      <c r="A41" s="7">
        <v>2022</v>
      </c>
      <c r="B41" s="16">
        <f>AVERAGE(E41,H41,K41,N41,Z41,AC41,AF41)</f>
        <v>21.380952380952383</v>
      </c>
      <c r="C41" s="16"/>
      <c r="D41" s="7">
        <v>2022</v>
      </c>
      <c r="E41" s="14">
        <v>33</v>
      </c>
      <c r="F41" s="17"/>
      <c r="G41" s="7">
        <v>2022</v>
      </c>
      <c r="H41" s="14">
        <v>0</v>
      </c>
      <c r="I41" s="17"/>
      <c r="J41" s="7">
        <v>2022</v>
      </c>
      <c r="K41" s="14">
        <v>0</v>
      </c>
      <c r="L41" s="17" t="s">
        <v>435</v>
      </c>
      <c r="M41" s="7">
        <v>2022</v>
      </c>
      <c r="N41" s="31">
        <f t="shared" si="2"/>
        <v>66.666666666666671</v>
      </c>
      <c r="O41" s="14"/>
      <c r="P41" s="7">
        <v>2022</v>
      </c>
      <c r="Q41" s="14">
        <v>100</v>
      </c>
      <c r="R41" s="17"/>
      <c r="S41" s="7">
        <v>2022</v>
      </c>
      <c r="T41" s="14">
        <v>50</v>
      </c>
      <c r="U41" s="17"/>
      <c r="V41" s="7">
        <v>2022</v>
      </c>
      <c r="W41" s="14">
        <v>50</v>
      </c>
      <c r="X41" s="17"/>
      <c r="Y41" s="7">
        <v>2022</v>
      </c>
      <c r="Z41" s="14">
        <v>0</v>
      </c>
      <c r="AA41" s="17"/>
      <c r="AB41" s="7">
        <v>2022</v>
      </c>
      <c r="AC41" s="14">
        <v>50</v>
      </c>
      <c r="AD41" s="17"/>
      <c r="AE41" s="7">
        <v>2022</v>
      </c>
      <c r="AF41" s="14">
        <v>0</v>
      </c>
      <c r="AG41" s="14"/>
      <c r="AH41" s="7">
        <v>2022</v>
      </c>
      <c r="AI41" s="21">
        <v>0</v>
      </c>
      <c r="AJ41" s="17"/>
      <c r="AK41" s="7">
        <v>2022</v>
      </c>
      <c r="AL41" s="14">
        <v>0</v>
      </c>
      <c r="AM41" s="23"/>
    </row>
    <row r="42" spans="1:39" ht="24.75" customHeight="1">
      <c r="A42" s="7">
        <v>2023</v>
      </c>
      <c r="B42" s="16">
        <f>AVERAGE(E42,H42,K42,N42,Z42,AC42,AF42)</f>
        <v>21.380952380952383</v>
      </c>
      <c r="C42" s="16"/>
      <c r="D42" s="7">
        <v>2023</v>
      </c>
      <c r="E42" s="14">
        <v>33</v>
      </c>
      <c r="F42" s="17"/>
      <c r="G42" s="7">
        <v>2023</v>
      </c>
      <c r="H42" s="14">
        <v>0</v>
      </c>
      <c r="I42" s="17"/>
      <c r="J42" s="7">
        <v>2023</v>
      </c>
      <c r="K42" s="14">
        <v>0</v>
      </c>
      <c r="L42" s="17"/>
      <c r="M42" s="7">
        <v>2023</v>
      </c>
      <c r="N42" s="31">
        <f t="shared" si="2"/>
        <v>66.666666666666671</v>
      </c>
      <c r="O42" s="14"/>
      <c r="P42" s="7">
        <v>2023</v>
      </c>
      <c r="Q42" s="14">
        <v>100</v>
      </c>
      <c r="R42" s="17"/>
      <c r="S42" s="7">
        <v>2023</v>
      </c>
      <c r="T42" s="14">
        <v>50</v>
      </c>
      <c r="U42" s="17"/>
      <c r="V42" s="7">
        <v>2023</v>
      </c>
      <c r="W42" s="14">
        <v>50</v>
      </c>
      <c r="X42" s="17"/>
      <c r="Y42" s="7">
        <v>2023</v>
      </c>
      <c r="Z42" s="14">
        <v>0</v>
      </c>
      <c r="AA42" s="17"/>
      <c r="AB42" s="7">
        <v>2023</v>
      </c>
      <c r="AC42" s="14">
        <v>50</v>
      </c>
      <c r="AD42" s="17"/>
      <c r="AE42" s="7">
        <v>2023</v>
      </c>
      <c r="AF42" s="14">
        <v>0</v>
      </c>
      <c r="AG42" s="14"/>
      <c r="AH42" s="7">
        <v>2023</v>
      </c>
      <c r="AI42" s="21">
        <v>0</v>
      </c>
      <c r="AJ42" s="17"/>
      <c r="AK42" s="7">
        <v>2023</v>
      </c>
      <c r="AL42" s="14">
        <v>0</v>
      </c>
      <c r="AM42" s="23"/>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 t="shared" ref="B51:B54" si="3">AVERAGE(E51,H51,K51,N51,Q51)</f>
        <v>0</v>
      </c>
      <c r="C51" s="16"/>
      <c r="D51" s="7">
        <v>2020</v>
      </c>
      <c r="E51" s="14">
        <v>0</v>
      </c>
      <c r="F51" s="17"/>
      <c r="G51" s="7">
        <v>2020</v>
      </c>
      <c r="H51" s="14">
        <v>0</v>
      </c>
      <c r="I51" s="17"/>
      <c r="J51" s="7">
        <v>2020</v>
      </c>
      <c r="K51" s="82">
        <v>0</v>
      </c>
      <c r="L51" s="83"/>
      <c r="M51" s="7">
        <v>2020</v>
      </c>
      <c r="N51" s="14">
        <v>0</v>
      </c>
      <c r="O51" s="17"/>
      <c r="P51" s="7">
        <v>2020</v>
      </c>
      <c r="Q51" s="14">
        <v>0</v>
      </c>
      <c r="R51" s="23"/>
    </row>
    <row r="52" spans="1:24" ht="24.75" customHeight="1">
      <c r="A52" s="7">
        <v>2021</v>
      </c>
      <c r="B52" s="15">
        <f t="shared" si="3"/>
        <v>0</v>
      </c>
      <c r="C52" s="15"/>
      <c r="D52" s="7">
        <v>2021</v>
      </c>
      <c r="E52" s="14">
        <v>0</v>
      </c>
      <c r="F52" s="17"/>
      <c r="G52" s="7">
        <v>2021</v>
      </c>
      <c r="H52" s="14">
        <v>0</v>
      </c>
      <c r="I52" s="17"/>
      <c r="J52" s="7">
        <v>2021</v>
      </c>
      <c r="K52" s="82">
        <v>0</v>
      </c>
      <c r="L52" s="83"/>
      <c r="M52" s="7">
        <v>2021</v>
      </c>
      <c r="N52" s="14">
        <v>0</v>
      </c>
      <c r="O52" s="17"/>
      <c r="P52" s="7">
        <v>2021</v>
      </c>
      <c r="Q52" s="14">
        <v>0</v>
      </c>
      <c r="R52" s="23"/>
    </row>
    <row r="53" spans="1:24" ht="24.75" customHeight="1">
      <c r="A53" s="7">
        <v>2022</v>
      </c>
      <c r="B53" s="15">
        <f t="shared" si="3"/>
        <v>0</v>
      </c>
      <c r="C53" s="15"/>
      <c r="D53" s="7">
        <v>2022</v>
      </c>
      <c r="E53" s="14">
        <v>0</v>
      </c>
      <c r="F53" s="17"/>
      <c r="G53" s="7">
        <v>2022</v>
      </c>
      <c r="H53" s="14">
        <v>0</v>
      </c>
      <c r="I53" s="17"/>
      <c r="J53" s="7">
        <v>2022</v>
      </c>
      <c r="K53" s="84">
        <v>0</v>
      </c>
      <c r="L53" s="83"/>
      <c r="M53" s="7">
        <v>2022</v>
      </c>
      <c r="N53" s="14">
        <v>0</v>
      </c>
      <c r="O53" s="17"/>
      <c r="P53" s="7">
        <v>2022</v>
      </c>
      <c r="Q53" s="14">
        <v>0</v>
      </c>
      <c r="R53" s="23"/>
    </row>
    <row r="54" spans="1:24" ht="24.75" customHeight="1">
      <c r="A54" s="7">
        <v>2023</v>
      </c>
      <c r="B54" s="15">
        <f t="shared" si="3"/>
        <v>0</v>
      </c>
      <c r="C54" s="15"/>
      <c r="D54" s="7">
        <v>2023</v>
      </c>
      <c r="E54" s="14">
        <v>0</v>
      </c>
      <c r="F54" s="17"/>
      <c r="G54" s="7">
        <v>2023</v>
      </c>
      <c r="H54" s="14">
        <v>0</v>
      </c>
      <c r="I54" s="17"/>
      <c r="J54" s="7">
        <v>2023</v>
      </c>
      <c r="K54" s="82">
        <v>0</v>
      </c>
      <c r="L54" s="83"/>
      <c r="M54" s="7">
        <v>2023</v>
      </c>
      <c r="N54" s="14">
        <v>0</v>
      </c>
      <c r="O54" s="17"/>
      <c r="P54" s="7">
        <v>2023</v>
      </c>
      <c r="Q54" s="14">
        <v>0</v>
      </c>
      <c r="R54" s="2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 t="shared" ref="B63:B66" si="4">AVERAGE(E63,((H63+K63)/2),((N63+Q63+T63)/3),W63)</f>
        <v>68.75</v>
      </c>
      <c r="C63" s="16"/>
      <c r="D63" s="7">
        <v>2020</v>
      </c>
      <c r="E63" s="21">
        <v>50</v>
      </c>
      <c r="F63" s="23" t="s">
        <v>436</v>
      </c>
      <c r="G63" s="7">
        <v>2020</v>
      </c>
      <c r="H63" s="14">
        <v>100</v>
      </c>
      <c r="I63" s="81" t="s">
        <v>437</v>
      </c>
      <c r="J63" s="7">
        <v>2020</v>
      </c>
      <c r="K63" s="14">
        <v>50</v>
      </c>
      <c r="L63" s="17" t="s">
        <v>438</v>
      </c>
      <c r="M63" s="7">
        <v>2020</v>
      </c>
      <c r="N63" s="14">
        <v>100</v>
      </c>
      <c r="O63" s="23" t="s">
        <v>439</v>
      </c>
      <c r="P63" s="7">
        <v>2020</v>
      </c>
      <c r="Q63" s="14">
        <v>50</v>
      </c>
      <c r="R63" s="17" t="s">
        <v>440</v>
      </c>
      <c r="S63" s="7">
        <v>2020</v>
      </c>
      <c r="T63" s="14">
        <v>0</v>
      </c>
      <c r="U63" s="17" t="s">
        <v>441</v>
      </c>
      <c r="V63" s="7">
        <v>2020</v>
      </c>
      <c r="W63" s="14">
        <v>100</v>
      </c>
      <c r="X63" s="23" t="s">
        <v>442</v>
      </c>
    </row>
    <row r="64" spans="1:24" ht="24.75" customHeight="1">
      <c r="A64" s="7">
        <v>2021</v>
      </c>
      <c r="B64" s="15">
        <f t="shared" si="4"/>
        <v>68.75</v>
      </c>
      <c r="C64" s="15"/>
      <c r="D64" s="7">
        <v>2021</v>
      </c>
      <c r="E64" s="21">
        <v>50</v>
      </c>
      <c r="F64" s="17"/>
      <c r="G64" s="7">
        <v>2021</v>
      </c>
      <c r="H64" s="14">
        <v>100</v>
      </c>
      <c r="I64" s="17"/>
      <c r="J64" s="7">
        <v>2021</v>
      </c>
      <c r="K64" s="14">
        <v>50</v>
      </c>
      <c r="L64" s="17"/>
      <c r="M64" s="7">
        <v>2021</v>
      </c>
      <c r="N64" s="14">
        <v>100</v>
      </c>
      <c r="O64" s="17"/>
      <c r="P64" s="7">
        <v>2021</v>
      </c>
      <c r="Q64" s="14">
        <v>50</v>
      </c>
      <c r="R64" s="17"/>
      <c r="S64" s="7">
        <v>2021</v>
      </c>
      <c r="T64" s="14">
        <v>0</v>
      </c>
      <c r="U64" s="17"/>
      <c r="V64" s="7">
        <v>2021</v>
      </c>
      <c r="W64" s="14">
        <v>100</v>
      </c>
      <c r="X64" s="23"/>
    </row>
    <row r="65" spans="1:33" ht="24.75" customHeight="1">
      <c r="A65" s="7">
        <v>2022</v>
      </c>
      <c r="B65" s="15">
        <f t="shared" si="4"/>
        <v>68.75</v>
      </c>
      <c r="C65" s="15"/>
      <c r="D65" s="7">
        <v>2022</v>
      </c>
      <c r="E65" s="21">
        <v>50</v>
      </c>
      <c r="F65" s="17"/>
      <c r="G65" s="7">
        <v>2022</v>
      </c>
      <c r="H65" s="14">
        <v>100</v>
      </c>
      <c r="I65" s="17"/>
      <c r="J65" s="7">
        <v>2022</v>
      </c>
      <c r="K65" s="14">
        <v>50</v>
      </c>
      <c r="L65" s="17"/>
      <c r="M65" s="7">
        <v>2022</v>
      </c>
      <c r="N65" s="14">
        <v>100</v>
      </c>
      <c r="O65" s="17"/>
      <c r="P65" s="7">
        <v>2022</v>
      </c>
      <c r="Q65" s="14">
        <v>50</v>
      </c>
      <c r="R65" s="17"/>
      <c r="S65" s="7">
        <v>2022</v>
      </c>
      <c r="T65" s="14">
        <v>0</v>
      </c>
      <c r="U65" s="17"/>
      <c r="V65" s="7">
        <v>2022</v>
      </c>
      <c r="W65" s="14">
        <v>100</v>
      </c>
      <c r="X65" s="23"/>
    </row>
    <row r="66" spans="1:33" ht="24.75" customHeight="1">
      <c r="A66" s="7">
        <v>2023</v>
      </c>
      <c r="B66" s="15">
        <f t="shared" si="4"/>
        <v>68.75</v>
      </c>
      <c r="C66" s="15"/>
      <c r="D66" s="7">
        <v>2023</v>
      </c>
      <c r="E66" s="21">
        <v>50</v>
      </c>
      <c r="F66" s="17"/>
      <c r="G66" s="7">
        <v>2023</v>
      </c>
      <c r="H66" s="14">
        <v>100</v>
      </c>
      <c r="I66" s="17"/>
      <c r="J66" s="7">
        <v>2023</v>
      </c>
      <c r="K66" s="14">
        <v>50</v>
      </c>
      <c r="L66" s="17"/>
      <c r="M66" s="7">
        <v>2023</v>
      </c>
      <c r="N66" s="14">
        <v>100</v>
      </c>
      <c r="O66" s="17"/>
      <c r="P66" s="7">
        <v>2023</v>
      </c>
      <c r="Q66" s="14">
        <v>50</v>
      </c>
      <c r="R66" s="17"/>
      <c r="S66" s="7">
        <v>2023</v>
      </c>
      <c r="T66" s="14">
        <v>0</v>
      </c>
      <c r="U66" s="17"/>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5">AVERAGE(E75,H75,K75,Z75)</f>
        <v>9.375</v>
      </c>
      <c r="C75" s="15"/>
      <c r="D75" s="7">
        <v>2020</v>
      </c>
      <c r="E75" s="14">
        <v>0</v>
      </c>
      <c r="F75" s="23" t="s">
        <v>443</v>
      </c>
      <c r="G75" s="7">
        <v>2020</v>
      </c>
      <c r="H75" s="14">
        <v>0</v>
      </c>
      <c r="I75" s="81" t="s">
        <v>444</v>
      </c>
      <c r="J75" s="7">
        <v>2020</v>
      </c>
      <c r="K75" s="31">
        <f t="shared" ref="K75:K78" si="6">AVERAGE(N75,Q75,T75,W75)</f>
        <v>37.5</v>
      </c>
      <c r="L75" s="14"/>
      <c r="M75" s="7">
        <v>2020</v>
      </c>
      <c r="N75" s="21">
        <v>50</v>
      </c>
      <c r="O75" s="17"/>
      <c r="P75" s="7">
        <v>2020</v>
      </c>
      <c r="Q75" s="21">
        <v>100</v>
      </c>
      <c r="R75" s="17"/>
      <c r="S75" s="7">
        <v>2020</v>
      </c>
      <c r="T75" s="21">
        <v>0</v>
      </c>
      <c r="U75" s="81" t="s">
        <v>445</v>
      </c>
      <c r="V75" s="7">
        <v>2020</v>
      </c>
      <c r="W75" s="84">
        <v>0</v>
      </c>
      <c r="X75" s="83" t="s">
        <v>446</v>
      </c>
      <c r="Y75" s="7">
        <v>2020</v>
      </c>
      <c r="Z75" s="14">
        <v>0</v>
      </c>
      <c r="AA75" s="23"/>
    </row>
    <row r="76" spans="1:33" ht="24.75" customHeight="1">
      <c r="A76" s="7">
        <v>2021</v>
      </c>
      <c r="B76" s="15">
        <f t="shared" si="5"/>
        <v>9.375</v>
      </c>
      <c r="C76" s="15"/>
      <c r="D76" s="7">
        <v>2021</v>
      </c>
      <c r="E76" s="14">
        <v>0</v>
      </c>
      <c r="F76" s="17"/>
      <c r="G76" s="7">
        <v>2021</v>
      </c>
      <c r="H76" s="14">
        <v>0</v>
      </c>
      <c r="I76" s="17"/>
      <c r="J76" s="7">
        <v>2021</v>
      </c>
      <c r="K76" s="31">
        <f>AVERAGE(N76,Q76,T76,W76)</f>
        <v>37.5</v>
      </c>
      <c r="L76" s="14"/>
      <c r="M76" s="7">
        <v>2021</v>
      </c>
      <c r="N76" s="21">
        <v>50</v>
      </c>
      <c r="O76" s="17"/>
      <c r="P76" s="7">
        <v>2021</v>
      </c>
      <c r="Q76" s="21">
        <v>100</v>
      </c>
      <c r="R76" s="17"/>
      <c r="S76" s="7">
        <v>2021</v>
      </c>
      <c r="T76" s="21">
        <v>0</v>
      </c>
      <c r="U76" s="17"/>
      <c r="V76" s="7">
        <v>2021</v>
      </c>
      <c r="W76" s="84">
        <v>0</v>
      </c>
      <c r="X76" s="83" t="s">
        <v>447</v>
      </c>
      <c r="Y76" s="7">
        <v>2021</v>
      </c>
      <c r="Z76" s="14">
        <v>0</v>
      </c>
      <c r="AA76" s="23"/>
    </row>
    <row r="77" spans="1:33" ht="24.75" customHeight="1">
      <c r="A77" s="7">
        <v>2022</v>
      </c>
      <c r="B77" s="15">
        <f t="shared" si="5"/>
        <v>9.375</v>
      </c>
      <c r="C77" s="15"/>
      <c r="D77" s="7">
        <v>2022</v>
      </c>
      <c r="E77" s="14">
        <v>0</v>
      </c>
      <c r="F77" s="17"/>
      <c r="G77" s="7">
        <v>2022</v>
      </c>
      <c r="H77" s="14">
        <v>0</v>
      </c>
      <c r="I77" s="17"/>
      <c r="J77" s="7">
        <v>2022</v>
      </c>
      <c r="K77" s="31">
        <f t="shared" si="6"/>
        <v>37.5</v>
      </c>
      <c r="L77" s="14"/>
      <c r="M77" s="7">
        <v>2022</v>
      </c>
      <c r="N77" s="21">
        <v>50</v>
      </c>
      <c r="O77" s="17"/>
      <c r="P77" s="7">
        <v>2022</v>
      </c>
      <c r="Q77" s="21">
        <v>100</v>
      </c>
      <c r="R77" s="17"/>
      <c r="S77" s="7">
        <v>2022</v>
      </c>
      <c r="T77" s="21">
        <v>0</v>
      </c>
      <c r="U77" s="17"/>
      <c r="V77" s="7">
        <v>2022</v>
      </c>
      <c r="W77" s="84">
        <v>0</v>
      </c>
      <c r="X77" s="83"/>
      <c r="Y77" s="7">
        <v>2022</v>
      </c>
      <c r="Z77" s="14">
        <v>0</v>
      </c>
      <c r="AA77" s="23"/>
    </row>
    <row r="78" spans="1:33" ht="24.75" customHeight="1">
      <c r="A78" s="7">
        <v>2023</v>
      </c>
      <c r="B78" s="15">
        <f t="shared" si="5"/>
        <v>9.375</v>
      </c>
      <c r="C78" s="15"/>
      <c r="D78" s="7">
        <v>2023</v>
      </c>
      <c r="E78" s="14">
        <v>0</v>
      </c>
      <c r="F78" s="17"/>
      <c r="G78" s="7">
        <v>2023</v>
      </c>
      <c r="H78" s="14">
        <v>0</v>
      </c>
      <c r="I78" s="17"/>
      <c r="J78" s="7">
        <v>2023</v>
      </c>
      <c r="K78" s="31">
        <f t="shared" si="6"/>
        <v>37.5</v>
      </c>
      <c r="L78" s="14"/>
      <c r="M78" s="7">
        <v>2023</v>
      </c>
      <c r="N78" s="21">
        <v>50</v>
      </c>
      <c r="O78" s="17"/>
      <c r="P78" s="7">
        <v>2023</v>
      </c>
      <c r="Q78" s="21">
        <v>100</v>
      </c>
      <c r="R78" s="17"/>
      <c r="S78" s="7">
        <v>2023</v>
      </c>
      <c r="T78" s="21">
        <v>0</v>
      </c>
      <c r="U78" s="17"/>
      <c r="V78" s="7">
        <v>2023</v>
      </c>
      <c r="W78" s="84">
        <v>0</v>
      </c>
      <c r="X78" s="83"/>
      <c r="Y78" s="7">
        <v>2023</v>
      </c>
      <c r="Z78" s="14">
        <v>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100</v>
      </c>
      <c r="C87" s="15"/>
      <c r="D87" s="7">
        <v>2020</v>
      </c>
      <c r="E87" s="21">
        <v>100</v>
      </c>
      <c r="F87" s="23" t="s">
        <v>448</v>
      </c>
      <c r="G87" s="7">
        <v>2020</v>
      </c>
      <c r="H87" s="31">
        <f t="shared" ref="H87:H90" si="7">AVERAGE(K87,N87,Q87,T87)</f>
        <v>100</v>
      </c>
      <c r="I87" s="14"/>
      <c r="J87" s="7">
        <v>2020</v>
      </c>
      <c r="K87" s="14">
        <v>100</v>
      </c>
      <c r="L87" s="81" t="s">
        <v>449</v>
      </c>
      <c r="M87" s="7">
        <v>2020</v>
      </c>
      <c r="N87" s="14">
        <v>100</v>
      </c>
      <c r="O87" s="17"/>
      <c r="P87" s="7">
        <v>2020</v>
      </c>
      <c r="Q87" s="14">
        <v>100</v>
      </c>
      <c r="R87" s="17"/>
      <c r="S87" s="7">
        <v>2020</v>
      </c>
      <c r="T87" s="14">
        <v>100</v>
      </c>
      <c r="U87" s="17" t="s">
        <v>450</v>
      </c>
      <c r="V87" s="7">
        <v>2020</v>
      </c>
      <c r="W87" s="14">
        <v>100</v>
      </c>
      <c r="X87" s="17"/>
      <c r="Y87" s="7">
        <v>2020</v>
      </c>
      <c r="Z87" s="73">
        <v>100</v>
      </c>
      <c r="AA87" s="17"/>
      <c r="AB87" s="7">
        <v>2020</v>
      </c>
      <c r="AC87" s="73">
        <v>100</v>
      </c>
      <c r="AD87" s="17"/>
      <c r="AE87" s="7">
        <v>2020</v>
      </c>
      <c r="AF87" s="14">
        <v>100</v>
      </c>
      <c r="AG87" s="23"/>
    </row>
    <row r="88" spans="1:51" ht="24.75" customHeight="1">
      <c r="A88" s="7">
        <v>2021</v>
      </c>
      <c r="B88" s="15">
        <f>AVERAGE(E88,H88, W88,((Z88+AC88+AF88)/3))</f>
        <v>100</v>
      </c>
      <c r="C88" s="15"/>
      <c r="D88" s="7">
        <v>2021</v>
      </c>
      <c r="E88" s="21">
        <v>100</v>
      </c>
      <c r="F88" s="17"/>
      <c r="G88" s="7">
        <v>2021</v>
      </c>
      <c r="H88" s="31">
        <f t="shared" si="7"/>
        <v>100</v>
      </c>
      <c r="I88" s="14"/>
      <c r="J88" s="7">
        <v>2021</v>
      </c>
      <c r="K88" s="14">
        <v>100</v>
      </c>
      <c r="L88" s="17"/>
      <c r="M88" s="7">
        <v>2021</v>
      </c>
      <c r="N88" s="14">
        <v>100</v>
      </c>
      <c r="O88" s="17"/>
      <c r="P88" s="7">
        <v>2021</v>
      </c>
      <c r="Q88" s="14">
        <v>100</v>
      </c>
      <c r="R88" s="17"/>
      <c r="S88" s="7">
        <v>2021</v>
      </c>
      <c r="T88" s="14">
        <v>100</v>
      </c>
      <c r="U88" s="17"/>
      <c r="V88" s="7">
        <v>2021</v>
      </c>
      <c r="W88" s="14">
        <v>100</v>
      </c>
      <c r="X88" s="17"/>
      <c r="Y88" s="7">
        <v>2021</v>
      </c>
      <c r="Z88" s="73">
        <v>100</v>
      </c>
      <c r="AA88" s="17"/>
      <c r="AB88" s="7">
        <v>2021</v>
      </c>
      <c r="AC88" s="73">
        <v>100</v>
      </c>
      <c r="AD88" s="17"/>
      <c r="AE88" s="7">
        <v>2021</v>
      </c>
      <c r="AF88" s="14">
        <v>100</v>
      </c>
      <c r="AG88" s="23"/>
    </row>
    <row r="89" spans="1:51" ht="24.75" customHeight="1">
      <c r="A89" s="7">
        <v>2022</v>
      </c>
      <c r="B89" s="15">
        <f>AVERAGE(E89,H89, W89,((Z89+AC89+AF89)/3))</f>
        <v>100</v>
      </c>
      <c r="C89" s="15"/>
      <c r="D89" s="7">
        <v>2022</v>
      </c>
      <c r="E89" s="21">
        <v>100</v>
      </c>
      <c r="F89" s="17"/>
      <c r="G89" s="7">
        <v>2022</v>
      </c>
      <c r="H89" s="31">
        <f t="shared" si="7"/>
        <v>100</v>
      </c>
      <c r="I89" s="14"/>
      <c r="J89" s="7">
        <v>2022</v>
      </c>
      <c r="K89" s="14">
        <v>100</v>
      </c>
      <c r="L89" s="17"/>
      <c r="M89" s="7">
        <v>2022</v>
      </c>
      <c r="N89" s="14">
        <v>100</v>
      </c>
      <c r="O89" s="17"/>
      <c r="P89" s="7">
        <v>2022</v>
      </c>
      <c r="Q89" s="14">
        <v>100</v>
      </c>
      <c r="R89" s="17"/>
      <c r="S89" s="7">
        <v>2022</v>
      </c>
      <c r="T89" s="14">
        <v>100</v>
      </c>
      <c r="U89" s="17"/>
      <c r="V89" s="7">
        <v>2022</v>
      </c>
      <c r="W89" s="14">
        <v>100</v>
      </c>
      <c r="X89" s="17"/>
      <c r="Y89" s="7">
        <v>2022</v>
      </c>
      <c r="Z89" s="73">
        <v>100</v>
      </c>
      <c r="AA89" s="17"/>
      <c r="AB89" s="7">
        <v>2022</v>
      </c>
      <c r="AC89" s="73">
        <v>100</v>
      </c>
      <c r="AD89" s="17"/>
      <c r="AE89" s="7">
        <v>2022</v>
      </c>
      <c r="AF89" s="14">
        <v>100</v>
      </c>
      <c r="AG89" s="23"/>
    </row>
    <row r="90" spans="1:51" ht="24.75" customHeight="1">
      <c r="A90" s="7">
        <v>2023</v>
      </c>
      <c r="B90" s="15">
        <f>AVERAGE(E90,H90, W90,((Z90+AC90+AF90)/3))</f>
        <v>100</v>
      </c>
      <c r="C90" s="15"/>
      <c r="D90" s="7">
        <v>2023</v>
      </c>
      <c r="E90" s="21">
        <v>100</v>
      </c>
      <c r="F90" s="17"/>
      <c r="G90" s="7">
        <v>2023</v>
      </c>
      <c r="H90" s="31">
        <f t="shared" si="7"/>
        <v>100</v>
      </c>
      <c r="I90" s="14"/>
      <c r="J90" s="7">
        <v>2023</v>
      </c>
      <c r="K90" s="14">
        <v>100</v>
      </c>
      <c r="L90" s="17"/>
      <c r="M90" s="7">
        <v>2023</v>
      </c>
      <c r="N90" s="14">
        <v>100</v>
      </c>
      <c r="O90" s="17"/>
      <c r="P90" s="7">
        <v>2023</v>
      </c>
      <c r="Q90" s="14">
        <v>100</v>
      </c>
      <c r="R90" s="17"/>
      <c r="S90" s="7">
        <v>2023</v>
      </c>
      <c r="T90" s="14">
        <v>100</v>
      </c>
      <c r="U90" s="17"/>
      <c r="V90" s="7">
        <v>2023</v>
      </c>
      <c r="W90" s="14">
        <v>100</v>
      </c>
      <c r="X90" s="17"/>
      <c r="Y90" s="7">
        <v>2023</v>
      </c>
      <c r="Z90" s="73">
        <v>100</v>
      </c>
      <c r="AA90" s="17"/>
      <c r="AB90" s="7">
        <v>2023</v>
      </c>
      <c r="AC90" s="73">
        <v>100</v>
      </c>
      <c r="AD90" s="17"/>
      <c r="AE90" s="7">
        <v>2023</v>
      </c>
      <c r="AF90" s="14">
        <v>100</v>
      </c>
      <c r="AG90" s="23"/>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29.083333333333336</v>
      </c>
      <c r="C99" s="43"/>
      <c r="D99" s="27">
        <v>2020</v>
      </c>
      <c r="E99" s="14">
        <v>50</v>
      </c>
      <c r="F99" s="23"/>
      <c r="G99" s="7">
        <v>2020</v>
      </c>
      <c r="H99" s="44">
        <v>50</v>
      </c>
      <c r="I99" s="23"/>
      <c r="J99" s="27">
        <v>2020</v>
      </c>
      <c r="K99" s="85">
        <v>50</v>
      </c>
      <c r="L99" s="86" t="s">
        <v>451</v>
      </c>
      <c r="M99" s="7">
        <v>2020</v>
      </c>
      <c r="N99" s="21">
        <v>50</v>
      </c>
      <c r="O99" s="23"/>
      <c r="P99" s="27">
        <v>2020</v>
      </c>
      <c r="Q99" s="14">
        <v>0</v>
      </c>
      <c r="R99" s="23"/>
      <c r="S99" s="7">
        <v>2020</v>
      </c>
      <c r="T99" s="21">
        <v>0</v>
      </c>
      <c r="U99" s="23"/>
      <c r="V99" s="7">
        <v>2020</v>
      </c>
      <c r="W99" s="14">
        <v>33</v>
      </c>
      <c r="X99" s="23"/>
      <c r="Y99" s="7">
        <v>2020</v>
      </c>
      <c r="Z99" s="14">
        <v>33</v>
      </c>
      <c r="AA99" s="23"/>
      <c r="AB99" s="7">
        <v>2020</v>
      </c>
      <c r="AC99" s="21">
        <v>0</v>
      </c>
      <c r="AD99" s="23"/>
      <c r="AE99" s="7">
        <v>2020</v>
      </c>
      <c r="AF99" s="14">
        <v>0</v>
      </c>
      <c r="AG99" s="23"/>
      <c r="AH99" s="7">
        <v>2020</v>
      </c>
      <c r="AI99" s="21">
        <v>100</v>
      </c>
      <c r="AJ99" s="23"/>
      <c r="AK99" s="7">
        <v>2020</v>
      </c>
      <c r="AL99" s="21">
        <v>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29.083333333333336</v>
      </c>
      <c r="C100" s="49"/>
      <c r="D100" s="27">
        <v>2021</v>
      </c>
      <c r="E100" s="14">
        <v>50</v>
      </c>
      <c r="F100" s="23"/>
      <c r="G100" s="7">
        <v>2021</v>
      </c>
      <c r="H100" s="44">
        <v>50</v>
      </c>
      <c r="I100" s="23"/>
      <c r="J100" s="27">
        <v>2021</v>
      </c>
      <c r="K100" s="85">
        <v>50</v>
      </c>
      <c r="L100" s="86"/>
      <c r="M100" s="7">
        <v>2021</v>
      </c>
      <c r="N100" s="21">
        <v>50</v>
      </c>
      <c r="O100" s="23"/>
      <c r="P100" s="27">
        <v>2021</v>
      </c>
      <c r="Q100" s="14">
        <v>0</v>
      </c>
      <c r="R100" s="23"/>
      <c r="S100" s="7">
        <v>2021</v>
      </c>
      <c r="T100" s="21">
        <v>0</v>
      </c>
      <c r="U100" s="23"/>
      <c r="V100" s="7">
        <v>2021</v>
      </c>
      <c r="W100" s="14">
        <v>33</v>
      </c>
      <c r="X100" s="23"/>
      <c r="Y100" s="7">
        <v>2021</v>
      </c>
      <c r="Z100" s="14">
        <v>33</v>
      </c>
      <c r="AA100" s="23"/>
      <c r="AB100" s="7">
        <v>2021</v>
      </c>
      <c r="AC100" s="21">
        <v>0</v>
      </c>
      <c r="AD100" s="23"/>
      <c r="AE100" s="7">
        <v>2021</v>
      </c>
      <c r="AF100" s="14">
        <v>0</v>
      </c>
      <c r="AG100" s="23"/>
      <c r="AH100" s="7">
        <v>2021</v>
      </c>
      <c r="AI100" s="21">
        <v>100</v>
      </c>
      <c r="AJ100" s="23"/>
      <c r="AK100" s="7">
        <v>2021</v>
      </c>
      <c r="AL100" s="21">
        <v>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29.083333333333336</v>
      </c>
      <c r="C101" s="49"/>
      <c r="D101" s="27">
        <v>2022</v>
      </c>
      <c r="E101" s="14">
        <v>50</v>
      </c>
      <c r="G101" s="27">
        <v>2022</v>
      </c>
      <c r="H101" s="44">
        <v>50</v>
      </c>
      <c r="I101" s="23"/>
      <c r="J101" s="27">
        <v>2022</v>
      </c>
      <c r="K101" s="85">
        <v>50</v>
      </c>
      <c r="L101" s="86" t="s">
        <v>452</v>
      </c>
      <c r="M101" s="27">
        <v>2022</v>
      </c>
      <c r="N101" s="21">
        <v>50</v>
      </c>
      <c r="O101" s="23"/>
      <c r="P101" s="27">
        <v>2022</v>
      </c>
      <c r="Q101" s="14">
        <v>0</v>
      </c>
      <c r="R101" s="23"/>
      <c r="S101" s="27">
        <v>2022</v>
      </c>
      <c r="T101" s="21">
        <v>0</v>
      </c>
      <c r="U101" s="23"/>
      <c r="V101" s="27">
        <v>2022</v>
      </c>
      <c r="W101" s="14">
        <v>33</v>
      </c>
      <c r="X101" s="23"/>
      <c r="Y101" s="27">
        <v>2022</v>
      </c>
      <c r="Z101" s="14">
        <v>33</v>
      </c>
      <c r="AA101" s="23"/>
      <c r="AB101" s="27">
        <v>2022</v>
      </c>
      <c r="AC101" s="21">
        <v>0</v>
      </c>
      <c r="AD101" s="23"/>
      <c r="AE101" s="27">
        <v>2022</v>
      </c>
      <c r="AF101" s="14">
        <v>0</v>
      </c>
      <c r="AG101" s="23"/>
      <c r="AH101" s="27">
        <v>2022</v>
      </c>
      <c r="AI101" s="21">
        <v>100</v>
      </c>
      <c r="AJ101" s="23"/>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29.083333333333336</v>
      </c>
      <c r="C102" s="49"/>
      <c r="D102" s="27">
        <v>2023</v>
      </c>
      <c r="E102" s="14">
        <v>50</v>
      </c>
      <c r="F102" s="23" t="s">
        <v>453</v>
      </c>
      <c r="G102" s="27">
        <v>2023</v>
      </c>
      <c r="H102" s="44">
        <v>50</v>
      </c>
      <c r="I102" s="23"/>
      <c r="J102" s="27">
        <v>2023</v>
      </c>
      <c r="K102" s="85">
        <v>50</v>
      </c>
      <c r="L102" s="86" t="s">
        <v>454</v>
      </c>
      <c r="M102" s="27">
        <v>2023</v>
      </c>
      <c r="N102" s="21">
        <v>50</v>
      </c>
      <c r="O102" s="23"/>
      <c r="P102" s="27">
        <v>2023</v>
      </c>
      <c r="Q102" s="14">
        <v>0</v>
      </c>
      <c r="R102" s="23"/>
      <c r="S102" s="27">
        <v>2023</v>
      </c>
      <c r="T102" s="21">
        <v>0</v>
      </c>
      <c r="U102" s="23"/>
      <c r="V102" s="27">
        <v>2023</v>
      </c>
      <c r="W102" s="14">
        <v>33</v>
      </c>
      <c r="X102" s="23"/>
      <c r="Y102" s="27">
        <v>2023</v>
      </c>
      <c r="Z102" s="14">
        <v>33</v>
      </c>
      <c r="AA102" s="23"/>
      <c r="AB102" s="27">
        <v>2023</v>
      </c>
      <c r="AC102" s="21">
        <v>0</v>
      </c>
      <c r="AD102" s="23"/>
      <c r="AE102" s="27">
        <v>2023</v>
      </c>
      <c r="AF102" s="14">
        <v>0</v>
      </c>
      <c r="AG102" s="23"/>
      <c r="AH102" s="27">
        <v>2023</v>
      </c>
      <c r="AI102" s="21">
        <v>100</v>
      </c>
      <c r="AJ102" s="23"/>
      <c r="AK102" s="27">
        <v>2023</v>
      </c>
      <c r="AL102" s="21">
        <v>0</v>
      </c>
      <c r="AM102" s="23"/>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0FAD1-BD5D-4CCC-968F-FED7A92B55D9}">
  <dimension ref="A1:CC111"/>
  <sheetViews>
    <sheetView tabSelected="1" zoomScale="114" zoomScaleNormal="115" workbookViewId="0">
      <selection activeCell="F8" sqref="F8"/>
    </sheetView>
  </sheetViews>
  <sheetFormatPr defaultColWidth="8.81640625" defaultRowHeight="15" customHeight="1"/>
  <cols>
    <col min="1" max="1" width="17.453125" style="24" customWidth="1"/>
    <col min="2" max="2" width="13.453125" style="24" customWidth="1"/>
    <col min="3" max="3" width="23.1796875" style="24" customWidth="1"/>
    <col min="4" max="4" width="17.453125" style="24" customWidth="1"/>
    <col min="5" max="5" width="13.453125" style="24" customWidth="1"/>
    <col min="6" max="6" width="43.1796875" style="24" customWidth="1"/>
    <col min="7" max="7" width="17.453125" style="24" customWidth="1"/>
    <col min="8" max="8" width="13.453125" style="24" customWidth="1"/>
    <col min="9" max="9" width="24.6328125" style="24" customWidth="1"/>
    <col min="10" max="10" width="32.81640625" style="24" customWidth="1"/>
    <col min="11" max="11" width="13.453125" style="24" customWidth="1"/>
    <col min="12" max="12" width="35.453125" style="24" customWidth="1"/>
    <col min="13" max="13" width="17.453125" style="24" customWidth="1"/>
    <col min="14" max="14" width="13.453125" style="24" customWidth="1"/>
    <col min="15" max="15" width="32.453125" style="24" customWidth="1"/>
    <col min="16" max="16" width="17.453125" style="24" customWidth="1"/>
    <col min="17" max="17" width="13.453125" style="24" customWidth="1"/>
    <col min="18" max="18" width="50.453125" style="24" customWidth="1"/>
    <col min="19" max="19" width="17.453125" style="24" customWidth="1"/>
    <col min="20" max="20" width="13.453125" style="24" customWidth="1"/>
    <col min="21" max="21" width="49.453125" style="24" customWidth="1"/>
    <col min="22" max="22" width="17.453125" style="24" customWidth="1"/>
    <col min="23" max="23" width="13.453125" style="24" customWidth="1"/>
    <col min="24" max="24" width="31.36328125" style="24" customWidth="1"/>
    <col min="25" max="25" width="17.453125" style="24" customWidth="1"/>
    <col min="26" max="26" width="13.453125" style="24" customWidth="1"/>
    <col min="27" max="27" width="34.453125" style="24" customWidth="1"/>
    <col min="28" max="28" width="17.453125" style="24" customWidth="1"/>
    <col min="29" max="29" width="13.453125" style="24" customWidth="1"/>
    <col min="30" max="30" width="43" style="24" customWidth="1"/>
    <col min="31" max="31" width="17.453125" style="24" customWidth="1"/>
    <col min="32" max="32" width="13.453125" style="24" customWidth="1"/>
    <col min="33" max="33" width="43.453125" style="24" customWidth="1"/>
    <col min="34" max="34" width="17.453125" style="24" customWidth="1"/>
    <col min="35" max="35" width="13.453125" style="24" customWidth="1"/>
    <col min="36" max="36" width="35.453125" style="24" customWidth="1"/>
    <col min="37" max="37" width="17.453125" style="24" customWidth="1"/>
    <col min="38" max="38" width="13.453125" style="24" customWidth="1"/>
    <col min="39" max="39" width="23.1796875" style="24" customWidth="1"/>
    <col min="40" max="40" width="17.453125" style="24" customWidth="1"/>
    <col min="41" max="41" width="13.453125" style="24" customWidth="1"/>
    <col min="42" max="42" width="23.1796875" style="24" customWidth="1"/>
    <col min="43" max="43" width="17.453125" style="24" customWidth="1"/>
    <col min="44" max="44" width="13.453125" style="24" customWidth="1"/>
    <col min="45" max="45" width="25.81640625" style="24" customWidth="1"/>
    <col min="46" max="46" width="17.453125" style="24" customWidth="1"/>
    <col min="47" max="47" width="13.453125" style="24" customWidth="1"/>
    <col min="48" max="48" width="30.1796875" style="24" customWidth="1"/>
    <col min="49" max="49" width="17.453125" style="24" customWidth="1"/>
    <col min="50" max="50" width="13.453125" style="24" customWidth="1"/>
    <col min="51" max="51" width="40.453125" style="24" customWidth="1"/>
    <col min="52" max="16384" width="8.81640625" style="24"/>
  </cols>
  <sheetData>
    <row r="1" spans="1:81" ht="36.65" customHeight="1">
      <c r="A1" s="323" t="s">
        <v>0</v>
      </c>
      <c r="B1" s="323"/>
      <c r="C1" s="323"/>
      <c r="D1" s="323"/>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row>
    <row r="2" spans="1:81" ht="45" customHeight="1">
      <c r="A2" s="422" t="s">
        <v>1</v>
      </c>
      <c r="B2" s="422" t="s">
        <v>2</v>
      </c>
      <c r="C2" s="422" t="s">
        <v>3</v>
      </c>
      <c r="D2" s="422" t="s">
        <v>4</v>
      </c>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0"/>
      <c r="BY2" s="390"/>
      <c r="BZ2" s="390"/>
      <c r="CA2" s="390"/>
      <c r="CB2" s="390"/>
      <c r="CC2" s="390"/>
    </row>
    <row r="3" spans="1:81" ht="15" customHeight="1">
      <c r="A3" s="423">
        <v>2020</v>
      </c>
      <c r="B3" s="409">
        <v>80.777281746031747</v>
      </c>
      <c r="C3" s="409">
        <v>81.88832199546485</v>
      </c>
      <c r="D3" s="409">
        <v>80.060185185185176</v>
      </c>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row>
    <row r="4" spans="1:81" ht="15" customHeight="1">
      <c r="A4" s="423">
        <v>2021</v>
      </c>
      <c r="B4" s="409">
        <v>81.47172619047619</v>
      </c>
      <c r="C4" s="409">
        <v>82.681972789115648</v>
      </c>
      <c r="D4" s="409">
        <v>80.986111111111114</v>
      </c>
      <c r="E4" s="390"/>
      <c r="F4" s="390"/>
      <c r="G4" s="390"/>
      <c r="H4" s="390"/>
      <c r="I4" s="390"/>
      <c r="J4" s="390"/>
      <c r="K4" s="390"/>
      <c r="L4" s="390"/>
      <c r="M4" s="390"/>
      <c r="N4" s="390"/>
      <c r="O4" s="390"/>
      <c r="P4" s="390"/>
      <c r="Q4" s="390"/>
      <c r="R4" s="390"/>
      <c r="S4" s="390"/>
      <c r="T4" s="390"/>
      <c r="U4" s="390"/>
      <c r="V4" s="390"/>
      <c r="W4" s="390"/>
      <c r="X4" s="390"/>
      <c r="Y4" s="390"/>
      <c r="Z4" s="390"/>
      <c r="AA4" s="390"/>
      <c r="AB4" s="390"/>
      <c r="AC4" s="390"/>
      <c r="AD4" s="390"/>
      <c r="AE4" s="390"/>
      <c r="AF4" s="390"/>
      <c r="AG4" s="390"/>
      <c r="AH4" s="390"/>
      <c r="AI4" s="390"/>
      <c r="AJ4" s="390"/>
      <c r="AK4" s="390"/>
      <c r="AL4" s="390"/>
      <c r="AM4" s="390"/>
      <c r="AN4" s="390"/>
      <c r="AO4" s="390"/>
      <c r="AP4" s="390"/>
      <c r="AQ4" s="390"/>
      <c r="AR4" s="390"/>
      <c r="AS4" s="390"/>
      <c r="AT4" s="390"/>
      <c r="AU4" s="390"/>
      <c r="AV4" s="390"/>
      <c r="AW4" s="390"/>
      <c r="AX4" s="390"/>
      <c r="AY4" s="390"/>
      <c r="AZ4" s="390"/>
      <c r="BA4" s="390"/>
      <c r="BB4" s="390"/>
      <c r="BC4" s="390"/>
      <c r="BD4" s="390"/>
      <c r="BE4" s="390"/>
      <c r="BF4" s="390"/>
      <c r="BG4" s="390"/>
      <c r="BH4" s="390"/>
      <c r="BI4" s="390"/>
      <c r="BJ4" s="390"/>
      <c r="BK4" s="390"/>
      <c r="BL4" s="390"/>
      <c r="BM4" s="390"/>
      <c r="BN4" s="390"/>
      <c r="BO4" s="390"/>
      <c r="BP4" s="390"/>
      <c r="BQ4" s="390"/>
      <c r="BR4" s="390"/>
      <c r="BS4" s="390"/>
      <c r="BT4" s="390"/>
      <c r="BU4" s="390"/>
      <c r="BV4" s="390"/>
      <c r="BW4" s="390"/>
      <c r="BX4" s="390"/>
      <c r="BY4" s="390"/>
      <c r="BZ4" s="390"/>
      <c r="CA4" s="390"/>
      <c r="CB4" s="390"/>
      <c r="CC4" s="390"/>
    </row>
    <row r="5" spans="1:81" ht="15" customHeight="1">
      <c r="A5" s="423">
        <v>2022</v>
      </c>
      <c r="B5" s="409">
        <v>81.47172619047619</v>
      </c>
      <c r="C5" s="409">
        <v>82.681972789115648</v>
      </c>
      <c r="D5" s="409">
        <v>80.986111111111114</v>
      </c>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row>
    <row r="6" spans="1:81" ht="15" customHeight="1">
      <c r="A6" s="423">
        <v>2023</v>
      </c>
      <c r="B6" s="409">
        <v>81.47172619047619</v>
      </c>
      <c r="C6" s="409">
        <v>82.681972789115648</v>
      </c>
      <c r="D6" s="409">
        <v>80.986111111111114</v>
      </c>
      <c r="E6" s="390"/>
      <c r="F6" s="390"/>
      <c r="G6" s="390"/>
      <c r="H6" s="390"/>
      <c r="I6" s="390"/>
      <c r="J6" s="390"/>
      <c r="K6" s="390"/>
      <c r="L6" s="390"/>
      <c r="M6" s="390"/>
      <c r="N6" s="390"/>
      <c r="O6" s="390"/>
      <c r="P6" s="390"/>
      <c r="Q6" s="390"/>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0"/>
      <c r="AV6" s="390"/>
      <c r="AW6" s="390"/>
      <c r="AX6" s="390"/>
      <c r="AY6" s="390"/>
      <c r="AZ6" s="390"/>
      <c r="BA6" s="390"/>
      <c r="BB6" s="390"/>
      <c r="BC6" s="390"/>
      <c r="BD6" s="390"/>
      <c r="BE6" s="390"/>
      <c r="BF6" s="390"/>
      <c r="BG6" s="390"/>
      <c r="BH6" s="390"/>
      <c r="BI6" s="390"/>
      <c r="BJ6" s="390"/>
      <c r="BK6" s="390"/>
      <c r="BL6" s="390"/>
      <c r="BM6" s="390"/>
      <c r="BN6" s="390"/>
      <c r="BO6" s="390"/>
      <c r="BP6" s="390"/>
      <c r="BQ6" s="390"/>
      <c r="BR6" s="390"/>
      <c r="BS6" s="390"/>
      <c r="BT6" s="390"/>
      <c r="BU6" s="390"/>
      <c r="BV6" s="390"/>
      <c r="BW6" s="390"/>
      <c r="BX6" s="390"/>
      <c r="BY6" s="390"/>
      <c r="BZ6" s="390"/>
      <c r="CA6" s="390"/>
      <c r="CB6" s="390"/>
      <c r="CC6" s="390"/>
    </row>
    <row r="7" spans="1:81" ht="15" customHeight="1">
      <c r="A7" s="423">
        <v>2024</v>
      </c>
      <c r="B7" s="409">
        <v>81.47172619047619</v>
      </c>
      <c r="C7" s="409">
        <v>82.681972789115648</v>
      </c>
      <c r="D7" s="409">
        <v>80.986111111111114</v>
      </c>
      <c r="E7" s="390"/>
      <c r="F7" s="390"/>
      <c r="G7" s="390"/>
      <c r="H7" s="390"/>
      <c r="I7" s="390"/>
      <c r="J7" s="390"/>
      <c r="K7" s="390"/>
      <c r="L7" s="390"/>
      <c r="M7" s="390"/>
      <c r="N7" s="390"/>
      <c r="O7" s="390"/>
      <c r="P7" s="390"/>
      <c r="Q7" s="390"/>
      <c r="R7" s="390"/>
      <c r="S7" s="390"/>
      <c r="T7" s="390"/>
      <c r="U7" s="390"/>
      <c r="V7" s="390"/>
      <c r="W7" s="390"/>
      <c r="X7" s="390"/>
      <c r="Y7" s="390"/>
      <c r="Z7" s="390"/>
      <c r="AA7" s="390"/>
      <c r="AB7" s="390"/>
      <c r="AC7" s="390"/>
      <c r="AD7" s="390"/>
      <c r="AE7" s="390"/>
      <c r="AF7" s="390"/>
      <c r="AG7" s="390"/>
      <c r="AH7" s="390"/>
      <c r="AI7" s="390"/>
      <c r="AJ7" s="390"/>
      <c r="AK7" s="390"/>
      <c r="AL7" s="390"/>
      <c r="AM7" s="390"/>
      <c r="AN7" s="390"/>
      <c r="AO7" s="390"/>
      <c r="AP7" s="390"/>
      <c r="AQ7" s="390"/>
      <c r="AR7" s="390"/>
      <c r="AS7" s="390"/>
      <c r="AT7" s="390"/>
      <c r="AU7" s="390"/>
      <c r="AV7" s="390"/>
      <c r="AW7" s="390"/>
      <c r="AX7" s="390"/>
      <c r="AY7" s="390"/>
      <c r="AZ7" s="390"/>
      <c r="BA7" s="390"/>
      <c r="BB7" s="390"/>
      <c r="BC7" s="390"/>
      <c r="BD7" s="390"/>
      <c r="BE7" s="390"/>
      <c r="BF7" s="390"/>
      <c r="BG7" s="390"/>
      <c r="BH7" s="390"/>
      <c r="BI7" s="390"/>
      <c r="BJ7" s="390"/>
      <c r="BK7" s="390"/>
      <c r="BL7" s="390"/>
      <c r="BM7" s="390"/>
      <c r="BN7" s="390"/>
      <c r="BO7" s="390"/>
      <c r="BP7" s="390"/>
      <c r="BQ7" s="390"/>
      <c r="BR7" s="390"/>
      <c r="BS7" s="390"/>
      <c r="BT7" s="390"/>
      <c r="BU7" s="390"/>
      <c r="BV7" s="390"/>
      <c r="BW7" s="390"/>
      <c r="BX7" s="390"/>
      <c r="BY7" s="390"/>
      <c r="BZ7" s="390"/>
      <c r="CA7" s="390"/>
      <c r="CB7" s="390"/>
      <c r="CC7" s="390"/>
    </row>
    <row r="8" spans="1:81" ht="24.75" customHeight="1">
      <c r="A8" s="390"/>
      <c r="B8" s="390"/>
      <c r="C8" s="390"/>
      <c r="D8" s="390"/>
      <c r="E8" s="390"/>
      <c r="F8" s="390"/>
      <c r="G8" s="390"/>
      <c r="H8" s="390"/>
      <c r="I8" s="390"/>
      <c r="J8" s="390"/>
      <c r="K8" s="390"/>
      <c r="L8" s="390"/>
      <c r="M8" s="390"/>
      <c r="N8" s="390"/>
      <c r="O8" s="390"/>
      <c r="P8" s="390"/>
      <c r="Q8" s="390"/>
      <c r="R8" s="390"/>
      <c r="S8" s="390"/>
      <c r="T8" s="390"/>
      <c r="U8" s="390"/>
      <c r="V8" s="390"/>
      <c r="W8" s="390"/>
      <c r="X8" s="390"/>
      <c r="Y8" s="390"/>
      <c r="Z8" s="390"/>
      <c r="AA8" s="390"/>
      <c r="AB8" s="390"/>
      <c r="AC8" s="390"/>
      <c r="AD8" s="390"/>
      <c r="AE8" s="390"/>
      <c r="AF8" s="390"/>
      <c r="AG8" s="390"/>
      <c r="AH8" s="390"/>
      <c r="AI8" s="390"/>
      <c r="AJ8" s="390"/>
      <c r="AK8" s="390"/>
      <c r="AL8" s="390"/>
      <c r="AM8" s="390"/>
      <c r="AN8" s="390"/>
      <c r="AO8" s="390"/>
      <c r="AP8" s="390"/>
      <c r="AQ8" s="390"/>
      <c r="AR8" s="390"/>
      <c r="AS8" s="390"/>
      <c r="AT8" s="390"/>
      <c r="AU8" s="390"/>
      <c r="AV8" s="390"/>
      <c r="AW8" s="390"/>
      <c r="AX8" s="390"/>
      <c r="AY8" s="390"/>
      <c r="AZ8" s="390"/>
      <c r="BA8" s="390"/>
      <c r="BB8" s="390"/>
      <c r="BC8" s="390"/>
      <c r="BD8" s="390"/>
      <c r="BE8" s="390"/>
      <c r="BF8" s="390"/>
      <c r="BG8" s="390"/>
      <c r="BH8" s="390"/>
      <c r="BI8" s="390"/>
      <c r="BJ8" s="390"/>
      <c r="BK8" s="390"/>
      <c r="BL8" s="390"/>
      <c r="BM8" s="390"/>
      <c r="BN8" s="390"/>
      <c r="BO8" s="390"/>
      <c r="BP8" s="390"/>
      <c r="BQ8" s="390"/>
      <c r="BR8" s="390"/>
      <c r="BS8" s="390"/>
      <c r="BT8" s="390"/>
      <c r="BU8" s="390"/>
      <c r="BV8" s="390"/>
      <c r="BW8" s="390"/>
      <c r="BX8" s="390"/>
      <c r="BY8" s="390"/>
      <c r="BZ8" s="390"/>
      <c r="CA8" s="390"/>
      <c r="CB8" s="390"/>
      <c r="CC8" s="390"/>
    </row>
    <row r="9" spans="1:81" ht="24.75" customHeight="1">
      <c r="A9" s="407"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416"/>
      <c r="AF9" s="416"/>
      <c r="AG9" s="416"/>
      <c r="AH9" s="416"/>
      <c r="AI9" s="416"/>
      <c r="AJ9" s="416"/>
      <c r="AK9" s="390"/>
      <c r="AL9" s="390"/>
      <c r="AM9" s="390"/>
      <c r="AN9" s="390"/>
      <c r="AO9" s="390"/>
      <c r="AP9" s="390"/>
      <c r="AQ9" s="390"/>
      <c r="AR9" s="390"/>
      <c r="AS9" s="390"/>
      <c r="AT9" s="390"/>
      <c r="AU9" s="390"/>
      <c r="AV9" s="390"/>
      <c r="AW9" s="390"/>
      <c r="AX9" s="390"/>
      <c r="AY9" s="390"/>
      <c r="AZ9" s="390"/>
      <c r="BA9" s="390"/>
      <c r="BB9" s="390"/>
      <c r="BC9" s="390"/>
      <c r="BD9" s="390"/>
      <c r="BE9" s="390"/>
      <c r="BF9" s="390"/>
      <c r="BG9" s="390"/>
      <c r="BH9" s="390"/>
      <c r="BI9" s="390"/>
      <c r="BJ9" s="390"/>
      <c r="BK9" s="390"/>
      <c r="BL9" s="390"/>
      <c r="BM9" s="390"/>
      <c r="BN9" s="390"/>
      <c r="BO9" s="390"/>
      <c r="BP9" s="390"/>
      <c r="BQ9" s="390"/>
      <c r="BR9" s="390"/>
      <c r="BS9" s="390"/>
      <c r="BT9" s="390"/>
      <c r="BU9" s="390"/>
      <c r="BV9" s="390"/>
      <c r="BW9" s="390"/>
      <c r="BX9" s="390"/>
      <c r="BY9" s="390"/>
      <c r="BZ9" s="390"/>
      <c r="CA9" s="390"/>
      <c r="CB9" s="390"/>
      <c r="CC9" s="390"/>
    </row>
    <row r="10" spans="1:81" ht="24.75" customHeight="1">
      <c r="A10" s="407" t="s">
        <v>7</v>
      </c>
      <c r="B10" s="318" t="s">
        <v>8</v>
      </c>
      <c r="C10" s="318"/>
      <c r="D10" s="407" t="s">
        <v>7</v>
      </c>
      <c r="E10" s="312"/>
      <c r="F10" s="312"/>
      <c r="G10" s="407" t="s">
        <v>7</v>
      </c>
      <c r="H10" s="312"/>
      <c r="I10" s="312"/>
      <c r="J10" s="407" t="s">
        <v>7</v>
      </c>
      <c r="K10" s="312"/>
      <c r="L10" s="312"/>
      <c r="M10" s="407" t="s">
        <v>7</v>
      </c>
      <c r="N10" s="312" t="s">
        <v>9</v>
      </c>
      <c r="O10" s="312"/>
      <c r="P10" s="407" t="s">
        <v>7</v>
      </c>
      <c r="Q10" s="318" t="s">
        <v>10</v>
      </c>
      <c r="R10" s="318"/>
      <c r="S10" s="407" t="s">
        <v>7</v>
      </c>
      <c r="T10" s="312" t="s">
        <v>11</v>
      </c>
      <c r="U10" s="312"/>
      <c r="V10" s="410" t="s">
        <v>7</v>
      </c>
      <c r="W10" s="315"/>
      <c r="X10" s="315"/>
      <c r="Y10" s="410" t="s">
        <v>7</v>
      </c>
      <c r="Z10" s="315"/>
      <c r="AA10" s="315"/>
      <c r="AB10" s="407" t="s">
        <v>7</v>
      </c>
      <c r="AC10" s="312" t="s">
        <v>12</v>
      </c>
      <c r="AD10" s="312"/>
      <c r="AE10" s="390"/>
      <c r="AF10" s="390"/>
      <c r="AG10" s="390"/>
      <c r="AH10" s="390"/>
      <c r="AI10" s="390"/>
      <c r="AJ10" s="390"/>
      <c r="AK10" s="390"/>
      <c r="AL10" s="390"/>
      <c r="AM10" s="390"/>
      <c r="AN10" s="390"/>
      <c r="AO10" s="390"/>
      <c r="AP10" s="390"/>
      <c r="AQ10" s="390"/>
      <c r="AR10" s="390"/>
      <c r="AS10" s="390"/>
      <c r="AT10" s="390"/>
      <c r="AU10" s="390"/>
      <c r="AV10" s="390"/>
      <c r="AW10" s="390"/>
      <c r="AX10" s="390"/>
      <c r="AY10" s="390"/>
      <c r="AZ10" s="390"/>
      <c r="BA10" s="390"/>
      <c r="BB10" s="390"/>
      <c r="BC10" s="390"/>
      <c r="BD10" s="390"/>
      <c r="BE10" s="390"/>
      <c r="BF10" s="390"/>
      <c r="BG10" s="390"/>
      <c r="BH10" s="390"/>
      <c r="BI10" s="390"/>
      <c r="BJ10" s="390"/>
      <c r="BK10" s="390"/>
      <c r="BL10" s="390"/>
      <c r="BM10" s="390"/>
      <c r="BN10" s="390"/>
      <c r="BO10" s="390"/>
      <c r="BP10" s="390"/>
      <c r="BQ10" s="390"/>
      <c r="BR10" s="390"/>
      <c r="BS10" s="390"/>
      <c r="BT10" s="390"/>
      <c r="BU10" s="390"/>
      <c r="BV10" s="390"/>
      <c r="BW10" s="390"/>
      <c r="BX10" s="390"/>
      <c r="BY10" s="390"/>
      <c r="BZ10" s="390"/>
      <c r="CA10" s="390"/>
      <c r="CB10" s="390"/>
      <c r="CC10" s="390"/>
    </row>
    <row r="11" spans="1:81" ht="24.75" customHeight="1">
      <c r="A11" s="407" t="s">
        <v>13</v>
      </c>
      <c r="B11" s="395"/>
      <c r="C11" s="395"/>
      <c r="D11" s="407" t="s">
        <v>13</v>
      </c>
      <c r="E11" s="311" t="s">
        <v>14</v>
      </c>
      <c r="F11" s="311"/>
      <c r="G11" s="407" t="s">
        <v>13</v>
      </c>
      <c r="H11" s="311" t="s">
        <v>15</v>
      </c>
      <c r="I11" s="311"/>
      <c r="J11" s="407" t="s">
        <v>13</v>
      </c>
      <c r="K11" s="311" t="s">
        <v>16</v>
      </c>
      <c r="L11" s="311"/>
      <c r="M11" s="407" t="s">
        <v>13</v>
      </c>
      <c r="N11" s="311"/>
      <c r="O11" s="311"/>
      <c r="P11" s="407" t="s">
        <v>13</v>
      </c>
      <c r="Q11" s="312"/>
      <c r="R11" s="312"/>
      <c r="S11" s="407" t="s">
        <v>13</v>
      </c>
      <c r="T11" s="312"/>
      <c r="U11" s="312"/>
      <c r="V11" s="410" t="s">
        <v>13</v>
      </c>
      <c r="W11" s="314" t="s">
        <v>17</v>
      </c>
      <c r="X11" s="315"/>
      <c r="Y11" s="410" t="s">
        <v>13</v>
      </c>
      <c r="Z11" s="314" t="s">
        <v>18</v>
      </c>
      <c r="AA11" s="315"/>
      <c r="AB11" s="407" t="s">
        <v>13</v>
      </c>
      <c r="AC11" s="408"/>
      <c r="AD11" s="408"/>
      <c r="AE11" s="390"/>
      <c r="AF11" s="390"/>
      <c r="AG11" s="390"/>
      <c r="AH11" s="390"/>
      <c r="AI11" s="390"/>
      <c r="AJ11" s="390"/>
      <c r="AK11" s="390"/>
      <c r="AL11" s="390"/>
      <c r="AM11" s="390"/>
      <c r="AN11" s="390"/>
      <c r="AO11" s="390"/>
      <c r="AP11" s="390"/>
      <c r="AQ11" s="390"/>
      <c r="AR11" s="390"/>
      <c r="AS11" s="390"/>
      <c r="AT11" s="390"/>
      <c r="AU11" s="390"/>
      <c r="AV11" s="390"/>
      <c r="AW11" s="390"/>
      <c r="AX11" s="390"/>
      <c r="AY11" s="390"/>
      <c r="AZ11" s="390"/>
      <c r="BA11" s="390"/>
      <c r="BB11" s="390"/>
      <c r="BC11" s="390"/>
      <c r="BD11" s="390"/>
      <c r="BE11" s="390"/>
      <c r="BF11" s="390"/>
      <c r="BG11" s="390"/>
      <c r="BH11" s="390"/>
      <c r="BI11" s="390"/>
      <c r="BJ11" s="390"/>
      <c r="BK11" s="390"/>
      <c r="BL11" s="390"/>
      <c r="BM11" s="390"/>
      <c r="BN11" s="390"/>
      <c r="BO11" s="390"/>
      <c r="BP11" s="390"/>
      <c r="BQ11" s="390"/>
      <c r="BR11" s="390"/>
      <c r="BS11" s="390"/>
      <c r="BT11" s="390"/>
      <c r="BU11" s="390"/>
      <c r="BV11" s="390"/>
      <c r="BW11" s="390"/>
      <c r="BX11" s="390"/>
      <c r="BY11" s="390"/>
      <c r="BZ11" s="390"/>
      <c r="CA11" s="390"/>
      <c r="CB11" s="390"/>
      <c r="CC11" s="390"/>
    </row>
    <row r="12" spans="1:81" ht="24.75" customHeight="1">
      <c r="A12" s="395" t="s">
        <v>19</v>
      </c>
      <c r="B12" s="322" t="s">
        <v>20</v>
      </c>
      <c r="C12" s="322"/>
      <c r="D12" s="395" t="s">
        <v>19</v>
      </c>
      <c r="E12" s="322" t="s">
        <v>21</v>
      </c>
      <c r="F12" s="322"/>
      <c r="G12" s="395" t="s">
        <v>19</v>
      </c>
      <c r="H12" s="322" t="s">
        <v>22</v>
      </c>
      <c r="I12" s="322"/>
      <c r="J12" s="395" t="s">
        <v>19</v>
      </c>
      <c r="K12" s="322" t="s">
        <v>23</v>
      </c>
      <c r="L12" s="322"/>
      <c r="M12" s="395" t="s">
        <v>19</v>
      </c>
      <c r="N12" s="322" t="s">
        <v>24</v>
      </c>
      <c r="O12" s="322"/>
      <c r="P12" s="395" t="s">
        <v>19</v>
      </c>
      <c r="Q12" s="322" t="s">
        <v>25</v>
      </c>
      <c r="R12" s="322"/>
      <c r="S12" s="395" t="s">
        <v>19</v>
      </c>
      <c r="T12" s="322" t="s">
        <v>26</v>
      </c>
      <c r="U12" s="322"/>
      <c r="V12" s="415" t="s">
        <v>19</v>
      </c>
      <c r="W12" s="308" t="s">
        <v>27</v>
      </c>
      <c r="X12" s="308"/>
      <c r="Y12" s="415" t="s">
        <v>19</v>
      </c>
      <c r="Z12" s="377" t="s">
        <v>28</v>
      </c>
      <c r="AA12" s="377"/>
      <c r="AB12" s="395" t="s">
        <v>19</v>
      </c>
      <c r="AC12" s="351" t="s">
        <v>29</v>
      </c>
      <c r="AD12" s="351"/>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90"/>
      <c r="BW12" s="390"/>
      <c r="BX12" s="390"/>
      <c r="BY12" s="390"/>
      <c r="BZ12" s="390"/>
      <c r="CA12" s="390"/>
      <c r="CB12" s="390"/>
      <c r="CC12" s="390"/>
    </row>
    <row r="13" spans="1:81" ht="107" customHeight="1">
      <c r="A13" s="395" t="s">
        <v>30</v>
      </c>
      <c r="B13" s="322" t="s">
        <v>31</v>
      </c>
      <c r="C13" s="322"/>
      <c r="D13" s="395" t="s">
        <v>30</v>
      </c>
      <c r="E13" s="310" t="s">
        <v>32</v>
      </c>
      <c r="F13" s="310"/>
      <c r="G13" s="395" t="s">
        <v>30</v>
      </c>
      <c r="H13" s="310" t="s">
        <v>33</v>
      </c>
      <c r="I13" s="310"/>
      <c r="J13" s="395" t="s">
        <v>30</v>
      </c>
      <c r="K13" s="310" t="s">
        <v>34</v>
      </c>
      <c r="L13" s="310"/>
      <c r="M13" s="395" t="s">
        <v>30</v>
      </c>
      <c r="N13" s="310" t="s">
        <v>35</v>
      </c>
      <c r="O13" s="310"/>
      <c r="P13" s="395" t="s">
        <v>30</v>
      </c>
      <c r="Q13" s="310" t="s">
        <v>36</v>
      </c>
      <c r="R13" s="310"/>
      <c r="S13" s="395" t="s">
        <v>30</v>
      </c>
      <c r="T13" s="310" t="s">
        <v>37</v>
      </c>
      <c r="U13" s="310"/>
      <c r="V13" s="415" t="s">
        <v>30</v>
      </c>
      <c r="W13" s="309" t="s">
        <v>38</v>
      </c>
      <c r="X13" s="309"/>
      <c r="Y13" s="415" t="s">
        <v>30</v>
      </c>
      <c r="Z13" s="357" t="s">
        <v>39</v>
      </c>
      <c r="AA13" s="357"/>
      <c r="AB13" s="395" t="s">
        <v>30</v>
      </c>
      <c r="AC13" s="352" t="s">
        <v>40</v>
      </c>
      <c r="AD13" s="352"/>
      <c r="AE13" s="390"/>
      <c r="AF13" s="390"/>
      <c r="AG13" s="390"/>
      <c r="AH13" s="390"/>
      <c r="AI13" s="390"/>
      <c r="AJ13" s="390"/>
      <c r="AK13" s="390"/>
      <c r="AL13" s="390"/>
      <c r="AM13" s="390"/>
      <c r="AN13" s="390"/>
      <c r="AO13" s="390"/>
      <c r="AP13" s="390"/>
      <c r="AQ13" s="390"/>
      <c r="AR13" s="390"/>
      <c r="AS13" s="390"/>
      <c r="AT13" s="390"/>
      <c r="AU13" s="390"/>
      <c r="AV13" s="390"/>
      <c r="AW13" s="390"/>
      <c r="AX13" s="390"/>
      <c r="AY13" s="390"/>
      <c r="AZ13" s="390"/>
      <c r="BA13" s="390"/>
      <c r="BB13" s="390"/>
      <c r="BC13" s="390"/>
      <c r="BD13" s="390"/>
      <c r="BE13" s="390"/>
      <c r="BF13" s="390"/>
      <c r="BG13" s="390"/>
      <c r="BH13" s="390"/>
      <c r="BI13" s="390"/>
      <c r="BJ13" s="390"/>
      <c r="BK13" s="390"/>
      <c r="BL13" s="390"/>
      <c r="BM13" s="390"/>
      <c r="BN13" s="390"/>
      <c r="BO13" s="390"/>
      <c r="BP13" s="390"/>
      <c r="BQ13" s="390"/>
      <c r="BR13" s="390"/>
      <c r="BS13" s="390"/>
      <c r="BT13" s="390"/>
      <c r="BU13" s="390"/>
      <c r="BV13" s="390"/>
      <c r="BW13" s="390"/>
      <c r="BX13" s="390"/>
      <c r="BY13" s="390"/>
      <c r="BZ13" s="390"/>
      <c r="CA13" s="390"/>
      <c r="CB13" s="390"/>
      <c r="CC13" s="390"/>
    </row>
    <row r="14" spans="1:81" ht="48" customHeight="1">
      <c r="A14" s="395" t="s">
        <v>41</v>
      </c>
      <c r="B14" s="310" t="s">
        <v>42</v>
      </c>
      <c r="C14" s="310"/>
      <c r="D14" s="395" t="s">
        <v>41</v>
      </c>
      <c r="E14" s="310" t="s">
        <v>43</v>
      </c>
      <c r="F14" s="310"/>
      <c r="G14" s="395" t="s">
        <v>41</v>
      </c>
      <c r="H14" s="308" t="s">
        <v>44</v>
      </c>
      <c r="I14" s="309"/>
      <c r="J14" s="395" t="s">
        <v>41</v>
      </c>
      <c r="K14" s="308" t="s">
        <v>45</v>
      </c>
      <c r="L14" s="309"/>
      <c r="M14" s="395" t="s">
        <v>41</v>
      </c>
      <c r="N14" s="310" t="s">
        <v>46</v>
      </c>
      <c r="O14" s="310"/>
      <c r="P14" s="395" t="s">
        <v>41</v>
      </c>
      <c r="Q14" s="310" t="s">
        <v>47</v>
      </c>
      <c r="R14" s="310"/>
      <c r="S14" s="395" t="s">
        <v>41</v>
      </c>
      <c r="T14" s="322" t="s">
        <v>48</v>
      </c>
      <c r="U14" s="310"/>
      <c r="V14" s="415" t="s">
        <v>41</v>
      </c>
      <c r="W14" s="309" t="s">
        <v>49</v>
      </c>
      <c r="X14" s="309"/>
      <c r="Y14" s="415" t="s">
        <v>41</v>
      </c>
      <c r="Z14" s="357" t="s">
        <v>50</v>
      </c>
      <c r="AA14" s="357"/>
      <c r="AB14" s="395" t="s">
        <v>41</v>
      </c>
      <c r="AC14" s="352" t="s">
        <v>51</v>
      </c>
      <c r="AD14" s="352"/>
      <c r="AE14" s="390"/>
      <c r="AF14" s="390"/>
      <c r="AG14" s="390"/>
      <c r="AH14" s="390"/>
      <c r="AI14" s="390"/>
      <c r="AJ14" s="390"/>
      <c r="AK14" s="390"/>
      <c r="AL14" s="390"/>
      <c r="AM14" s="390"/>
      <c r="AN14" s="390"/>
      <c r="AO14" s="390"/>
      <c r="AP14" s="390"/>
      <c r="AQ14" s="390"/>
      <c r="AR14" s="390"/>
      <c r="AS14" s="390"/>
      <c r="AT14" s="390"/>
      <c r="AU14" s="390"/>
      <c r="AV14" s="390"/>
      <c r="AW14" s="390"/>
      <c r="AX14" s="390"/>
      <c r="AY14" s="390"/>
      <c r="AZ14" s="390"/>
      <c r="BA14" s="390"/>
      <c r="BB14" s="390"/>
      <c r="BC14" s="390"/>
      <c r="BD14" s="390"/>
      <c r="BE14" s="390"/>
      <c r="BF14" s="390"/>
      <c r="BG14" s="390"/>
      <c r="BH14" s="390"/>
      <c r="BI14" s="390"/>
      <c r="BJ14" s="390"/>
      <c r="BK14" s="390"/>
      <c r="BL14" s="390"/>
      <c r="BM14" s="390"/>
      <c r="BN14" s="390"/>
      <c r="BO14" s="390"/>
      <c r="BP14" s="390"/>
      <c r="BQ14" s="390"/>
      <c r="BR14" s="390"/>
      <c r="BS14" s="390"/>
      <c r="BT14" s="390"/>
      <c r="BU14" s="390"/>
      <c r="BV14" s="390"/>
      <c r="BW14" s="390"/>
      <c r="BX14" s="390"/>
      <c r="BY14" s="390"/>
      <c r="BZ14" s="390"/>
      <c r="CA14" s="390"/>
      <c r="CB14" s="390"/>
      <c r="CC14" s="390"/>
    </row>
    <row r="15" spans="1:81" s="50" customFormat="1" ht="24.75" customHeight="1">
      <c r="A15" s="395" t="s">
        <v>1</v>
      </c>
      <c r="B15" s="395" t="s">
        <v>52</v>
      </c>
      <c r="C15" s="395" t="s">
        <v>53</v>
      </c>
      <c r="D15" s="395" t="s">
        <v>1</v>
      </c>
      <c r="E15" s="395" t="s">
        <v>52</v>
      </c>
      <c r="F15" s="395" t="s">
        <v>53</v>
      </c>
      <c r="G15" s="395" t="s">
        <v>1</v>
      </c>
      <c r="H15" s="395" t="s">
        <v>52</v>
      </c>
      <c r="I15" s="395" t="s">
        <v>53</v>
      </c>
      <c r="J15" s="395" t="s">
        <v>1</v>
      </c>
      <c r="K15" s="395" t="s">
        <v>52</v>
      </c>
      <c r="L15" s="395" t="s">
        <v>53</v>
      </c>
      <c r="M15" s="395" t="s">
        <v>1</v>
      </c>
      <c r="N15" s="395" t="s">
        <v>52</v>
      </c>
      <c r="O15" s="395" t="s">
        <v>53</v>
      </c>
      <c r="P15" s="395" t="s">
        <v>1</v>
      </c>
      <c r="Q15" s="395" t="s">
        <v>52</v>
      </c>
      <c r="R15" s="395" t="s">
        <v>53</v>
      </c>
      <c r="S15" s="395" t="s">
        <v>1</v>
      </c>
      <c r="T15" s="395" t="s">
        <v>54</v>
      </c>
      <c r="U15" s="395" t="s">
        <v>53</v>
      </c>
      <c r="V15" s="395"/>
      <c r="W15" s="395" t="s">
        <v>52</v>
      </c>
      <c r="X15" s="428" t="s">
        <v>53</v>
      </c>
      <c r="Y15" s="395" t="s">
        <v>1</v>
      </c>
      <c r="Z15" s="395" t="s">
        <v>52</v>
      </c>
      <c r="AA15" s="395" t="s">
        <v>53</v>
      </c>
      <c r="AB15" s="395" t="s">
        <v>1</v>
      </c>
      <c r="AC15" s="395" t="s">
        <v>52</v>
      </c>
      <c r="AD15" s="395" t="s">
        <v>53</v>
      </c>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1"/>
      <c r="BQ15" s="391"/>
      <c r="BR15" s="391"/>
      <c r="BS15" s="391"/>
      <c r="BT15" s="391"/>
      <c r="BU15" s="391"/>
      <c r="BV15" s="391"/>
      <c r="BW15" s="391"/>
      <c r="BX15" s="391"/>
      <c r="BY15" s="391"/>
      <c r="BZ15" s="391"/>
      <c r="CA15" s="391"/>
      <c r="CB15" s="391"/>
      <c r="CC15" s="391"/>
    </row>
    <row r="16" spans="1:81" s="1" customFormat="1" ht="36" customHeight="1">
      <c r="A16" s="395">
        <v>2020</v>
      </c>
      <c r="B16" s="406">
        <v>75.888888888888886</v>
      </c>
      <c r="C16" s="409"/>
      <c r="D16" s="395">
        <v>2020</v>
      </c>
      <c r="E16" s="396">
        <v>50</v>
      </c>
      <c r="F16" s="419" t="s">
        <v>1998</v>
      </c>
      <c r="G16" s="395">
        <v>2020</v>
      </c>
      <c r="H16" s="396">
        <v>100</v>
      </c>
      <c r="I16" s="404"/>
      <c r="J16" s="395">
        <v>2020</v>
      </c>
      <c r="K16" s="396">
        <v>100</v>
      </c>
      <c r="L16" s="404"/>
      <c r="M16" s="395">
        <v>2020</v>
      </c>
      <c r="N16" s="396">
        <v>100</v>
      </c>
      <c r="O16" s="404"/>
      <c r="P16" s="395">
        <v>2020</v>
      </c>
      <c r="Q16" s="396">
        <v>33</v>
      </c>
      <c r="R16" s="404" t="s">
        <v>1999</v>
      </c>
      <c r="S16" s="395">
        <v>2020</v>
      </c>
      <c r="T16" s="414">
        <v>100</v>
      </c>
      <c r="U16" s="404" t="s">
        <v>2000</v>
      </c>
      <c r="V16" s="395">
        <v>2020</v>
      </c>
      <c r="W16" s="396">
        <v>100</v>
      </c>
      <c r="X16" s="404"/>
      <c r="Y16" s="395">
        <v>2020</v>
      </c>
      <c r="Z16" s="424">
        <v>50</v>
      </c>
      <c r="AA16" s="425" t="s">
        <v>2001</v>
      </c>
      <c r="AB16" s="395">
        <v>2020</v>
      </c>
      <c r="AC16" s="427">
        <v>50</v>
      </c>
      <c r="AD16" s="425" t="s">
        <v>2002</v>
      </c>
      <c r="AE16" s="390"/>
      <c r="AF16" s="390"/>
      <c r="AG16" s="390"/>
      <c r="AH16" s="390"/>
      <c r="AI16" s="390"/>
      <c r="AJ16" s="390"/>
      <c r="AK16" s="390"/>
      <c r="AL16" s="390"/>
      <c r="AM16" s="390"/>
      <c r="AN16" s="390"/>
      <c r="AO16" s="390"/>
      <c r="AP16" s="390"/>
      <c r="AQ16" s="390"/>
      <c r="AR16" s="390"/>
      <c r="AS16" s="390"/>
      <c r="AT16" s="390"/>
      <c r="AU16" s="390"/>
      <c r="AV16" s="390"/>
      <c r="AW16" s="390"/>
      <c r="AX16" s="390"/>
      <c r="AY16" s="390"/>
      <c r="AZ16" s="390"/>
      <c r="BA16" s="390"/>
      <c r="BB16" s="390"/>
      <c r="BC16" s="390"/>
      <c r="BD16" s="390"/>
      <c r="BE16" s="390"/>
      <c r="BF16" s="390"/>
      <c r="BG16" s="390"/>
      <c r="BH16" s="390"/>
      <c r="BI16" s="390"/>
      <c r="BJ16" s="390"/>
      <c r="BK16" s="390"/>
      <c r="BL16" s="390"/>
      <c r="BM16" s="390"/>
      <c r="BN16" s="390"/>
      <c r="BO16" s="390"/>
      <c r="BP16" s="390"/>
      <c r="BQ16" s="390"/>
      <c r="BR16" s="390"/>
      <c r="BS16" s="390"/>
      <c r="BT16" s="390"/>
      <c r="BU16" s="390"/>
      <c r="BV16" s="390"/>
      <c r="BW16" s="390"/>
      <c r="BX16" s="390"/>
      <c r="BY16" s="390"/>
      <c r="BZ16" s="390"/>
      <c r="CA16" s="390"/>
      <c r="CB16" s="390"/>
      <c r="CC16" s="390"/>
    </row>
    <row r="17" spans="1:51" s="1" customFormat="1" ht="14.5">
      <c r="A17" s="395">
        <v>2021</v>
      </c>
      <c r="B17" s="406">
        <v>81.444444444444443</v>
      </c>
      <c r="C17" s="409"/>
      <c r="D17" s="395">
        <v>2021</v>
      </c>
      <c r="E17" s="396">
        <v>50</v>
      </c>
      <c r="F17" s="390"/>
      <c r="G17" s="395">
        <v>2021</v>
      </c>
      <c r="H17" s="396">
        <v>100</v>
      </c>
      <c r="I17" s="404"/>
      <c r="J17" s="395">
        <v>2021</v>
      </c>
      <c r="K17" s="396">
        <v>100</v>
      </c>
      <c r="L17" s="404"/>
      <c r="M17" s="395">
        <v>2021</v>
      </c>
      <c r="N17" s="396">
        <v>100</v>
      </c>
      <c r="O17" s="404"/>
      <c r="P17" s="395">
        <v>2021</v>
      </c>
      <c r="Q17" s="396">
        <v>33</v>
      </c>
      <c r="R17" s="404"/>
      <c r="S17" s="395">
        <v>2021</v>
      </c>
      <c r="T17" s="414">
        <v>100</v>
      </c>
      <c r="U17" s="404"/>
      <c r="V17" s="395">
        <v>2021</v>
      </c>
      <c r="W17" s="396">
        <v>100</v>
      </c>
      <c r="X17" s="404"/>
      <c r="Y17" s="395">
        <v>2021</v>
      </c>
      <c r="Z17" s="424">
        <v>100</v>
      </c>
      <c r="AA17" s="426" t="s">
        <v>2003</v>
      </c>
      <c r="AB17" s="395">
        <v>2021</v>
      </c>
      <c r="AC17" s="427">
        <v>50</v>
      </c>
      <c r="AD17" s="425"/>
      <c r="AE17" s="390"/>
      <c r="AF17" s="390"/>
      <c r="AG17" s="390"/>
      <c r="AH17" s="390"/>
      <c r="AI17" s="390"/>
      <c r="AJ17" s="390"/>
      <c r="AK17" s="390"/>
      <c r="AL17" s="390"/>
      <c r="AM17" s="390"/>
      <c r="AN17" s="390"/>
      <c r="AO17" s="390"/>
      <c r="AP17" s="390"/>
      <c r="AQ17" s="390"/>
      <c r="AR17" s="390"/>
      <c r="AS17" s="390"/>
      <c r="AT17" s="390"/>
      <c r="AU17" s="390"/>
      <c r="AV17" s="390"/>
      <c r="AW17" s="390"/>
      <c r="AX17" s="390"/>
      <c r="AY17" s="390"/>
    </row>
    <row r="18" spans="1:51" s="1" customFormat="1" ht="14.5" customHeight="1">
      <c r="A18" s="395">
        <v>2022</v>
      </c>
      <c r="B18" s="406">
        <v>81.444444444444443</v>
      </c>
      <c r="C18" s="409"/>
      <c r="D18" s="395">
        <v>2022</v>
      </c>
      <c r="E18" s="396">
        <v>50</v>
      </c>
      <c r="F18" s="404"/>
      <c r="G18" s="395">
        <v>2022</v>
      </c>
      <c r="H18" s="396">
        <v>100</v>
      </c>
      <c r="I18" s="404"/>
      <c r="J18" s="395">
        <v>2022</v>
      </c>
      <c r="K18" s="396">
        <v>100</v>
      </c>
      <c r="L18" s="404"/>
      <c r="M18" s="395">
        <v>2022</v>
      </c>
      <c r="N18" s="396">
        <v>100</v>
      </c>
      <c r="O18" s="404"/>
      <c r="P18" s="395">
        <v>2022</v>
      </c>
      <c r="Q18" s="396">
        <v>33</v>
      </c>
      <c r="R18" s="404"/>
      <c r="S18" s="395">
        <v>2022</v>
      </c>
      <c r="T18" s="414">
        <v>100</v>
      </c>
      <c r="U18" s="404"/>
      <c r="V18" s="395">
        <v>2022</v>
      </c>
      <c r="W18" s="396">
        <v>100</v>
      </c>
      <c r="X18" s="404"/>
      <c r="Y18" s="395">
        <v>2022</v>
      </c>
      <c r="Z18" s="424">
        <v>100</v>
      </c>
      <c r="AA18" s="426"/>
      <c r="AB18" s="395">
        <v>2022</v>
      </c>
      <c r="AC18" s="427">
        <v>50</v>
      </c>
      <c r="AD18" s="425"/>
      <c r="AE18" s="390"/>
      <c r="AF18" s="390"/>
      <c r="AG18" s="390"/>
      <c r="AH18" s="390"/>
      <c r="AI18" s="390"/>
      <c r="AJ18" s="390"/>
      <c r="AK18" s="390"/>
      <c r="AL18" s="390"/>
      <c r="AM18" s="390"/>
      <c r="AN18" s="390"/>
      <c r="AO18" s="390"/>
      <c r="AP18" s="390"/>
      <c r="AQ18" s="390"/>
      <c r="AR18" s="390"/>
      <c r="AS18" s="390"/>
      <c r="AT18" s="390"/>
      <c r="AU18" s="390"/>
      <c r="AV18" s="390"/>
      <c r="AW18" s="390"/>
      <c r="AX18" s="390"/>
      <c r="AY18" s="390"/>
    </row>
    <row r="19" spans="1:51" s="1" customFormat="1" ht="22.5" customHeight="1">
      <c r="A19" s="395">
        <v>2023</v>
      </c>
      <c r="B19" s="406">
        <v>81.444444444444443</v>
      </c>
      <c r="C19" s="409"/>
      <c r="D19" s="395">
        <v>2023</v>
      </c>
      <c r="E19" s="396">
        <v>50</v>
      </c>
      <c r="F19" s="404"/>
      <c r="G19" s="395">
        <v>2023</v>
      </c>
      <c r="H19" s="396">
        <v>100</v>
      </c>
      <c r="I19" s="404"/>
      <c r="J19" s="395">
        <v>2023</v>
      </c>
      <c r="K19" s="396">
        <v>100</v>
      </c>
      <c r="L19" s="404"/>
      <c r="M19" s="395">
        <v>2023</v>
      </c>
      <c r="N19" s="396">
        <v>100</v>
      </c>
      <c r="O19" s="404"/>
      <c r="P19" s="395">
        <v>2023</v>
      </c>
      <c r="Q19" s="396">
        <v>33</v>
      </c>
      <c r="R19" s="404"/>
      <c r="S19" s="395">
        <v>2023</v>
      </c>
      <c r="T19" s="414">
        <v>100</v>
      </c>
      <c r="U19" s="404"/>
      <c r="V19" s="395">
        <v>2023</v>
      </c>
      <c r="W19" s="396">
        <v>100</v>
      </c>
      <c r="X19" s="404"/>
      <c r="Y19" s="395">
        <v>2023</v>
      </c>
      <c r="Z19" s="424">
        <v>100</v>
      </c>
      <c r="AA19" s="426"/>
      <c r="AB19" s="395">
        <v>2023</v>
      </c>
      <c r="AC19" s="427">
        <v>50</v>
      </c>
      <c r="AD19" s="425"/>
      <c r="AE19" s="390"/>
      <c r="AF19" s="390"/>
      <c r="AG19" s="390"/>
      <c r="AH19" s="390"/>
      <c r="AI19" s="390"/>
      <c r="AJ19" s="390"/>
      <c r="AK19" s="390"/>
      <c r="AL19" s="390"/>
      <c r="AM19" s="390"/>
      <c r="AN19" s="390"/>
      <c r="AO19" s="390"/>
      <c r="AP19" s="390"/>
      <c r="AQ19" s="390"/>
      <c r="AR19" s="390"/>
      <c r="AS19" s="390"/>
      <c r="AT19" s="390"/>
      <c r="AU19" s="390"/>
      <c r="AV19" s="390"/>
      <c r="AW19" s="390"/>
      <c r="AX19" s="390"/>
      <c r="AY19" s="390"/>
    </row>
    <row r="20" spans="1:51" s="1" customFormat="1" ht="24.75" customHeight="1">
      <c r="A20" s="395">
        <v>2024</v>
      </c>
      <c r="B20" s="406">
        <v>81.444444444444443</v>
      </c>
      <c r="C20" s="409"/>
      <c r="D20" s="395">
        <v>2024</v>
      </c>
      <c r="E20" s="396">
        <v>50</v>
      </c>
      <c r="F20" s="418" t="s">
        <v>2004</v>
      </c>
      <c r="G20" s="395">
        <v>2024</v>
      </c>
      <c r="H20" s="396">
        <v>100</v>
      </c>
      <c r="I20" s="404"/>
      <c r="J20" s="395">
        <v>2024</v>
      </c>
      <c r="K20" s="396">
        <v>100</v>
      </c>
      <c r="L20" s="404"/>
      <c r="M20" s="395">
        <v>2024</v>
      </c>
      <c r="N20" s="396">
        <v>100</v>
      </c>
      <c r="O20" s="420" t="s">
        <v>2005</v>
      </c>
      <c r="P20" s="395">
        <v>2024</v>
      </c>
      <c r="Q20" s="396">
        <v>33</v>
      </c>
      <c r="R20" s="404" t="s">
        <v>2006</v>
      </c>
      <c r="S20" s="395">
        <v>2024</v>
      </c>
      <c r="T20" s="414">
        <v>100</v>
      </c>
      <c r="U20" s="404" t="s">
        <v>2007</v>
      </c>
      <c r="V20" s="395">
        <v>2024</v>
      </c>
      <c r="W20" s="396">
        <v>100</v>
      </c>
      <c r="X20" s="390" t="s">
        <v>2008</v>
      </c>
      <c r="Y20" s="395">
        <v>2024</v>
      </c>
      <c r="Z20" s="424">
        <v>100</v>
      </c>
      <c r="AA20" s="425" t="s">
        <v>2009</v>
      </c>
      <c r="AB20" s="395">
        <v>2024</v>
      </c>
      <c r="AC20" s="427">
        <v>50</v>
      </c>
      <c r="AD20" s="425" t="s">
        <v>2002</v>
      </c>
      <c r="AE20" s="390"/>
      <c r="AF20" s="390"/>
      <c r="AG20" s="390"/>
      <c r="AH20" s="390"/>
      <c r="AI20" s="390"/>
      <c r="AJ20" s="390"/>
      <c r="AK20" s="390"/>
      <c r="AL20" s="390"/>
      <c r="AM20" s="390"/>
      <c r="AN20" s="390"/>
      <c r="AO20" s="390"/>
      <c r="AP20" s="390"/>
      <c r="AQ20" s="390"/>
      <c r="AR20" s="390"/>
      <c r="AS20" s="390"/>
      <c r="AT20" s="390"/>
      <c r="AU20" s="390"/>
      <c r="AV20" s="390"/>
      <c r="AW20" s="390"/>
      <c r="AX20" s="390"/>
      <c r="AY20" s="390"/>
    </row>
    <row r="21" spans="1:51" s="100" customFormat="1" ht="24.75" customHeight="1">
      <c r="A21" s="413"/>
      <c r="B21" s="413"/>
      <c r="C21" s="413"/>
      <c r="D21" s="413"/>
      <c r="E21" s="413"/>
      <c r="F21" s="413"/>
      <c r="G21" s="413"/>
      <c r="H21" s="413"/>
      <c r="I21" s="413"/>
      <c r="J21" s="413"/>
      <c r="K21" s="413"/>
      <c r="L21" s="413"/>
      <c r="M21" s="413"/>
      <c r="N21" s="413"/>
      <c r="O21" s="390"/>
      <c r="P21" s="390"/>
      <c r="Q21" s="390"/>
      <c r="R21" s="390"/>
      <c r="S21" s="390"/>
      <c r="T21" s="390"/>
      <c r="U21" s="390"/>
      <c r="V21" s="390"/>
      <c r="W21" s="390"/>
      <c r="X21" s="390"/>
      <c r="Y21" s="390"/>
      <c r="Z21" s="390"/>
      <c r="AA21" s="390"/>
      <c r="AB21" s="390"/>
      <c r="AC21" s="390"/>
      <c r="AD21" s="390"/>
      <c r="AE21" s="390"/>
      <c r="AF21" s="390"/>
      <c r="AG21" s="390"/>
      <c r="AH21" s="390"/>
      <c r="AI21" s="390"/>
      <c r="AJ21" s="390"/>
      <c r="AK21" s="390"/>
      <c r="AL21" s="390"/>
      <c r="AM21" s="390"/>
      <c r="AN21" s="390"/>
      <c r="AO21" s="390"/>
      <c r="AP21" s="390"/>
      <c r="AQ21" s="390"/>
      <c r="AR21" s="390"/>
      <c r="AS21" s="390"/>
      <c r="AT21" s="390"/>
      <c r="AU21" s="390"/>
      <c r="AV21" s="390"/>
      <c r="AW21" s="390"/>
      <c r="AX21" s="390"/>
      <c r="AY21" s="390"/>
    </row>
    <row r="22" spans="1:51" s="1" customFormat="1" ht="24.75" customHeight="1">
      <c r="A22" s="407"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s="1" customFormat="1" ht="24.75" customHeight="1">
      <c r="A23" s="407" t="s">
        <v>7</v>
      </c>
      <c r="B23" s="318" t="s">
        <v>60</v>
      </c>
      <c r="C23" s="318"/>
      <c r="D23" s="407" t="s">
        <v>7</v>
      </c>
      <c r="E23" s="312" t="s">
        <v>61</v>
      </c>
      <c r="F23" s="312"/>
      <c r="G23" s="407" t="s">
        <v>7</v>
      </c>
      <c r="H23" s="312" t="s">
        <v>62</v>
      </c>
      <c r="I23" s="312"/>
      <c r="J23" s="407" t="s">
        <v>7</v>
      </c>
      <c r="K23" s="313" t="s">
        <v>63</v>
      </c>
      <c r="L23" s="313"/>
      <c r="M23" s="403" t="s">
        <v>7</v>
      </c>
      <c r="N23" s="313"/>
      <c r="O23" s="313"/>
      <c r="P23" s="403" t="s">
        <v>7</v>
      </c>
      <c r="Q23" s="313"/>
      <c r="R23" s="313"/>
      <c r="S23" s="403" t="s">
        <v>7</v>
      </c>
      <c r="T23" s="319" t="s">
        <v>64</v>
      </c>
      <c r="U23" s="319"/>
      <c r="V23" s="407" t="s">
        <v>7</v>
      </c>
      <c r="W23" s="312"/>
      <c r="X23" s="312"/>
      <c r="Y23" s="407" t="s">
        <v>7</v>
      </c>
      <c r="Z23" s="315"/>
      <c r="AA23" s="315"/>
      <c r="AB23" s="410" t="s">
        <v>7</v>
      </c>
      <c r="AC23" s="315"/>
      <c r="AD23" s="315"/>
      <c r="AE23" s="410" t="s">
        <v>7</v>
      </c>
      <c r="AF23" s="315" t="s">
        <v>65</v>
      </c>
      <c r="AG23" s="315"/>
      <c r="AH23" s="407" t="s">
        <v>7</v>
      </c>
      <c r="AI23" s="312"/>
      <c r="AJ23" s="312"/>
      <c r="AK23" s="407" t="s">
        <v>7</v>
      </c>
      <c r="AL23" s="312"/>
      <c r="AM23" s="312"/>
      <c r="AN23" s="407" t="s">
        <v>7</v>
      </c>
      <c r="AO23" s="312" t="s">
        <v>66</v>
      </c>
      <c r="AP23" s="312"/>
      <c r="AQ23" s="407" t="s">
        <v>7</v>
      </c>
      <c r="AR23" s="312" t="s">
        <v>67</v>
      </c>
      <c r="AS23" s="312"/>
      <c r="AT23" s="407" t="s">
        <v>7</v>
      </c>
      <c r="AU23" s="312" t="s">
        <v>68</v>
      </c>
      <c r="AV23" s="312"/>
      <c r="AW23" s="407" t="s">
        <v>7</v>
      </c>
      <c r="AX23" s="312" t="s">
        <v>69</v>
      </c>
      <c r="AY23" s="312"/>
    </row>
    <row r="24" spans="1:51" s="1" customFormat="1" ht="24.75" customHeight="1">
      <c r="A24" s="407" t="s">
        <v>13</v>
      </c>
      <c r="B24" s="395"/>
      <c r="C24" s="395"/>
      <c r="D24" s="407" t="s">
        <v>13</v>
      </c>
      <c r="E24" s="408"/>
      <c r="F24" s="408"/>
      <c r="G24" s="407" t="s">
        <v>13</v>
      </c>
      <c r="H24" s="311"/>
      <c r="I24" s="311"/>
      <c r="J24" s="407" t="s">
        <v>13</v>
      </c>
      <c r="K24" s="307"/>
      <c r="L24" s="307"/>
      <c r="M24" s="403" t="s">
        <v>13</v>
      </c>
      <c r="N24" s="307" t="s">
        <v>70</v>
      </c>
      <c r="O24" s="307"/>
      <c r="P24" s="403" t="s">
        <v>13</v>
      </c>
      <c r="Q24" s="307" t="s">
        <v>71</v>
      </c>
      <c r="R24" s="307"/>
      <c r="S24" s="403" t="s">
        <v>13</v>
      </c>
      <c r="T24" s="313"/>
      <c r="U24" s="313"/>
      <c r="V24" s="407" t="s">
        <v>13</v>
      </c>
      <c r="W24" s="311" t="s">
        <v>72</v>
      </c>
      <c r="X24" s="312"/>
      <c r="Y24" s="407" t="s">
        <v>13</v>
      </c>
      <c r="Z24" s="314" t="s">
        <v>73</v>
      </c>
      <c r="AA24" s="314"/>
      <c r="AB24" s="410" t="s">
        <v>13</v>
      </c>
      <c r="AC24" s="314" t="s">
        <v>74</v>
      </c>
      <c r="AD24" s="315"/>
      <c r="AE24" s="410" t="s">
        <v>13</v>
      </c>
      <c r="AF24" s="316"/>
      <c r="AG24" s="317"/>
      <c r="AH24" s="407" t="s">
        <v>13</v>
      </c>
      <c r="AI24" s="311" t="s">
        <v>75</v>
      </c>
      <c r="AJ24" s="311"/>
      <c r="AK24" s="407" t="s">
        <v>13</v>
      </c>
      <c r="AL24" s="311" t="s">
        <v>76</v>
      </c>
      <c r="AM24" s="312"/>
      <c r="AN24" s="407" t="s">
        <v>13</v>
      </c>
      <c r="AO24" s="312"/>
      <c r="AP24" s="312"/>
      <c r="AQ24" s="407" t="s">
        <v>13</v>
      </c>
      <c r="AR24" s="408"/>
      <c r="AS24" s="408"/>
      <c r="AT24" s="407" t="s">
        <v>13</v>
      </c>
      <c r="AU24" s="408"/>
      <c r="AV24" s="408"/>
      <c r="AW24" s="407" t="s">
        <v>13</v>
      </c>
      <c r="AX24" s="408"/>
      <c r="AY24" s="408"/>
    </row>
    <row r="25" spans="1:51" s="1" customFormat="1" ht="24.75" customHeight="1">
      <c r="A25" s="395" t="s">
        <v>19</v>
      </c>
      <c r="B25" s="322" t="s">
        <v>77</v>
      </c>
      <c r="C25" s="322"/>
      <c r="D25" s="395" t="s">
        <v>19</v>
      </c>
      <c r="E25" s="327" t="s">
        <v>78</v>
      </c>
      <c r="F25" s="327"/>
      <c r="G25" s="395" t="s">
        <v>19</v>
      </c>
      <c r="H25" s="322" t="s">
        <v>79</v>
      </c>
      <c r="I25" s="322"/>
      <c r="J25" s="395" t="s">
        <v>19</v>
      </c>
      <c r="K25" s="327" t="s">
        <v>80</v>
      </c>
      <c r="L25" s="327"/>
      <c r="M25" s="397" t="s">
        <v>19</v>
      </c>
      <c r="N25" s="327" t="s">
        <v>81</v>
      </c>
      <c r="O25" s="327"/>
      <c r="P25" s="397" t="s">
        <v>19</v>
      </c>
      <c r="Q25" s="327" t="s">
        <v>82</v>
      </c>
      <c r="R25" s="327"/>
      <c r="S25" s="397" t="s">
        <v>19</v>
      </c>
      <c r="T25" s="327" t="s">
        <v>83</v>
      </c>
      <c r="U25" s="327"/>
      <c r="V25" s="395" t="s">
        <v>19</v>
      </c>
      <c r="W25" s="322" t="s">
        <v>84</v>
      </c>
      <c r="X25" s="322"/>
      <c r="Y25" s="395" t="s">
        <v>19</v>
      </c>
      <c r="Z25" s="322" t="s">
        <v>85</v>
      </c>
      <c r="AA25" s="322"/>
      <c r="AB25" s="395" t="s">
        <v>19</v>
      </c>
      <c r="AC25" s="322" t="s">
        <v>86</v>
      </c>
      <c r="AD25" s="322"/>
      <c r="AE25" s="395" t="s">
        <v>19</v>
      </c>
      <c r="AF25" s="322" t="s">
        <v>87</v>
      </c>
      <c r="AG25" s="322"/>
      <c r="AH25" s="395" t="s">
        <v>19</v>
      </c>
      <c r="AI25" s="322" t="s">
        <v>88</v>
      </c>
      <c r="AJ25" s="322"/>
      <c r="AK25" s="395" t="s">
        <v>19</v>
      </c>
      <c r="AL25" s="322" t="s">
        <v>89</v>
      </c>
      <c r="AM25" s="322"/>
      <c r="AN25" s="395" t="s">
        <v>19</v>
      </c>
      <c r="AO25" s="322" t="s">
        <v>90</v>
      </c>
      <c r="AP25" s="322"/>
      <c r="AQ25" s="395" t="s">
        <v>19</v>
      </c>
      <c r="AR25" s="322" t="s">
        <v>91</v>
      </c>
      <c r="AS25" s="322"/>
      <c r="AT25" s="395" t="s">
        <v>19</v>
      </c>
      <c r="AU25" s="322" t="s">
        <v>92</v>
      </c>
      <c r="AV25" s="322"/>
      <c r="AW25" s="395" t="s">
        <v>19</v>
      </c>
      <c r="AX25" s="322" t="s">
        <v>93</v>
      </c>
      <c r="AY25" s="322"/>
    </row>
    <row r="26" spans="1:51" s="1" customFormat="1" ht="36" customHeight="1">
      <c r="A26" s="395" t="s">
        <v>30</v>
      </c>
      <c r="B26" s="322" t="s">
        <v>31</v>
      </c>
      <c r="C26" s="322"/>
      <c r="D26" s="395" t="s">
        <v>30</v>
      </c>
      <c r="E26" s="325" t="s">
        <v>94</v>
      </c>
      <c r="F26" s="325"/>
      <c r="G26" s="395" t="s">
        <v>30</v>
      </c>
      <c r="H26" s="310" t="s">
        <v>95</v>
      </c>
      <c r="I26" s="310"/>
      <c r="J26" s="395" t="s">
        <v>30</v>
      </c>
      <c r="K26" s="297" t="s">
        <v>108</v>
      </c>
      <c r="L26" s="298"/>
      <c r="M26" s="397" t="s">
        <v>30</v>
      </c>
      <c r="N26" s="325" t="s">
        <v>96</v>
      </c>
      <c r="O26" s="325"/>
      <c r="P26" s="397" t="s">
        <v>30</v>
      </c>
      <c r="Q26" s="325" t="s">
        <v>97</v>
      </c>
      <c r="R26" s="325"/>
      <c r="S26" s="397" t="s">
        <v>30</v>
      </c>
      <c r="T26" s="298" t="s">
        <v>111</v>
      </c>
      <c r="U26" s="298"/>
      <c r="V26" s="395" t="s">
        <v>30</v>
      </c>
      <c r="W26" s="310" t="s">
        <v>98</v>
      </c>
      <c r="X26" s="310"/>
      <c r="Y26" s="395" t="s">
        <v>30</v>
      </c>
      <c r="Z26" s="310" t="s">
        <v>99</v>
      </c>
      <c r="AA26" s="310"/>
      <c r="AB26" s="395" t="s">
        <v>30</v>
      </c>
      <c r="AC26" s="310" t="s">
        <v>100</v>
      </c>
      <c r="AD26" s="310"/>
      <c r="AE26" s="395" t="s">
        <v>30</v>
      </c>
      <c r="AF26" s="310" t="s">
        <v>87</v>
      </c>
      <c r="AG26" s="310"/>
      <c r="AH26" s="395" t="s">
        <v>30</v>
      </c>
      <c r="AI26" s="310" t="s">
        <v>101</v>
      </c>
      <c r="AJ26" s="310"/>
      <c r="AK26" s="395" t="s">
        <v>30</v>
      </c>
      <c r="AL26" s="310" t="s">
        <v>102</v>
      </c>
      <c r="AM26" s="310"/>
      <c r="AN26" s="395" t="s">
        <v>30</v>
      </c>
      <c r="AO26" s="310" t="s">
        <v>90</v>
      </c>
      <c r="AP26" s="310"/>
      <c r="AQ26" s="395" t="s">
        <v>30</v>
      </c>
      <c r="AR26" s="310" t="s">
        <v>103</v>
      </c>
      <c r="AS26" s="310"/>
      <c r="AT26" s="395" t="s">
        <v>30</v>
      </c>
      <c r="AU26" s="310" t="s">
        <v>104</v>
      </c>
      <c r="AV26" s="310"/>
      <c r="AW26" s="395" t="s">
        <v>30</v>
      </c>
      <c r="AX26" s="310" t="s">
        <v>105</v>
      </c>
      <c r="AY26" s="310"/>
    </row>
    <row r="27" spans="1:51" s="1" customFormat="1" ht="25" customHeight="1">
      <c r="A27" s="395" t="s">
        <v>41</v>
      </c>
      <c r="B27" s="310" t="s">
        <v>42</v>
      </c>
      <c r="C27" s="310"/>
      <c r="D27" s="395" t="s">
        <v>41</v>
      </c>
      <c r="E27" s="325" t="s">
        <v>106</v>
      </c>
      <c r="F27" s="325"/>
      <c r="G27" s="395" t="s">
        <v>41</v>
      </c>
      <c r="H27" s="310" t="s">
        <v>107</v>
      </c>
      <c r="I27" s="310"/>
      <c r="J27" s="395" t="s">
        <v>41</v>
      </c>
      <c r="K27" s="329" t="s">
        <v>429</v>
      </c>
      <c r="L27" s="325"/>
      <c r="M27" s="397" t="s">
        <v>41</v>
      </c>
      <c r="N27" s="325" t="s">
        <v>109</v>
      </c>
      <c r="O27" s="325"/>
      <c r="P27" s="397" t="s">
        <v>41</v>
      </c>
      <c r="Q27" s="325" t="s">
        <v>110</v>
      </c>
      <c r="R27" s="325"/>
      <c r="S27" s="397" t="s">
        <v>41</v>
      </c>
      <c r="T27" s="329" t="s">
        <v>429</v>
      </c>
      <c r="U27" s="325"/>
      <c r="V27" s="395" t="s">
        <v>41</v>
      </c>
      <c r="W27" s="310" t="s">
        <v>112</v>
      </c>
      <c r="X27" s="310"/>
      <c r="Y27" s="395" t="s">
        <v>41</v>
      </c>
      <c r="Z27" s="310" t="s">
        <v>113</v>
      </c>
      <c r="AA27" s="310"/>
      <c r="AB27" s="395" t="s">
        <v>41</v>
      </c>
      <c r="AC27" s="310" t="s">
        <v>114</v>
      </c>
      <c r="AD27" s="310"/>
      <c r="AE27" s="395" t="s">
        <v>41</v>
      </c>
      <c r="AF27" s="310" t="s">
        <v>42</v>
      </c>
      <c r="AG27" s="310"/>
      <c r="AH27" s="395" t="s">
        <v>41</v>
      </c>
      <c r="AI27" s="310" t="s">
        <v>115</v>
      </c>
      <c r="AJ27" s="310"/>
      <c r="AK27" s="395" t="s">
        <v>41</v>
      </c>
      <c r="AL27" s="310" t="s">
        <v>116</v>
      </c>
      <c r="AM27" s="310"/>
      <c r="AN27" s="395" t="s">
        <v>41</v>
      </c>
      <c r="AO27" s="310" t="s">
        <v>117</v>
      </c>
      <c r="AP27" s="310"/>
      <c r="AQ27" s="395" t="s">
        <v>41</v>
      </c>
      <c r="AR27" s="310" t="s">
        <v>118</v>
      </c>
      <c r="AS27" s="310"/>
      <c r="AT27" s="395" t="s">
        <v>41</v>
      </c>
      <c r="AU27" s="310" t="s">
        <v>119</v>
      </c>
      <c r="AV27" s="310"/>
      <c r="AW27" s="395" t="s">
        <v>41</v>
      </c>
      <c r="AX27" s="310" t="s">
        <v>120</v>
      </c>
      <c r="AY27" s="310"/>
    </row>
    <row r="28" spans="1:51" s="1" customFormat="1" ht="24.75" customHeight="1">
      <c r="A28" s="395" t="s">
        <v>1</v>
      </c>
      <c r="B28" s="395" t="s">
        <v>52</v>
      </c>
      <c r="C28" s="395" t="s">
        <v>53</v>
      </c>
      <c r="D28" s="395" t="s">
        <v>121</v>
      </c>
      <c r="E28" s="395" t="s">
        <v>54</v>
      </c>
      <c r="F28" s="408" t="s">
        <v>122</v>
      </c>
      <c r="G28" s="395" t="s">
        <v>1</v>
      </c>
      <c r="H28" s="395" t="s">
        <v>52</v>
      </c>
      <c r="I28" s="395" t="s">
        <v>123</v>
      </c>
      <c r="J28" s="395" t="s">
        <v>1</v>
      </c>
      <c r="K28" s="395" t="s">
        <v>52</v>
      </c>
      <c r="L28" s="395" t="s">
        <v>123</v>
      </c>
      <c r="M28" s="395" t="s">
        <v>1</v>
      </c>
      <c r="N28" s="395" t="s">
        <v>52</v>
      </c>
      <c r="O28" s="395" t="s">
        <v>123</v>
      </c>
      <c r="P28" s="395" t="s">
        <v>1</v>
      </c>
      <c r="Q28" s="395" t="s">
        <v>52</v>
      </c>
      <c r="R28" s="395" t="s">
        <v>123</v>
      </c>
      <c r="S28" s="395" t="s">
        <v>121</v>
      </c>
      <c r="T28" s="395" t="s">
        <v>54</v>
      </c>
      <c r="U28" s="395" t="s">
        <v>124</v>
      </c>
      <c r="V28" s="395" t="s">
        <v>121</v>
      </c>
      <c r="W28" s="395" t="s">
        <v>54</v>
      </c>
      <c r="X28" s="395" t="s">
        <v>124</v>
      </c>
      <c r="Y28" s="395" t="s">
        <v>121</v>
      </c>
      <c r="Z28" s="395" t="s">
        <v>54</v>
      </c>
      <c r="AA28" s="395" t="s">
        <v>124</v>
      </c>
      <c r="AB28" s="395" t="s">
        <v>121</v>
      </c>
      <c r="AC28" s="395" t="s">
        <v>54</v>
      </c>
      <c r="AD28" s="395" t="s">
        <v>124</v>
      </c>
      <c r="AE28" s="395" t="s">
        <v>121</v>
      </c>
      <c r="AF28" s="395" t="s">
        <v>54</v>
      </c>
      <c r="AG28" s="395" t="s">
        <v>124</v>
      </c>
      <c r="AH28" s="395" t="s">
        <v>121</v>
      </c>
      <c r="AI28" s="395" t="s">
        <v>54</v>
      </c>
      <c r="AJ28" s="395" t="s">
        <v>124</v>
      </c>
      <c r="AK28" s="395" t="s">
        <v>1</v>
      </c>
      <c r="AL28" s="395" t="s">
        <v>54</v>
      </c>
      <c r="AM28" s="395" t="s">
        <v>123</v>
      </c>
      <c r="AN28" s="395" t="s">
        <v>1</v>
      </c>
      <c r="AO28" s="395" t="s">
        <v>52</v>
      </c>
      <c r="AP28" s="395" t="s">
        <v>123</v>
      </c>
      <c r="AQ28" s="395" t="s">
        <v>1</v>
      </c>
      <c r="AR28" s="395" t="s">
        <v>52</v>
      </c>
      <c r="AS28" s="395" t="s">
        <v>123</v>
      </c>
      <c r="AT28" s="395" t="s">
        <v>1</v>
      </c>
      <c r="AU28" s="395" t="s">
        <v>52</v>
      </c>
      <c r="AV28" s="395" t="s">
        <v>123</v>
      </c>
      <c r="AW28" s="395" t="s">
        <v>1</v>
      </c>
      <c r="AX28" s="395" t="s">
        <v>52</v>
      </c>
      <c r="AY28" s="395" t="s">
        <v>123</v>
      </c>
    </row>
    <row r="29" spans="1:51" s="1" customFormat="1" ht="29.5" customHeight="1">
      <c r="A29" s="395">
        <v>2020</v>
      </c>
      <c r="B29" s="406">
        <v>90.722222222222229</v>
      </c>
      <c r="C29" s="409"/>
      <c r="D29" s="395">
        <v>2020</v>
      </c>
      <c r="E29" s="394">
        <v>100</v>
      </c>
      <c r="F29" s="404"/>
      <c r="G29" s="395">
        <v>2020</v>
      </c>
      <c r="H29" s="424">
        <v>50</v>
      </c>
      <c r="I29" s="425" t="s">
        <v>2010</v>
      </c>
      <c r="J29" s="395">
        <v>2020</v>
      </c>
      <c r="K29" s="396">
        <v>100</v>
      </c>
      <c r="L29" s="404"/>
      <c r="M29" s="395">
        <v>2020</v>
      </c>
      <c r="N29" s="396">
        <v>100</v>
      </c>
      <c r="O29" s="404" t="s">
        <v>2011</v>
      </c>
      <c r="P29" s="395">
        <v>2020</v>
      </c>
      <c r="Q29" s="396">
        <v>100</v>
      </c>
      <c r="R29" s="404" t="s">
        <v>2012</v>
      </c>
      <c r="S29" s="395">
        <v>2020</v>
      </c>
      <c r="T29" s="396">
        <v>100</v>
      </c>
      <c r="U29" s="404"/>
      <c r="V29" s="395">
        <v>2020</v>
      </c>
      <c r="W29" s="396">
        <v>100</v>
      </c>
      <c r="X29" s="390" t="s">
        <v>2013</v>
      </c>
      <c r="Y29" s="395">
        <v>2020</v>
      </c>
      <c r="Z29" s="396">
        <v>100</v>
      </c>
      <c r="AA29" s="404"/>
      <c r="AB29" s="395">
        <v>2020</v>
      </c>
      <c r="AC29" s="396">
        <v>100</v>
      </c>
      <c r="AD29" s="421" t="s">
        <v>2014</v>
      </c>
      <c r="AE29" s="395">
        <v>2020</v>
      </c>
      <c r="AF29" s="405">
        <v>66.5</v>
      </c>
      <c r="AG29" s="404"/>
      <c r="AH29" s="395">
        <v>2020</v>
      </c>
      <c r="AI29" s="396">
        <v>50</v>
      </c>
      <c r="AJ29" s="404" t="s">
        <v>2015</v>
      </c>
      <c r="AK29" s="395">
        <v>2020</v>
      </c>
      <c r="AL29" s="396">
        <v>100</v>
      </c>
      <c r="AM29" s="404"/>
      <c r="AN29" s="395">
        <v>2020</v>
      </c>
      <c r="AO29" s="396">
        <v>100</v>
      </c>
      <c r="AP29" s="404"/>
      <c r="AQ29" s="395">
        <v>2020</v>
      </c>
      <c r="AR29" s="396">
        <v>100</v>
      </c>
      <c r="AS29" s="404"/>
      <c r="AT29" s="395">
        <v>2020</v>
      </c>
      <c r="AU29" s="396">
        <v>100</v>
      </c>
      <c r="AV29" s="404"/>
      <c r="AW29" s="395">
        <v>2020</v>
      </c>
      <c r="AX29" s="396">
        <v>100</v>
      </c>
      <c r="AY29" s="393" t="s">
        <v>2016</v>
      </c>
    </row>
    <row r="30" spans="1:51" s="1" customFormat="1" ht="21" customHeight="1">
      <c r="A30" s="395">
        <v>2021</v>
      </c>
      <c r="B30" s="406">
        <v>90.722222222222229</v>
      </c>
      <c r="C30" s="406"/>
      <c r="D30" s="395">
        <v>2021</v>
      </c>
      <c r="E30" s="394">
        <v>100</v>
      </c>
      <c r="F30" s="404"/>
      <c r="G30" s="395">
        <v>2021</v>
      </c>
      <c r="H30" s="424">
        <v>50</v>
      </c>
      <c r="I30" s="426"/>
      <c r="J30" s="395">
        <v>2021</v>
      </c>
      <c r="K30" s="396">
        <v>100</v>
      </c>
      <c r="L30" s="404"/>
      <c r="M30" s="395">
        <v>2021</v>
      </c>
      <c r="N30" s="396">
        <v>100</v>
      </c>
      <c r="O30" s="404"/>
      <c r="P30" s="395">
        <v>2021</v>
      </c>
      <c r="Q30" s="396">
        <v>100</v>
      </c>
      <c r="R30" s="404"/>
      <c r="S30" s="395">
        <v>2021</v>
      </c>
      <c r="T30" s="396">
        <v>100</v>
      </c>
      <c r="U30" s="404"/>
      <c r="V30" s="395">
        <v>2021</v>
      </c>
      <c r="W30" s="396">
        <v>100</v>
      </c>
      <c r="X30" s="404"/>
      <c r="Y30" s="395">
        <v>2021</v>
      </c>
      <c r="Z30" s="396">
        <v>100</v>
      </c>
      <c r="AA30" s="404"/>
      <c r="AB30" s="395">
        <v>2021</v>
      </c>
      <c r="AC30" s="396">
        <v>100</v>
      </c>
      <c r="AD30" s="404"/>
      <c r="AE30" s="395">
        <v>2021</v>
      </c>
      <c r="AF30" s="405">
        <v>66.5</v>
      </c>
      <c r="AG30" s="404"/>
      <c r="AH30" s="395">
        <v>2021</v>
      </c>
      <c r="AI30" s="396">
        <v>50</v>
      </c>
      <c r="AJ30" s="404"/>
      <c r="AK30" s="395">
        <v>2021</v>
      </c>
      <c r="AL30" s="396">
        <v>100</v>
      </c>
      <c r="AM30" s="404"/>
      <c r="AN30" s="395">
        <v>2021</v>
      </c>
      <c r="AO30" s="396">
        <v>100</v>
      </c>
      <c r="AP30" s="404"/>
      <c r="AQ30" s="395">
        <v>2021</v>
      </c>
      <c r="AR30" s="396">
        <v>100</v>
      </c>
      <c r="AS30" s="404"/>
      <c r="AT30" s="395">
        <v>2021</v>
      </c>
      <c r="AU30" s="396">
        <v>100</v>
      </c>
      <c r="AV30" s="404"/>
      <c r="AW30" s="395">
        <v>2021</v>
      </c>
      <c r="AX30" s="396">
        <v>100</v>
      </c>
      <c r="AY30" s="393"/>
    </row>
    <row r="31" spans="1:51" s="1" customFormat="1" ht="24.75" customHeight="1">
      <c r="A31" s="395">
        <v>2022</v>
      </c>
      <c r="B31" s="406">
        <v>90.722222222222229</v>
      </c>
      <c r="C31" s="406"/>
      <c r="D31" s="395">
        <v>2022</v>
      </c>
      <c r="E31" s="394">
        <v>100</v>
      </c>
      <c r="F31" s="404"/>
      <c r="G31" s="395">
        <v>2022</v>
      </c>
      <c r="H31" s="424">
        <v>50</v>
      </c>
      <c r="I31" s="426"/>
      <c r="J31" s="395">
        <v>2022</v>
      </c>
      <c r="K31" s="396">
        <v>100</v>
      </c>
      <c r="L31" s="404"/>
      <c r="M31" s="395">
        <v>2022</v>
      </c>
      <c r="N31" s="396">
        <v>100</v>
      </c>
      <c r="O31" s="404"/>
      <c r="P31" s="395">
        <v>2022</v>
      </c>
      <c r="Q31" s="396">
        <v>100</v>
      </c>
      <c r="R31" s="404"/>
      <c r="S31" s="395">
        <v>2022</v>
      </c>
      <c r="T31" s="396">
        <v>100</v>
      </c>
      <c r="U31" s="404"/>
      <c r="V31" s="395">
        <v>2022</v>
      </c>
      <c r="W31" s="396">
        <v>100</v>
      </c>
      <c r="X31" s="404"/>
      <c r="Y31" s="395">
        <v>2022</v>
      </c>
      <c r="Z31" s="396">
        <v>100</v>
      </c>
      <c r="AA31" s="404"/>
      <c r="AB31" s="395">
        <v>2022</v>
      </c>
      <c r="AC31" s="396">
        <v>100</v>
      </c>
      <c r="AD31" s="404"/>
      <c r="AE31" s="395">
        <v>2022</v>
      </c>
      <c r="AF31" s="405">
        <v>66.5</v>
      </c>
      <c r="AG31" s="404"/>
      <c r="AH31" s="395">
        <v>2022</v>
      </c>
      <c r="AI31" s="396">
        <v>50</v>
      </c>
      <c r="AJ31" s="404"/>
      <c r="AK31" s="395">
        <v>2022</v>
      </c>
      <c r="AL31" s="396">
        <v>100</v>
      </c>
      <c r="AM31" s="404"/>
      <c r="AN31" s="395">
        <v>2022</v>
      </c>
      <c r="AO31" s="396">
        <v>100</v>
      </c>
      <c r="AP31" s="404"/>
      <c r="AQ31" s="395">
        <v>2022</v>
      </c>
      <c r="AR31" s="396">
        <v>100</v>
      </c>
      <c r="AS31" s="404"/>
      <c r="AT31" s="395">
        <v>2022</v>
      </c>
      <c r="AU31" s="396">
        <v>100</v>
      </c>
      <c r="AV31" s="404"/>
      <c r="AW31" s="395">
        <v>2022</v>
      </c>
      <c r="AX31" s="396">
        <v>100</v>
      </c>
      <c r="AY31" s="393"/>
    </row>
    <row r="32" spans="1:51" s="1" customFormat="1" ht="24.75" customHeight="1">
      <c r="A32" s="395">
        <v>2023</v>
      </c>
      <c r="B32" s="406">
        <v>90.722222222222229</v>
      </c>
      <c r="C32" s="406"/>
      <c r="D32" s="395">
        <v>2023</v>
      </c>
      <c r="E32" s="394">
        <v>100</v>
      </c>
      <c r="F32" s="404"/>
      <c r="G32" s="395">
        <v>2023</v>
      </c>
      <c r="H32" s="424">
        <v>50</v>
      </c>
      <c r="I32" s="426"/>
      <c r="J32" s="395">
        <v>2023</v>
      </c>
      <c r="K32" s="396">
        <v>100</v>
      </c>
      <c r="L32" s="404"/>
      <c r="M32" s="395">
        <v>2023</v>
      </c>
      <c r="N32" s="396">
        <v>100</v>
      </c>
      <c r="O32" s="404"/>
      <c r="P32" s="395">
        <v>2023</v>
      </c>
      <c r="Q32" s="396">
        <v>100</v>
      </c>
      <c r="R32" s="404"/>
      <c r="S32" s="395">
        <v>2023</v>
      </c>
      <c r="T32" s="396">
        <v>100</v>
      </c>
      <c r="U32" s="404"/>
      <c r="V32" s="395">
        <v>2023</v>
      </c>
      <c r="W32" s="396">
        <v>100</v>
      </c>
      <c r="X32" s="404"/>
      <c r="Y32" s="395">
        <v>2023</v>
      </c>
      <c r="Z32" s="396">
        <v>100</v>
      </c>
      <c r="AA32" s="404"/>
      <c r="AB32" s="395">
        <v>2023</v>
      </c>
      <c r="AC32" s="396">
        <v>100</v>
      </c>
      <c r="AD32" s="404"/>
      <c r="AE32" s="395">
        <v>2023</v>
      </c>
      <c r="AF32" s="405">
        <v>66.5</v>
      </c>
      <c r="AG32" s="404"/>
      <c r="AH32" s="395">
        <v>2023</v>
      </c>
      <c r="AI32" s="396">
        <v>50</v>
      </c>
      <c r="AJ32" s="404"/>
      <c r="AK32" s="395">
        <v>2023</v>
      </c>
      <c r="AL32" s="396">
        <v>100</v>
      </c>
      <c r="AM32" s="404"/>
      <c r="AN32" s="395">
        <v>2023</v>
      </c>
      <c r="AO32" s="396">
        <v>100</v>
      </c>
      <c r="AP32" s="404"/>
      <c r="AQ32" s="395">
        <v>2023</v>
      </c>
      <c r="AR32" s="396">
        <v>100</v>
      </c>
      <c r="AS32" s="404"/>
      <c r="AT32" s="395">
        <v>2023</v>
      </c>
      <c r="AU32" s="396">
        <v>100</v>
      </c>
      <c r="AV32" s="404"/>
      <c r="AW32" s="395">
        <v>2023</v>
      </c>
      <c r="AX32" s="396">
        <v>100</v>
      </c>
      <c r="AY32" s="393"/>
    </row>
    <row r="33" spans="1:51" s="1" customFormat="1" ht="24.75" customHeight="1">
      <c r="A33" s="395">
        <v>2024</v>
      </c>
      <c r="B33" s="406">
        <v>90.722222222222229</v>
      </c>
      <c r="C33" s="406"/>
      <c r="D33" s="395">
        <v>2024</v>
      </c>
      <c r="E33" s="394">
        <v>100</v>
      </c>
      <c r="F33" s="404"/>
      <c r="G33" s="395">
        <v>2024</v>
      </c>
      <c r="H33" s="424">
        <v>50</v>
      </c>
      <c r="I33" s="425" t="s">
        <v>2017</v>
      </c>
      <c r="J33" s="395">
        <v>2024</v>
      </c>
      <c r="K33" s="396">
        <v>100</v>
      </c>
      <c r="L33" s="404"/>
      <c r="M33" s="395">
        <v>2024</v>
      </c>
      <c r="N33" s="396">
        <v>100</v>
      </c>
      <c r="O33" s="404" t="s">
        <v>2011</v>
      </c>
      <c r="P33" s="395">
        <v>2024</v>
      </c>
      <c r="Q33" s="396">
        <v>100</v>
      </c>
      <c r="R33" s="404" t="s">
        <v>2012</v>
      </c>
      <c r="S33" s="395">
        <v>2024</v>
      </c>
      <c r="T33" s="396">
        <v>100</v>
      </c>
      <c r="U33" s="404"/>
      <c r="V33" s="395">
        <v>2024</v>
      </c>
      <c r="W33" s="396">
        <v>100</v>
      </c>
      <c r="X33" s="404" t="s">
        <v>2013</v>
      </c>
      <c r="Y33" s="395">
        <v>2024</v>
      </c>
      <c r="Z33" s="396">
        <v>100</v>
      </c>
      <c r="AA33" s="404"/>
      <c r="AB33" s="395">
        <v>2024</v>
      </c>
      <c r="AC33" s="396">
        <v>100</v>
      </c>
      <c r="AD33" s="421" t="s">
        <v>2014</v>
      </c>
      <c r="AE33" s="395">
        <v>2024</v>
      </c>
      <c r="AF33" s="405">
        <v>66.5</v>
      </c>
      <c r="AG33" s="404"/>
      <c r="AH33" s="395">
        <v>2024</v>
      </c>
      <c r="AI33" s="396">
        <v>50</v>
      </c>
      <c r="AJ33" s="404" t="s">
        <v>2015</v>
      </c>
      <c r="AK33" s="395">
        <v>2024</v>
      </c>
      <c r="AL33" s="396">
        <v>100</v>
      </c>
      <c r="AM33" s="404"/>
      <c r="AN33" s="395">
        <v>2024</v>
      </c>
      <c r="AO33" s="396">
        <v>100</v>
      </c>
      <c r="AP33" s="404"/>
      <c r="AQ33" s="395">
        <v>2024</v>
      </c>
      <c r="AR33" s="396">
        <v>100</v>
      </c>
      <c r="AS33" s="404"/>
      <c r="AT33" s="395">
        <v>2024</v>
      </c>
      <c r="AU33" s="396">
        <v>100</v>
      </c>
      <c r="AV33" s="404"/>
      <c r="AW33" s="395">
        <v>2024</v>
      </c>
      <c r="AX33" s="396">
        <v>100</v>
      </c>
      <c r="AY33" s="393" t="s">
        <v>2016</v>
      </c>
    </row>
    <row r="34" spans="1:51" s="1" customFormat="1" ht="24.75" customHeight="1">
      <c r="A34" s="413"/>
      <c r="B34" s="413"/>
      <c r="C34" s="413"/>
      <c r="D34" s="413"/>
      <c r="E34" s="413"/>
      <c r="F34" s="413"/>
      <c r="G34" s="413"/>
      <c r="H34" s="413"/>
      <c r="I34" s="413"/>
      <c r="J34" s="413"/>
      <c r="K34" s="413"/>
      <c r="L34" s="413"/>
      <c r="M34" s="413"/>
      <c r="N34" s="413"/>
      <c r="O34" s="390"/>
      <c r="P34" s="390"/>
      <c r="Q34" s="390"/>
      <c r="R34" s="390"/>
      <c r="S34" s="390"/>
      <c r="T34" s="390"/>
      <c r="U34" s="390"/>
      <c r="V34" s="390"/>
      <c r="W34" s="390"/>
      <c r="X34" s="390"/>
      <c r="Y34" s="390"/>
      <c r="Z34" s="390"/>
      <c r="AA34" s="390"/>
      <c r="AB34" s="390"/>
      <c r="AC34" s="390"/>
      <c r="AD34" s="412"/>
      <c r="AE34" s="390"/>
      <c r="AF34" s="390"/>
      <c r="AG34" s="390"/>
      <c r="AH34" s="390"/>
      <c r="AI34" s="390"/>
      <c r="AJ34" s="390"/>
      <c r="AK34" s="390"/>
      <c r="AL34" s="390"/>
      <c r="AM34" s="390"/>
      <c r="AN34" s="390"/>
      <c r="AO34" s="390"/>
      <c r="AP34" s="390"/>
      <c r="AQ34" s="390"/>
      <c r="AR34" s="390"/>
      <c r="AS34" s="390"/>
      <c r="AT34" s="390"/>
      <c r="AU34" s="390"/>
      <c r="AV34" s="390"/>
      <c r="AW34" s="390"/>
      <c r="AX34" s="390"/>
      <c r="AY34" s="390"/>
    </row>
    <row r="35" spans="1:51" s="1" customFormat="1" ht="24.75" customHeight="1">
      <c r="A35" s="407"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c r="AN35" s="390"/>
      <c r="AO35" s="390"/>
      <c r="AP35" s="390"/>
      <c r="AQ35" s="390"/>
      <c r="AR35" s="390"/>
      <c r="AS35" s="390"/>
      <c r="AT35" s="390"/>
      <c r="AU35" s="390"/>
      <c r="AV35" s="390"/>
      <c r="AW35" s="390"/>
      <c r="AX35" s="390"/>
      <c r="AY35" s="390"/>
    </row>
    <row r="36" spans="1:51" s="1" customFormat="1" ht="24.75" customHeight="1">
      <c r="A36" s="407" t="s">
        <v>7</v>
      </c>
      <c r="B36" s="318" t="s">
        <v>128</v>
      </c>
      <c r="C36" s="318"/>
      <c r="D36" s="407" t="s">
        <v>7</v>
      </c>
      <c r="E36" s="312" t="s">
        <v>129</v>
      </c>
      <c r="F36" s="312"/>
      <c r="G36" s="407" t="s">
        <v>7</v>
      </c>
      <c r="H36" s="312" t="s">
        <v>130</v>
      </c>
      <c r="I36" s="312"/>
      <c r="J36" s="407" t="s">
        <v>7</v>
      </c>
      <c r="K36" s="312" t="s">
        <v>131</v>
      </c>
      <c r="L36" s="312"/>
      <c r="M36" s="407" t="s">
        <v>7</v>
      </c>
      <c r="N36" s="312" t="s">
        <v>132</v>
      </c>
      <c r="O36" s="312"/>
      <c r="P36" s="407" t="s">
        <v>7</v>
      </c>
      <c r="Q36" s="312"/>
      <c r="R36" s="312"/>
      <c r="S36" s="407" t="s">
        <v>7</v>
      </c>
      <c r="T36" s="318"/>
      <c r="U36" s="318"/>
      <c r="V36" s="407" t="s">
        <v>7</v>
      </c>
      <c r="W36" s="312"/>
      <c r="X36" s="312"/>
      <c r="Y36" s="407" t="s">
        <v>7</v>
      </c>
      <c r="Z36" s="315" t="s">
        <v>133</v>
      </c>
      <c r="AA36" s="315"/>
      <c r="AB36" s="410" t="s">
        <v>7</v>
      </c>
      <c r="AC36" s="315" t="s">
        <v>134</v>
      </c>
      <c r="AD36" s="315"/>
      <c r="AE36" s="407" t="s">
        <v>7</v>
      </c>
      <c r="AF36" s="312" t="s">
        <v>135</v>
      </c>
      <c r="AG36" s="312"/>
      <c r="AH36" s="407" t="s">
        <v>7</v>
      </c>
      <c r="AI36" s="312"/>
      <c r="AJ36" s="312"/>
      <c r="AK36" s="407" t="s">
        <v>7</v>
      </c>
      <c r="AL36" s="312"/>
      <c r="AM36" s="312"/>
      <c r="AN36" s="390"/>
      <c r="AO36" s="390"/>
      <c r="AP36" s="390"/>
      <c r="AQ36" s="390"/>
      <c r="AR36" s="390"/>
      <c r="AS36" s="390"/>
      <c r="AT36" s="390"/>
      <c r="AU36" s="390"/>
      <c r="AV36" s="390"/>
      <c r="AW36" s="390"/>
      <c r="AX36" s="390"/>
      <c r="AY36" s="390"/>
    </row>
    <row r="37" spans="1:51" s="1" customFormat="1" ht="24.75" customHeight="1">
      <c r="A37" s="407" t="s">
        <v>13</v>
      </c>
      <c r="B37" s="395"/>
      <c r="C37" s="395"/>
      <c r="D37" s="407" t="s">
        <v>13</v>
      </c>
      <c r="E37" s="408"/>
      <c r="F37" s="408"/>
      <c r="G37" s="407" t="s">
        <v>13</v>
      </c>
      <c r="H37" s="311"/>
      <c r="I37" s="311"/>
      <c r="J37" s="407" t="s">
        <v>13</v>
      </c>
      <c r="K37" s="311"/>
      <c r="L37" s="311"/>
      <c r="M37" s="407" t="s">
        <v>13</v>
      </c>
      <c r="N37" s="311"/>
      <c r="O37" s="311"/>
      <c r="P37" s="407" t="s">
        <v>13</v>
      </c>
      <c r="Q37" s="311" t="s">
        <v>136</v>
      </c>
      <c r="R37" s="311"/>
      <c r="S37" s="407" t="s">
        <v>13</v>
      </c>
      <c r="T37" s="311" t="s">
        <v>137</v>
      </c>
      <c r="U37" s="312"/>
      <c r="V37" s="407" t="s">
        <v>13</v>
      </c>
      <c r="W37" s="311" t="s">
        <v>138</v>
      </c>
      <c r="X37" s="312"/>
      <c r="Y37" s="407" t="s">
        <v>13</v>
      </c>
      <c r="Z37" s="411"/>
      <c r="AA37" s="411"/>
      <c r="AB37" s="410" t="s">
        <v>13</v>
      </c>
      <c r="AC37" s="316"/>
      <c r="AD37" s="317"/>
      <c r="AE37" s="407" t="s">
        <v>13</v>
      </c>
      <c r="AF37" s="408"/>
      <c r="AG37" s="408"/>
      <c r="AH37" s="407" t="s">
        <v>13</v>
      </c>
      <c r="AI37" s="311" t="s">
        <v>139</v>
      </c>
      <c r="AJ37" s="312"/>
      <c r="AK37" s="407" t="s">
        <v>13</v>
      </c>
      <c r="AL37" s="311" t="s">
        <v>140</v>
      </c>
      <c r="AM37" s="311"/>
      <c r="AN37" s="390"/>
      <c r="AO37" s="390"/>
      <c r="AP37" s="390"/>
      <c r="AQ37" s="390"/>
      <c r="AR37" s="390"/>
      <c r="AS37" s="390"/>
      <c r="AT37" s="390"/>
      <c r="AU37" s="390"/>
      <c r="AV37" s="390"/>
      <c r="AW37" s="390"/>
      <c r="AX37" s="390"/>
      <c r="AY37" s="390"/>
    </row>
    <row r="38" spans="1:51" s="1" customFormat="1" ht="24.75" customHeight="1">
      <c r="A38" s="395" t="s">
        <v>19</v>
      </c>
      <c r="B38" s="322" t="s">
        <v>141</v>
      </c>
      <c r="C38" s="322"/>
      <c r="D38" s="395" t="s">
        <v>19</v>
      </c>
      <c r="E38" s="322" t="s">
        <v>142</v>
      </c>
      <c r="F38" s="322"/>
      <c r="G38" s="395" t="s">
        <v>19</v>
      </c>
      <c r="H38" s="351" t="s">
        <v>143</v>
      </c>
      <c r="I38" s="351"/>
      <c r="J38" s="395" t="s">
        <v>19</v>
      </c>
      <c r="K38" s="322" t="s">
        <v>144</v>
      </c>
      <c r="L38" s="322"/>
      <c r="M38" s="395" t="s">
        <v>19</v>
      </c>
      <c r="N38" s="322" t="s">
        <v>145</v>
      </c>
      <c r="O38" s="322"/>
      <c r="P38" s="395" t="s">
        <v>19</v>
      </c>
      <c r="Q38" s="322" t="s">
        <v>145</v>
      </c>
      <c r="R38" s="322"/>
      <c r="S38" s="395" t="s">
        <v>19</v>
      </c>
      <c r="T38" s="322" t="s">
        <v>146</v>
      </c>
      <c r="U38" s="322"/>
      <c r="V38" s="395" t="s">
        <v>19</v>
      </c>
      <c r="W38" s="322" t="s">
        <v>147</v>
      </c>
      <c r="X38" s="322"/>
      <c r="Y38" s="395" t="s">
        <v>19</v>
      </c>
      <c r="Z38" s="308" t="s">
        <v>148</v>
      </c>
      <c r="AA38" s="308"/>
      <c r="AB38" s="395" t="s">
        <v>19</v>
      </c>
      <c r="AC38" s="322" t="s">
        <v>149</v>
      </c>
      <c r="AD38" s="322"/>
      <c r="AE38" s="395" t="s">
        <v>19</v>
      </c>
      <c r="AF38" s="322" t="s">
        <v>150</v>
      </c>
      <c r="AG38" s="322"/>
      <c r="AH38" s="395" t="s">
        <v>19</v>
      </c>
      <c r="AI38" s="322" t="s">
        <v>151</v>
      </c>
      <c r="AJ38" s="322"/>
      <c r="AK38" s="395" t="s">
        <v>19</v>
      </c>
      <c r="AL38" s="351" t="s">
        <v>152</v>
      </c>
      <c r="AM38" s="351"/>
      <c r="AN38" s="390"/>
      <c r="AO38" s="390"/>
      <c r="AP38" s="390"/>
      <c r="AQ38" s="390"/>
      <c r="AR38" s="390"/>
      <c r="AS38" s="390"/>
      <c r="AT38" s="390"/>
      <c r="AU38" s="390"/>
      <c r="AV38" s="390"/>
      <c r="AW38" s="390"/>
      <c r="AX38" s="390"/>
      <c r="AY38" s="390"/>
    </row>
    <row r="39" spans="1:51" s="1" customFormat="1" ht="25.5" customHeight="1">
      <c r="A39" s="395" t="s">
        <v>30</v>
      </c>
      <c r="B39" s="322" t="s">
        <v>31</v>
      </c>
      <c r="C39" s="322"/>
      <c r="D39" s="395" t="s">
        <v>30</v>
      </c>
      <c r="E39" s="310" t="s">
        <v>153</v>
      </c>
      <c r="F39" s="310"/>
      <c r="G39" s="395" t="s">
        <v>30</v>
      </c>
      <c r="H39" s="352" t="s">
        <v>154</v>
      </c>
      <c r="I39" s="352"/>
      <c r="J39" s="395" t="s">
        <v>30</v>
      </c>
      <c r="K39" s="310" t="s">
        <v>155</v>
      </c>
      <c r="L39" s="310"/>
      <c r="M39" s="395" t="s">
        <v>30</v>
      </c>
      <c r="N39" s="310" t="s">
        <v>156</v>
      </c>
      <c r="O39" s="310"/>
      <c r="P39" s="395" t="s">
        <v>30</v>
      </c>
      <c r="Q39" s="310" t="s">
        <v>157</v>
      </c>
      <c r="R39" s="310"/>
      <c r="S39" s="395" t="s">
        <v>30</v>
      </c>
      <c r="T39" s="310" t="s">
        <v>158</v>
      </c>
      <c r="U39" s="310"/>
      <c r="V39" s="395" t="s">
        <v>30</v>
      </c>
      <c r="W39" s="310" t="s">
        <v>159</v>
      </c>
      <c r="X39" s="310"/>
      <c r="Y39" s="395" t="s">
        <v>30</v>
      </c>
      <c r="Z39" s="310" t="s">
        <v>160</v>
      </c>
      <c r="AA39" s="310"/>
      <c r="AB39" s="395" t="s">
        <v>30</v>
      </c>
      <c r="AC39" s="310" t="s">
        <v>161</v>
      </c>
      <c r="AD39" s="310"/>
      <c r="AE39" s="395" t="s">
        <v>30</v>
      </c>
      <c r="AF39" s="297" t="s">
        <v>172</v>
      </c>
      <c r="AG39" s="298"/>
      <c r="AH39" s="395" t="s">
        <v>30</v>
      </c>
      <c r="AI39" s="310" t="s">
        <v>162</v>
      </c>
      <c r="AJ39" s="310"/>
      <c r="AK39" s="395" t="s">
        <v>30</v>
      </c>
      <c r="AL39" s="352" t="s">
        <v>163</v>
      </c>
      <c r="AM39" s="352"/>
      <c r="AN39" s="390"/>
      <c r="AO39" s="390"/>
      <c r="AP39" s="390"/>
      <c r="AQ39" s="390"/>
      <c r="AR39" s="390"/>
      <c r="AS39" s="390"/>
      <c r="AT39" s="390"/>
      <c r="AU39" s="390"/>
      <c r="AV39" s="390"/>
      <c r="AW39" s="390"/>
      <c r="AX39" s="390"/>
      <c r="AY39" s="390"/>
    </row>
    <row r="40" spans="1:51" s="1" customFormat="1" ht="21.5" customHeight="1">
      <c r="A40" s="395" t="s">
        <v>41</v>
      </c>
      <c r="B40" s="310" t="s">
        <v>42</v>
      </c>
      <c r="C40" s="310"/>
      <c r="D40" s="395" t="s">
        <v>41</v>
      </c>
      <c r="E40" s="310" t="s">
        <v>164</v>
      </c>
      <c r="F40" s="310"/>
      <c r="G40" s="395" t="s">
        <v>41</v>
      </c>
      <c r="H40" s="352" t="s">
        <v>165</v>
      </c>
      <c r="I40" s="352"/>
      <c r="J40" s="395" t="s">
        <v>41</v>
      </c>
      <c r="K40" s="322" t="s">
        <v>166</v>
      </c>
      <c r="L40" s="310"/>
      <c r="M40" s="395" t="s">
        <v>41</v>
      </c>
      <c r="N40" s="310" t="s">
        <v>42</v>
      </c>
      <c r="O40" s="310"/>
      <c r="P40" s="395" t="s">
        <v>41</v>
      </c>
      <c r="Q40" s="310" t="s">
        <v>167</v>
      </c>
      <c r="R40" s="310"/>
      <c r="S40" s="395" t="s">
        <v>41</v>
      </c>
      <c r="T40" s="310" t="s">
        <v>168</v>
      </c>
      <c r="U40" s="310"/>
      <c r="V40" s="395" t="s">
        <v>41</v>
      </c>
      <c r="W40" s="310" t="s">
        <v>169</v>
      </c>
      <c r="X40" s="310"/>
      <c r="Y40" s="395" t="s">
        <v>41</v>
      </c>
      <c r="Z40" s="310" t="s">
        <v>170</v>
      </c>
      <c r="AA40" s="310"/>
      <c r="AB40" s="395" t="s">
        <v>41</v>
      </c>
      <c r="AC40" s="310" t="s">
        <v>171</v>
      </c>
      <c r="AD40" s="310"/>
      <c r="AE40" s="395" t="s">
        <v>41</v>
      </c>
      <c r="AF40" s="308" t="s">
        <v>433</v>
      </c>
      <c r="AG40" s="310"/>
      <c r="AH40" s="395" t="s">
        <v>41</v>
      </c>
      <c r="AI40" s="310" t="s">
        <v>173</v>
      </c>
      <c r="AJ40" s="310"/>
      <c r="AK40" s="395" t="s">
        <v>41</v>
      </c>
      <c r="AL40" s="352" t="s">
        <v>174</v>
      </c>
      <c r="AM40" s="352"/>
      <c r="AN40" s="390"/>
      <c r="AO40" s="390"/>
      <c r="AP40" s="390"/>
      <c r="AQ40" s="390"/>
      <c r="AR40" s="390"/>
      <c r="AS40" s="390"/>
      <c r="AT40" s="390"/>
      <c r="AU40" s="390"/>
      <c r="AV40" s="390"/>
      <c r="AW40" s="390"/>
      <c r="AX40" s="390"/>
      <c r="AY40" s="390"/>
    </row>
    <row r="41" spans="1:51" s="1" customFormat="1" ht="24.75" customHeight="1">
      <c r="A41" s="395" t="s">
        <v>1</v>
      </c>
      <c r="B41" s="395" t="s">
        <v>52</v>
      </c>
      <c r="C41" s="395" t="s">
        <v>53</v>
      </c>
      <c r="D41" s="395" t="s">
        <v>121</v>
      </c>
      <c r="E41" s="395" t="s">
        <v>54</v>
      </c>
      <c r="F41" s="395" t="s">
        <v>122</v>
      </c>
      <c r="G41" s="395" t="s">
        <v>121</v>
      </c>
      <c r="H41" s="395" t="s">
        <v>54</v>
      </c>
      <c r="I41" s="395" t="s">
        <v>122</v>
      </c>
      <c r="J41" s="395" t="s">
        <v>121</v>
      </c>
      <c r="K41" s="395" t="s">
        <v>54</v>
      </c>
      <c r="L41" s="395" t="s">
        <v>122</v>
      </c>
      <c r="M41" s="395" t="s">
        <v>121</v>
      </c>
      <c r="N41" s="395" t="s">
        <v>54</v>
      </c>
      <c r="O41" s="395" t="s">
        <v>122</v>
      </c>
      <c r="P41" s="395" t="s">
        <v>121</v>
      </c>
      <c r="Q41" s="395" t="s">
        <v>54</v>
      </c>
      <c r="R41" s="395" t="s">
        <v>122</v>
      </c>
      <c r="S41" s="395" t="s">
        <v>121</v>
      </c>
      <c r="T41" s="395" t="s">
        <v>54</v>
      </c>
      <c r="U41" s="395" t="s">
        <v>122</v>
      </c>
      <c r="V41" s="395" t="s">
        <v>121</v>
      </c>
      <c r="W41" s="395" t="s">
        <v>54</v>
      </c>
      <c r="X41" s="395" t="s">
        <v>122</v>
      </c>
      <c r="Y41" s="395" t="s">
        <v>121</v>
      </c>
      <c r="Z41" s="395" t="s">
        <v>54</v>
      </c>
      <c r="AA41" s="395" t="s">
        <v>122</v>
      </c>
      <c r="AB41" s="395" t="s">
        <v>121</v>
      </c>
      <c r="AC41" s="395" t="s">
        <v>54</v>
      </c>
      <c r="AD41" s="395" t="s">
        <v>122</v>
      </c>
      <c r="AE41" s="395" t="s">
        <v>121</v>
      </c>
      <c r="AF41" s="395" t="s">
        <v>54</v>
      </c>
      <c r="AG41" s="395" t="s">
        <v>122</v>
      </c>
      <c r="AH41" s="395" t="s">
        <v>121</v>
      </c>
      <c r="AI41" s="395" t="s">
        <v>54</v>
      </c>
      <c r="AJ41" s="395" t="s">
        <v>122</v>
      </c>
      <c r="AK41" s="395" t="s">
        <v>121</v>
      </c>
      <c r="AL41" s="395" t="s">
        <v>54</v>
      </c>
      <c r="AM41" s="395" t="s">
        <v>122</v>
      </c>
      <c r="AN41" s="390"/>
      <c r="AO41" s="390"/>
      <c r="AP41" s="390"/>
      <c r="AQ41" s="390"/>
      <c r="AR41" s="390"/>
      <c r="AS41" s="390"/>
      <c r="AT41" s="390"/>
      <c r="AU41" s="390"/>
      <c r="AV41" s="390"/>
      <c r="AW41" s="390"/>
      <c r="AX41" s="390"/>
      <c r="AY41" s="390"/>
    </row>
    <row r="42" spans="1:51" s="1" customFormat="1" ht="43" customHeight="1">
      <c r="A42" s="395">
        <v>2020</v>
      </c>
      <c r="B42" s="409">
        <v>92.857142857142861</v>
      </c>
      <c r="C42" s="409"/>
      <c r="D42" s="395">
        <v>2020</v>
      </c>
      <c r="E42" s="396">
        <v>100</v>
      </c>
      <c r="F42" s="393" t="s">
        <v>2018</v>
      </c>
      <c r="G42" s="395">
        <v>2020</v>
      </c>
      <c r="H42" s="424">
        <v>50</v>
      </c>
      <c r="I42" s="426" t="s">
        <v>2019</v>
      </c>
      <c r="J42" s="395">
        <v>2020</v>
      </c>
      <c r="K42" s="396">
        <v>100</v>
      </c>
      <c r="L42" s="393" t="s">
        <v>2020</v>
      </c>
      <c r="M42" s="395">
        <v>2020</v>
      </c>
      <c r="N42" s="405">
        <v>100</v>
      </c>
      <c r="O42" s="396"/>
      <c r="P42" s="395">
        <v>2020</v>
      </c>
      <c r="Q42" s="396">
        <v>100</v>
      </c>
      <c r="R42" s="393" t="s">
        <v>2021</v>
      </c>
      <c r="S42" s="395">
        <v>2020</v>
      </c>
      <c r="T42" s="396">
        <v>100</v>
      </c>
      <c r="U42" s="393" t="s">
        <v>2022</v>
      </c>
      <c r="V42" s="395">
        <v>2020</v>
      </c>
      <c r="W42" s="396">
        <v>100</v>
      </c>
      <c r="X42" s="393" t="s">
        <v>2023</v>
      </c>
      <c r="Y42" s="395">
        <v>2020</v>
      </c>
      <c r="Z42" s="396">
        <v>100</v>
      </c>
      <c r="AA42" s="393" t="s">
        <v>2024</v>
      </c>
      <c r="AB42" s="395">
        <v>2020</v>
      </c>
      <c r="AC42" s="396">
        <v>100</v>
      </c>
      <c r="AD42" s="393" t="s">
        <v>2025</v>
      </c>
      <c r="AE42" s="395">
        <v>2020</v>
      </c>
      <c r="AF42" s="396">
        <v>100</v>
      </c>
      <c r="AG42" s="396"/>
      <c r="AH42" s="395">
        <v>2020</v>
      </c>
      <c r="AI42" s="394">
        <v>50</v>
      </c>
      <c r="AJ42" s="393" t="s">
        <v>2026</v>
      </c>
      <c r="AK42" s="395">
        <v>2020</v>
      </c>
      <c r="AL42" s="424">
        <v>100</v>
      </c>
      <c r="AM42" s="425" t="s">
        <v>2027</v>
      </c>
      <c r="AN42" s="390"/>
      <c r="AO42" s="390"/>
      <c r="AP42" s="390"/>
      <c r="AQ42" s="390"/>
      <c r="AR42" s="390"/>
      <c r="AS42" s="390"/>
      <c r="AT42" s="390"/>
      <c r="AU42" s="390"/>
      <c r="AV42" s="390"/>
      <c r="AW42" s="390"/>
      <c r="AX42" s="390"/>
      <c r="AY42" s="390"/>
    </row>
    <row r="43" spans="1:51" s="1" customFormat="1" ht="30" customHeight="1">
      <c r="A43" s="395">
        <v>2021</v>
      </c>
      <c r="B43" s="409">
        <v>92.857142857142861</v>
      </c>
      <c r="C43" s="409"/>
      <c r="D43" s="395">
        <v>2021</v>
      </c>
      <c r="E43" s="396">
        <v>100</v>
      </c>
      <c r="F43" s="404"/>
      <c r="G43" s="395">
        <v>2021</v>
      </c>
      <c r="H43" s="424">
        <v>50</v>
      </c>
      <c r="I43" s="426"/>
      <c r="J43" s="395">
        <v>2021</v>
      </c>
      <c r="K43" s="396">
        <v>100</v>
      </c>
      <c r="L43" s="404"/>
      <c r="M43" s="395">
        <v>2021</v>
      </c>
      <c r="N43" s="405">
        <v>100</v>
      </c>
      <c r="O43" s="396"/>
      <c r="P43" s="395">
        <v>2021</v>
      </c>
      <c r="Q43" s="396">
        <v>100</v>
      </c>
      <c r="R43" s="404"/>
      <c r="S43" s="395">
        <v>2021</v>
      </c>
      <c r="T43" s="396">
        <v>100</v>
      </c>
      <c r="U43" s="404"/>
      <c r="V43" s="395">
        <v>2021</v>
      </c>
      <c r="W43" s="396">
        <v>100</v>
      </c>
      <c r="X43" s="404"/>
      <c r="Y43" s="395">
        <v>2021</v>
      </c>
      <c r="Z43" s="396">
        <v>100</v>
      </c>
      <c r="AA43" s="404"/>
      <c r="AB43" s="395">
        <v>2021</v>
      </c>
      <c r="AC43" s="396">
        <v>100</v>
      </c>
      <c r="AD43" s="404"/>
      <c r="AE43" s="395">
        <v>2021</v>
      </c>
      <c r="AF43" s="396">
        <v>100</v>
      </c>
      <c r="AG43" s="396"/>
      <c r="AH43" s="395">
        <v>2021</v>
      </c>
      <c r="AI43" s="394">
        <v>50</v>
      </c>
      <c r="AJ43" s="404"/>
      <c r="AK43" s="395">
        <v>2021</v>
      </c>
      <c r="AL43" s="424">
        <v>100</v>
      </c>
      <c r="AM43" s="425"/>
      <c r="AN43" s="390"/>
      <c r="AO43" s="390"/>
      <c r="AP43" s="390"/>
      <c r="AQ43" s="390"/>
      <c r="AR43" s="390"/>
      <c r="AS43" s="390"/>
      <c r="AT43" s="390"/>
      <c r="AU43" s="390"/>
      <c r="AV43" s="390"/>
      <c r="AW43" s="390"/>
      <c r="AX43" s="390"/>
      <c r="AY43" s="390"/>
    </row>
    <row r="44" spans="1:51" s="1" customFormat="1" ht="24.75" customHeight="1">
      <c r="A44" s="395">
        <v>2022</v>
      </c>
      <c r="B44" s="409">
        <v>92.857142857142861</v>
      </c>
      <c r="C44" s="409"/>
      <c r="D44" s="395">
        <v>2022</v>
      </c>
      <c r="E44" s="396">
        <v>100</v>
      </c>
      <c r="F44" s="404"/>
      <c r="G44" s="395">
        <v>2022</v>
      </c>
      <c r="H44" s="424">
        <v>50</v>
      </c>
      <c r="I44" s="426"/>
      <c r="J44" s="395">
        <v>2022</v>
      </c>
      <c r="K44" s="396">
        <v>100</v>
      </c>
      <c r="L44" s="404"/>
      <c r="M44" s="395">
        <v>2022</v>
      </c>
      <c r="N44" s="405">
        <v>100</v>
      </c>
      <c r="O44" s="396"/>
      <c r="P44" s="395">
        <v>2022</v>
      </c>
      <c r="Q44" s="396">
        <v>100</v>
      </c>
      <c r="R44" s="404"/>
      <c r="S44" s="395">
        <v>2022</v>
      </c>
      <c r="T44" s="396">
        <v>100</v>
      </c>
      <c r="U44" s="404"/>
      <c r="V44" s="395">
        <v>2022</v>
      </c>
      <c r="W44" s="396">
        <v>100</v>
      </c>
      <c r="X44" s="404"/>
      <c r="Y44" s="395">
        <v>2022</v>
      </c>
      <c r="Z44" s="396">
        <v>100</v>
      </c>
      <c r="AA44" s="404"/>
      <c r="AB44" s="395">
        <v>2022</v>
      </c>
      <c r="AC44" s="396">
        <v>100</v>
      </c>
      <c r="AD44" s="404"/>
      <c r="AE44" s="395">
        <v>2022</v>
      </c>
      <c r="AF44" s="396">
        <v>100</v>
      </c>
      <c r="AG44" s="396"/>
      <c r="AH44" s="395">
        <v>2022</v>
      </c>
      <c r="AI44" s="394">
        <v>50</v>
      </c>
      <c r="AJ44" s="404"/>
      <c r="AK44" s="395">
        <v>2022</v>
      </c>
      <c r="AL44" s="424">
        <v>100</v>
      </c>
      <c r="AM44" s="425"/>
      <c r="AN44" s="390"/>
      <c r="AO44" s="390"/>
      <c r="AP44" s="390"/>
      <c r="AQ44" s="390"/>
      <c r="AR44" s="390"/>
      <c r="AS44" s="390"/>
      <c r="AT44" s="390"/>
      <c r="AU44" s="390"/>
      <c r="AV44" s="390"/>
      <c r="AW44" s="390"/>
      <c r="AX44" s="390"/>
      <c r="AY44" s="390"/>
    </row>
    <row r="45" spans="1:51" s="1" customFormat="1" ht="24.75" customHeight="1">
      <c r="A45" s="395">
        <v>2023</v>
      </c>
      <c r="B45" s="409">
        <v>92.857142857142861</v>
      </c>
      <c r="C45" s="409"/>
      <c r="D45" s="395">
        <v>2023</v>
      </c>
      <c r="E45" s="396">
        <v>100</v>
      </c>
      <c r="F45" s="404"/>
      <c r="G45" s="395">
        <v>2023</v>
      </c>
      <c r="H45" s="424">
        <v>50</v>
      </c>
      <c r="I45" s="426"/>
      <c r="J45" s="395">
        <v>2023</v>
      </c>
      <c r="K45" s="396">
        <v>100</v>
      </c>
      <c r="L45" s="404"/>
      <c r="M45" s="395">
        <v>2023</v>
      </c>
      <c r="N45" s="405">
        <v>100</v>
      </c>
      <c r="O45" s="396"/>
      <c r="P45" s="395">
        <v>2023</v>
      </c>
      <c r="Q45" s="396">
        <v>100</v>
      </c>
      <c r="R45" s="404"/>
      <c r="S45" s="395">
        <v>2023</v>
      </c>
      <c r="T45" s="396">
        <v>100</v>
      </c>
      <c r="U45" s="404"/>
      <c r="V45" s="395">
        <v>2023</v>
      </c>
      <c r="W45" s="396">
        <v>100</v>
      </c>
      <c r="X45" s="404"/>
      <c r="Y45" s="395">
        <v>2023</v>
      </c>
      <c r="Z45" s="396">
        <v>100</v>
      </c>
      <c r="AA45" s="404"/>
      <c r="AB45" s="395">
        <v>2023</v>
      </c>
      <c r="AC45" s="396">
        <v>100</v>
      </c>
      <c r="AD45" s="404"/>
      <c r="AE45" s="395">
        <v>2023</v>
      </c>
      <c r="AF45" s="396">
        <v>100</v>
      </c>
      <c r="AG45" s="396"/>
      <c r="AH45" s="395">
        <v>2023</v>
      </c>
      <c r="AI45" s="394">
        <v>50</v>
      </c>
      <c r="AJ45" s="404"/>
      <c r="AK45" s="395">
        <v>2023</v>
      </c>
      <c r="AL45" s="424">
        <v>100</v>
      </c>
      <c r="AM45" s="425"/>
      <c r="AN45" s="390"/>
      <c r="AO45" s="390"/>
      <c r="AP45" s="390"/>
      <c r="AQ45" s="390"/>
      <c r="AR45" s="390"/>
      <c r="AS45" s="390"/>
      <c r="AT45" s="390"/>
      <c r="AU45" s="390"/>
      <c r="AV45" s="390"/>
      <c r="AW45" s="390"/>
      <c r="AX45" s="390"/>
      <c r="AY45" s="390"/>
    </row>
    <row r="46" spans="1:51" s="1" customFormat="1" ht="28.5" customHeight="1">
      <c r="A46" s="395">
        <v>2024</v>
      </c>
      <c r="B46" s="409">
        <v>92.857142857142861</v>
      </c>
      <c r="C46" s="409"/>
      <c r="D46" s="395">
        <v>2024</v>
      </c>
      <c r="E46" s="396">
        <v>100</v>
      </c>
      <c r="F46" s="393" t="s">
        <v>2018</v>
      </c>
      <c r="G46" s="395">
        <v>2024</v>
      </c>
      <c r="H46" s="424">
        <v>50</v>
      </c>
      <c r="I46" s="425" t="s">
        <v>2028</v>
      </c>
      <c r="J46" s="395">
        <v>2024</v>
      </c>
      <c r="K46" s="396">
        <v>100</v>
      </c>
      <c r="L46" s="393" t="s">
        <v>2020</v>
      </c>
      <c r="M46" s="395">
        <v>2024</v>
      </c>
      <c r="N46" s="405">
        <v>100</v>
      </c>
      <c r="O46" s="396"/>
      <c r="P46" s="395">
        <v>2024</v>
      </c>
      <c r="Q46" s="396">
        <v>100</v>
      </c>
      <c r="R46" s="393" t="s">
        <v>2021</v>
      </c>
      <c r="S46" s="395">
        <v>2024</v>
      </c>
      <c r="T46" s="396">
        <v>100</v>
      </c>
      <c r="U46" s="393" t="s">
        <v>2022</v>
      </c>
      <c r="V46" s="395">
        <v>2024</v>
      </c>
      <c r="W46" s="396">
        <v>100</v>
      </c>
      <c r="X46" s="393" t="s">
        <v>2023</v>
      </c>
      <c r="Y46" s="395">
        <v>2024</v>
      </c>
      <c r="Z46" s="396">
        <v>100</v>
      </c>
      <c r="AA46" s="393" t="s">
        <v>2024</v>
      </c>
      <c r="AB46" s="395">
        <v>2024</v>
      </c>
      <c r="AC46" s="396">
        <v>100</v>
      </c>
      <c r="AD46" s="393" t="s">
        <v>2025</v>
      </c>
      <c r="AE46" s="395">
        <v>2024</v>
      </c>
      <c r="AF46" s="396">
        <v>100</v>
      </c>
      <c r="AG46" s="396"/>
      <c r="AH46" s="395">
        <v>2024</v>
      </c>
      <c r="AI46" s="394">
        <v>50</v>
      </c>
      <c r="AJ46" s="393" t="s">
        <v>2026</v>
      </c>
      <c r="AK46" s="395">
        <v>2024</v>
      </c>
      <c r="AL46" s="424">
        <v>100</v>
      </c>
      <c r="AM46" s="425" t="s">
        <v>2029</v>
      </c>
      <c r="AN46" s="390"/>
      <c r="AO46" s="390"/>
      <c r="AP46" s="390"/>
      <c r="AQ46" s="390"/>
      <c r="AR46" s="390"/>
      <c r="AS46" s="390"/>
      <c r="AT46" s="390"/>
      <c r="AU46" s="390"/>
      <c r="AV46" s="390"/>
      <c r="AW46" s="390"/>
      <c r="AX46" s="390"/>
      <c r="AY46" s="390"/>
    </row>
    <row r="47" spans="1:51" s="1" customFormat="1" ht="24.75" customHeight="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c r="AF47" s="390"/>
      <c r="AG47" s="390"/>
      <c r="AH47" s="390"/>
      <c r="AI47" s="390"/>
      <c r="AJ47" s="390"/>
      <c r="AK47" s="390"/>
      <c r="AL47" s="390"/>
      <c r="AM47" s="390"/>
      <c r="AN47" s="390"/>
      <c r="AO47" s="390"/>
      <c r="AP47" s="390"/>
      <c r="AQ47" s="390"/>
      <c r="AR47" s="390"/>
      <c r="AS47" s="390"/>
      <c r="AT47" s="390"/>
      <c r="AU47" s="390"/>
      <c r="AV47" s="390"/>
      <c r="AW47" s="390"/>
      <c r="AX47" s="390"/>
      <c r="AY47" s="390"/>
    </row>
    <row r="48" spans="1:51" s="1" customFormat="1" ht="24.75" customHeight="1">
      <c r="A48" s="407" t="s">
        <v>5</v>
      </c>
      <c r="B48" s="324" t="s">
        <v>181</v>
      </c>
      <c r="C48" s="324"/>
      <c r="D48" s="324"/>
      <c r="E48" s="324"/>
      <c r="F48" s="324"/>
      <c r="G48" s="324"/>
      <c r="H48" s="324"/>
      <c r="I48" s="324"/>
      <c r="J48" s="324"/>
      <c r="K48" s="324"/>
      <c r="L48" s="324"/>
      <c r="M48" s="324"/>
      <c r="N48" s="324"/>
      <c r="O48" s="324"/>
      <c r="P48" s="324"/>
      <c r="Q48" s="324"/>
      <c r="R48" s="324"/>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row>
    <row r="49" spans="1:24" s="1" customFormat="1" ht="24.75" customHeight="1">
      <c r="A49" s="407" t="s">
        <v>7</v>
      </c>
      <c r="B49" s="318" t="s">
        <v>182</v>
      </c>
      <c r="C49" s="318"/>
      <c r="D49" s="407" t="s">
        <v>7</v>
      </c>
      <c r="E49" s="312" t="s">
        <v>183</v>
      </c>
      <c r="F49" s="312"/>
      <c r="G49" s="407" t="s">
        <v>7</v>
      </c>
      <c r="H49" s="312" t="s">
        <v>184</v>
      </c>
      <c r="I49" s="312"/>
      <c r="J49" s="407" t="s">
        <v>7</v>
      </c>
      <c r="K49" s="312" t="s">
        <v>185</v>
      </c>
      <c r="L49" s="312"/>
      <c r="M49" s="407" t="s">
        <v>7</v>
      </c>
      <c r="N49" s="312" t="s">
        <v>186</v>
      </c>
      <c r="O49" s="312"/>
      <c r="P49" s="407" t="s">
        <v>7</v>
      </c>
      <c r="Q49" s="312" t="s">
        <v>187</v>
      </c>
      <c r="R49" s="312"/>
      <c r="S49" s="390"/>
      <c r="T49" s="390"/>
      <c r="U49" s="390"/>
      <c r="V49" s="390"/>
      <c r="W49" s="390"/>
      <c r="X49" s="390"/>
    </row>
    <row r="50" spans="1:24" s="1" customFormat="1" ht="24.75" customHeight="1">
      <c r="A50" s="407" t="s">
        <v>13</v>
      </c>
      <c r="B50" s="395"/>
      <c r="C50" s="395"/>
      <c r="D50" s="407" t="s">
        <v>13</v>
      </c>
      <c r="E50" s="408"/>
      <c r="F50" s="408"/>
      <c r="G50" s="407" t="s">
        <v>13</v>
      </c>
      <c r="H50" s="311"/>
      <c r="I50" s="311"/>
      <c r="J50" s="407" t="s">
        <v>13</v>
      </c>
      <c r="K50" s="311"/>
      <c r="L50" s="311"/>
      <c r="M50" s="407" t="s">
        <v>13</v>
      </c>
      <c r="N50" s="311"/>
      <c r="O50" s="311"/>
      <c r="P50" s="407" t="s">
        <v>13</v>
      </c>
      <c r="Q50" s="311"/>
      <c r="R50" s="311"/>
      <c r="S50" s="390"/>
      <c r="T50" s="390"/>
      <c r="U50" s="390"/>
      <c r="V50" s="390"/>
      <c r="W50" s="390"/>
      <c r="X50" s="390"/>
    </row>
    <row r="51" spans="1:24" s="1" customFormat="1" ht="24.75" customHeight="1">
      <c r="A51" s="395" t="s">
        <v>19</v>
      </c>
      <c r="B51" s="322" t="s">
        <v>188</v>
      </c>
      <c r="C51" s="322"/>
      <c r="D51" s="395" t="s">
        <v>19</v>
      </c>
      <c r="E51" s="322" t="s">
        <v>189</v>
      </c>
      <c r="F51" s="322"/>
      <c r="G51" s="395" t="s">
        <v>19</v>
      </c>
      <c r="H51" s="322" t="s">
        <v>190</v>
      </c>
      <c r="I51" s="322"/>
      <c r="J51" s="395" t="s">
        <v>19</v>
      </c>
      <c r="K51" s="351" t="s">
        <v>191</v>
      </c>
      <c r="L51" s="351"/>
      <c r="M51" s="395" t="s">
        <v>19</v>
      </c>
      <c r="N51" s="322" t="s">
        <v>192</v>
      </c>
      <c r="O51" s="322"/>
      <c r="P51" s="395" t="s">
        <v>19</v>
      </c>
      <c r="Q51" s="351" t="s">
        <v>193</v>
      </c>
      <c r="R51" s="351"/>
      <c r="S51" s="390"/>
      <c r="T51" s="390"/>
      <c r="U51" s="390"/>
      <c r="V51" s="390"/>
      <c r="W51" s="390"/>
      <c r="X51" s="390"/>
    </row>
    <row r="52" spans="1:24" s="1" customFormat="1" ht="24.75" customHeight="1">
      <c r="A52" s="395" t="s">
        <v>30</v>
      </c>
      <c r="B52" s="322" t="s">
        <v>31</v>
      </c>
      <c r="C52" s="322"/>
      <c r="D52" s="395" t="s">
        <v>30</v>
      </c>
      <c r="E52" s="310" t="s">
        <v>194</v>
      </c>
      <c r="F52" s="310"/>
      <c r="G52" s="395" t="s">
        <v>30</v>
      </c>
      <c r="H52" s="310" t="s">
        <v>195</v>
      </c>
      <c r="I52" s="310"/>
      <c r="J52" s="395" t="s">
        <v>30</v>
      </c>
      <c r="K52" s="352" t="s">
        <v>196</v>
      </c>
      <c r="L52" s="352"/>
      <c r="M52" s="395" t="s">
        <v>30</v>
      </c>
      <c r="N52" s="325" t="s">
        <v>197</v>
      </c>
      <c r="O52" s="325"/>
      <c r="P52" s="395" t="s">
        <v>30</v>
      </c>
      <c r="Q52" s="352" t="s">
        <v>198</v>
      </c>
      <c r="R52" s="352"/>
      <c r="S52" s="390"/>
      <c r="T52" s="390"/>
      <c r="U52" s="390"/>
      <c r="V52" s="390"/>
      <c r="W52" s="390"/>
      <c r="X52" s="390"/>
    </row>
    <row r="53" spans="1:24" s="1" customFormat="1" ht="30" customHeight="1">
      <c r="A53" s="395" t="s">
        <v>41</v>
      </c>
      <c r="B53" s="310" t="s">
        <v>42</v>
      </c>
      <c r="C53" s="310"/>
      <c r="D53" s="395" t="s">
        <v>41</v>
      </c>
      <c r="E53" s="325" t="s">
        <v>199</v>
      </c>
      <c r="F53" s="325"/>
      <c r="G53" s="395" t="s">
        <v>41</v>
      </c>
      <c r="H53" s="310" t="s">
        <v>200</v>
      </c>
      <c r="I53" s="310"/>
      <c r="J53" s="395" t="s">
        <v>41</v>
      </c>
      <c r="K53" s="352" t="s">
        <v>201</v>
      </c>
      <c r="L53" s="352"/>
      <c r="M53" s="395" t="s">
        <v>41</v>
      </c>
      <c r="N53" s="327" t="s">
        <v>202</v>
      </c>
      <c r="O53" s="325"/>
      <c r="P53" s="395" t="s">
        <v>41</v>
      </c>
      <c r="Q53" s="298" t="s">
        <v>203</v>
      </c>
      <c r="R53" s="298"/>
      <c r="S53" s="390"/>
      <c r="T53" s="390"/>
      <c r="U53" s="390"/>
      <c r="V53" s="390"/>
      <c r="W53" s="390"/>
      <c r="X53" s="390"/>
    </row>
    <row r="54" spans="1:24" s="1" customFormat="1" ht="24.75" customHeight="1">
      <c r="A54" s="395" t="s">
        <v>1</v>
      </c>
      <c r="B54" s="395" t="s">
        <v>52</v>
      </c>
      <c r="C54" s="395" t="s">
        <v>53</v>
      </c>
      <c r="D54" s="395" t="s">
        <v>121</v>
      </c>
      <c r="E54" s="395" t="s">
        <v>54</v>
      </c>
      <c r="F54" s="395" t="s">
        <v>122</v>
      </c>
      <c r="G54" s="395" t="s">
        <v>121</v>
      </c>
      <c r="H54" s="395" t="s">
        <v>54</v>
      </c>
      <c r="I54" s="395" t="s">
        <v>122</v>
      </c>
      <c r="J54" s="395" t="s">
        <v>121</v>
      </c>
      <c r="K54" s="395" t="s">
        <v>54</v>
      </c>
      <c r="L54" s="395" t="s">
        <v>122</v>
      </c>
      <c r="M54" s="395" t="s">
        <v>121</v>
      </c>
      <c r="N54" s="395" t="s">
        <v>54</v>
      </c>
      <c r="O54" s="395" t="s">
        <v>122</v>
      </c>
      <c r="P54" s="395" t="s">
        <v>121</v>
      </c>
      <c r="Q54" s="395" t="s">
        <v>54</v>
      </c>
      <c r="R54" s="395" t="s">
        <v>122</v>
      </c>
      <c r="S54" s="390"/>
      <c r="T54" s="390"/>
      <c r="U54" s="390"/>
      <c r="V54" s="390"/>
      <c r="W54" s="390"/>
      <c r="X54" s="390"/>
    </row>
    <row r="55" spans="1:24" s="1" customFormat="1" ht="39.5" customHeight="1">
      <c r="A55" s="395">
        <v>2020</v>
      </c>
      <c r="B55" s="406">
        <v>45</v>
      </c>
      <c r="C55" s="409"/>
      <c r="D55" s="395">
        <v>2020</v>
      </c>
      <c r="E55" s="396">
        <v>0</v>
      </c>
      <c r="F55" s="393" t="s">
        <v>2030</v>
      </c>
      <c r="G55" s="395">
        <v>2020</v>
      </c>
      <c r="H55" s="396">
        <v>100</v>
      </c>
      <c r="I55" s="404" t="s">
        <v>2031</v>
      </c>
      <c r="J55" s="395">
        <v>2020</v>
      </c>
      <c r="K55" s="424">
        <v>25</v>
      </c>
      <c r="L55" s="425" t="s">
        <v>2032</v>
      </c>
      <c r="M55" s="395">
        <v>2020</v>
      </c>
      <c r="N55" s="396">
        <v>50</v>
      </c>
      <c r="O55" s="393" t="s">
        <v>2033</v>
      </c>
      <c r="P55" s="395">
        <v>2020</v>
      </c>
      <c r="Q55" s="424">
        <v>50</v>
      </c>
      <c r="R55" s="425" t="s">
        <v>2034</v>
      </c>
      <c r="S55" s="390"/>
      <c r="T55" s="390"/>
      <c r="U55" s="390"/>
      <c r="V55" s="390"/>
      <c r="W55" s="390"/>
      <c r="X55" s="390"/>
    </row>
    <row r="56" spans="1:24" s="1" customFormat="1" ht="24.75" customHeight="1">
      <c r="A56" s="395">
        <v>2021</v>
      </c>
      <c r="B56" s="406">
        <v>45</v>
      </c>
      <c r="C56" s="406"/>
      <c r="D56" s="395">
        <v>2021</v>
      </c>
      <c r="E56" s="396">
        <v>0</v>
      </c>
      <c r="F56" s="404"/>
      <c r="G56" s="395">
        <v>2021</v>
      </c>
      <c r="H56" s="396">
        <v>100</v>
      </c>
      <c r="I56" s="404"/>
      <c r="J56" s="395">
        <v>2021</v>
      </c>
      <c r="K56" s="424">
        <v>25</v>
      </c>
      <c r="L56" s="426"/>
      <c r="M56" s="395">
        <v>2021</v>
      </c>
      <c r="N56" s="396">
        <v>50</v>
      </c>
      <c r="O56" s="404"/>
      <c r="P56" s="395">
        <v>2021</v>
      </c>
      <c r="Q56" s="424">
        <v>50</v>
      </c>
      <c r="R56" s="425"/>
      <c r="S56" s="390"/>
      <c r="T56" s="390"/>
      <c r="U56" s="390"/>
      <c r="V56" s="390"/>
      <c r="W56" s="390"/>
      <c r="X56" s="390"/>
    </row>
    <row r="57" spans="1:24" s="1" customFormat="1" ht="24.75" customHeight="1">
      <c r="A57" s="395">
        <v>2022</v>
      </c>
      <c r="B57" s="406">
        <v>45</v>
      </c>
      <c r="C57" s="406"/>
      <c r="D57" s="395">
        <v>2022</v>
      </c>
      <c r="E57" s="396">
        <v>0</v>
      </c>
      <c r="F57" s="404"/>
      <c r="G57" s="395">
        <v>2022</v>
      </c>
      <c r="H57" s="396">
        <v>100</v>
      </c>
      <c r="I57" s="404"/>
      <c r="J57" s="395">
        <v>2022</v>
      </c>
      <c r="K57" s="427">
        <v>25</v>
      </c>
      <c r="L57" s="426"/>
      <c r="M57" s="395">
        <v>2022</v>
      </c>
      <c r="N57" s="396">
        <v>50</v>
      </c>
      <c r="O57" s="404"/>
      <c r="P57" s="395">
        <v>2022</v>
      </c>
      <c r="Q57" s="424">
        <v>50</v>
      </c>
      <c r="R57" s="425"/>
      <c r="S57" s="390"/>
      <c r="T57" s="390"/>
      <c r="U57" s="390"/>
      <c r="V57" s="390"/>
      <c r="W57" s="390"/>
      <c r="X57" s="390"/>
    </row>
    <row r="58" spans="1:24" s="1" customFormat="1" ht="24.75" customHeight="1">
      <c r="A58" s="395">
        <v>2023</v>
      </c>
      <c r="B58" s="406">
        <v>45</v>
      </c>
      <c r="C58" s="406"/>
      <c r="D58" s="395">
        <v>2023</v>
      </c>
      <c r="E58" s="396">
        <v>0</v>
      </c>
      <c r="F58" s="404"/>
      <c r="G58" s="395">
        <v>2023</v>
      </c>
      <c r="H58" s="396">
        <v>100</v>
      </c>
      <c r="I58" s="404"/>
      <c r="J58" s="395">
        <v>2023</v>
      </c>
      <c r="K58" s="424">
        <v>25</v>
      </c>
      <c r="L58" s="426"/>
      <c r="M58" s="395">
        <v>2023</v>
      </c>
      <c r="N58" s="396">
        <v>50</v>
      </c>
      <c r="O58" s="404"/>
      <c r="P58" s="395">
        <v>2023</v>
      </c>
      <c r="Q58" s="424">
        <v>50</v>
      </c>
      <c r="R58" s="425"/>
      <c r="S58" s="390"/>
      <c r="T58" s="390"/>
      <c r="U58" s="390"/>
      <c r="V58" s="390"/>
      <c r="W58" s="390"/>
      <c r="X58" s="390"/>
    </row>
    <row r="59" spans="1:24" s="1" customFormat="1" ht="24.75" customHeight="1">
      <c r="A59" s="395">
        <v>2024</v>
      </c>
      <c r="B59" s="406">
        <v>45</v>
      </c>
      <c r="C59" s="406"/>
      <c r="D59" s="395">
        <v>2024</v>
      </c>
      <c r="E59" s="396">
        <v>0</v>
      </c>
      <c r="F59" s="393" t="s">
        <v>2030</v>
      </c>
      <c r="G59" s="395">
        <v>2024</v>
      </c>
      <c r="H59" s="396">
        <v>100</v>
      </c>
      <c r="I59" s="404" t="s">
        <v>2035</v>
      </c>
      <c r="J59" s="395">
        <v>2024</v>
      </c>
      <c r="K59" s="424">
        <v>25</v>
      </c>
      <c r="L59" s="425" t="s">
        <v>2036</v>
      </c>
      <c r="M59" s="395">
        <v>2024</v>
      </c>
      <c r="N59" s="396">
        <v>50</v>
      </c>
      <c r="O59" s="393" t="s">
        <v>2033</v>
      </c>
      <c r="P59" s="395">
        <v>2024</v>
      </c>
      <c r="Q59" s="424">
        <v>50</v>
      </c>
      <c r="R59" s="425" t="s">
        <v>2037</v>
      </c>
      <c r="S59" s="390"/>
      <c r="T59" s="390"/>
      <c r="U59" s="390"/>
      <c r="V59" s="390"/>
      <c r="W59" s="390"/>
      <c r="X59" s="390"/>
    </row>
    <row r="60" spans="1:24" s="1" customFormat="1" ht="24.75" customHeight="1">
      <c r="A60" s="390"/>
      <c r="B60" s="390"/>
      <c r="C60" s="390"/>
      <c r="D60" s="390"/>
      <c r="E60" s="390"/>
      <c r="F60" s="390"/>
      <c r="G60" s="390"/>
      <c r="H60" s="390"/>
      <c r="I60" s="390"/>
      <c r="J60" s="390"/>
      <c r="K60" s="390"/>
      <c r="L60" s="390"/>
      <c r="M60" s="390"/>
      <c r="N60" s="390"/>
      <c r="O60" s="390"/>
      <c r="P60" s="390"/>
      <c r="Q60" s="390"/>
      <c r="R60" s="390"/>
      <c r="S60" s="390"/>
      <c r="T60" s="390"/>
      <c r="U60" s="390"/>
      <c r="V60" s="390"/>
      <c r="W60" s="390"/>
      <c r="X60" s="390"/>
    </row>
    <row r="61" spans="1:24" s="1" customFormat="1" ht="24.75" customHeight="1">
      <c r="A61" s="407"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s="1" customFormat="1" ht="24.75" customHeight="1">
      <c r="A62" s="407" t="s">
        <v>7</v>
      </c>
      <c r="B62" s="318" t="s">
        <v>205</v>
      </c>
      <c r="C62" s="318"/>
      <c r="D62" s="407" t="s">
        <v>7</v>
      </c>
      <c r="E62" s="312" t="s">
        <v>206</v>
      </c>
      <c r="F62" s="312"/>
      <c r="G62" s="407" t="s">
        <v>7</v>
      </c>
      <c r="H62" s="312" t="s">
        <v>207</v>
      </c>
      <c r="I62" s="312"/>
      <c r="J62" s="407" t="s">
        <v>7</v>
      </c>
      <c r="K62" s="312" t="s">
        <v>208</v>
      </c>
      <c r="L62" s="312"/>
      <c r="M62" s="407" t="s">
        <v>7</v>
      </c>
      <c r="N62" s="312" t="s">
        <v>209</v>
      </c>
      <c r="O62" s="312"/>
      <c r="P62" s="407" t="s">
        <v>7</v>
      </c>
      <c r="Q62" s="312" t="s">
        <v>210</v>
      </c>
      <c r="R62" s="312"/>
      <c r="S62" s="407" t="s">
        <v>7</v>
      </c>
      <c r="T62" s="312" t="s">
        <v>211</v>
      </c>
      <c r="U62" s="312"/>
      <c r="V62" s="407" t="s">
        <v>7</v>
      </c>
      <c r="W62" s="312" t="s">
        <v>212</v>
      </c>
      <c r="X62" s="312"/>
    </row>
    <row r="63" spans="1:24" s="1" customFormat="1" ht="24.75" customHeight="1">
      <c r="A63" s="407" t="s">
        <v>13</v>
      </c>
      <c r="B63" s="395"/>
      <c r="C63" s="395"/>
      <c r="D63" s="407" t="s">
        <v>13</v>
      </c>
      <c r="E63" s="408"/>
      <c r="F63" s="408"/>
      <c r="G63" s="407" t="s">
        <v>13</v>
      </c>
      <c r="H63" s="311"/>
      <c r="I63" s="311"/>
      <c r="J63" s="407" t="s">
        <v>13</v>
      </c>
      <c r="K63" s="311"/>
      <c r="L63" s="311"/>
      <c r="M63" s="407" t="s">
        <v>13</v>
      </c>
      <c r="N63" s="311"/>
      <c r="O63" s="311"/>
      <c r="P63" s="407" t="s">
        <v>13</v>
      </c>
      <c r="Q63" s="311"/>
      <c r="R63" s="311"/>
      <c r="S63" s="407" t="s">
        <v>13</v>
      </c>
      <c r="T63" s="311"/>
      <c r="U63" s="311"/>
      <c r="V63" s="407" t="s">
        <v>13</v>
      </c>
      <c r="W63" s="311"/>
      <c r="X63" s="311"/>
    </row>
    <row r="64" spans="1:24" s="1" customFormat="1" ht="24.75" customHeight="1">
      <c r="A64" s="395" t="s">
        <v>19</v>
      </c>
      <c r="B64" s="322" t="s">
        <v>213</v>
      </c>
      <c r="C64" s="322"/>
      <c r="D64" s="395" t="s">
        <v>19</v>
      </c>
      <c r="E64" s="322" t="s">
        <v>214</v>
      </c>
      <c r="F64" s="322"/>
      <c r="G64" s="395" t="s">
        <v>19</v>
      </c>
      <c r="H64" s="322" t="s">
        <v>215</v>
      </c>
      <c r="I64" s="322"/>
      <c r="J64" s="395" t="s">
        <v>19</v>
      </c>
      <c r="K64" s="322" t="s">
        <v>88</v>
      </c>
      <c r="L64" s="322"/>
      <c r="M64" s="395" t="s">
        <v>19</v>
      </c>
      <c r="N64" s="322" t="s">
        <v>216</v>
      </c>
      <c r="O64" s="322"/>
      <c r="P64" s="395" t="s">
        <v>19</v>
      </c>
      <c r="Q64" s="351" t="s">
        <v>217</v>
      </c>
      <c r="R64" s="351"/>
      <c r="S64" s="395" t="s">
        <v>19</v>
      </c>
      <c r="T64" s="351" t="s">
        <v>218</v>
      </c>
      <c r="U64" s="351"/>
      <c r="V64" s="395" t="s">
        <v>19</v>
      </c>
      <c r="W64" s="322" t="s">
        <v>29</v>
      </c>
      <c r="X64" s="322"/>
    </row>
    <row r="65" spans="1:27" s="1" customFormat="1" ht="24.75" customHeight="1">
      <c r="A65" s="395" t="s">
        <v>30</v>
      </c>
      <c r="B65" s="322" t="s">
        <v>31</v>
      </c>
      <c r="C65" s="322"/>
      <c r="D65" s="395" t="s">
        <v>30</v>
      </c>
      <c r="E65" s="310" t="s">
        <v>220</v>
      </c>
      <c r="F65" s="310"/>
      <c r="G65" s="395" t="s">
        <v>30</v>
      </c>
      <c r="H65" s="310" t="s">
        <v>221</v>
      </c>
      <c r="I65" s="310"/>
      <c r="J65" s="395" t="s">
        <v>30</v>
      </c>
      <c r="K65" s="310" t="s">
        <v>101</v>
      </c>
      <c r="L65" s="310"/>
      <c r="M65" s="395" t="s">
        <v>30</v>
      </c>
      <c r="N65" s="310" t="s">
        <v>222</v>
      </c>
      <c r="O65" s="310"/>
      <c r="P65" s="395" t="s">
        <v>30</v>
      </c>
      <c r="Q65" s="352" t="s">
        <v>217</v>
      </c>
      <c r="R65" s="352"/>
      <c r="S65" s="395" t="s">
        <v>30</v>
      </c>
      <c r="T65" s="352" t="s">
        <v>223</v>
      </c>
      <c r="U65" s="352"/>
      <c r="V65" s="395" t="s">
        <v>30</v>
      </c>
      <c r="W65" s="309" t="s">
        <v>224</v>
      </c>
      <c r="X65" s="309"/>
      <c r="Y65" s="390"/>
      <c r="Z65" s="390"/>
      <c r="AA65" s="390"/>
    </row>
    <row r="66" spans="1:27" s="1" customFormat="1" ht="96" customHeight="1">
      <c r="A66" s="395" t="s">
        <v>41</v>
      </c>
      <c r="B66" s="310" t="s">
        <v>42</v>
      </c>
      <c r="C66" s="310"/>
      <c r="D66" s="395" t="s">
        <v>41</v>
      </c>
      <c r="E66" s="325" t="s">
        <v>225</v>
      </c>
      <c r="F66" s="325"/>
      <c r="G66" s="395" t="s">
        <v>41</v>
      </c>
      <c r="H66" s="310" t="s">
        <v>226</v>
      </c>
      <c r="I66" s="310"/>
      <c r="J66" s="395" t="s">
        <v>41</v>
      </c>
      <c r="K66" s="310" t="s">
        <v>115</v>
      </c>
      <c r="L66" s="310"/>
      <c r="M66" s="395" t="s">
        <v>41</v>
      </c>
      <c r="N66" s="310" t="s">
        <v>227</v>
      </c>
      <c r="O66" s="310"/>
      <c r="P66" s="395" t="s">
        <v>41</v>
      </c>
      <c r="Q66" s="352" t="s">
        <v>228</v>
      </c>
      <c r="R66" s="352"/>
      <c r="S66" s="395" t="s">
        <v>41</v>
      </c>
      <c r="T66" s="351" t="s">
        <v>229</v>
      </c>
      <c r="U66" s="352"/>
      <c r="V66" s="395" t="s">
        <v>41</v>
      </c>
      <c r="W66" s="310" t="s">
        <v>230</v>
      </c>
      <c r="X66" s="310"/>
      <c r="Y66" s="390"/>
      <c r="Z66" s="390"/>
      <c r="AA66" s="390"/>
    </row>
    <row r="67" spans="1:27" s="1" customFormat="1" ht="24.75" customHeight="1">
      <c r="A67" s="395" t="s">
        <v>1</v>
      </c>
      <c r="B67" s="395" t="s">
        <v>52</v>
      </c>
      <c r="C67" s="395" t="s">
        <v>53</v>
      </c>
      <c r="D67" s="395" t="s">
        <v>121</v>
      </c>
      <c r="E67" s="395" t="s">
        <v>54</v>
      </c>
      <c r="F67" s="395" t="s">
        <v>122</v>
      </c>
      <c r="G67" s="395" t="s">
        <v>121</v>
      </c>
      <c r="H67" s="395" t="s">
        <v>54</v>
      </c>
      <c r="I67" s="395" t="s">
        <v>122</v>
      </c>
      <c r="J67" s="395" t="s">
        <v>121</v>
      </c>
      <c r="K67" s="395" t="s">
        <v>54</v>
      </c>
      <c r="L67" s="395" t="s">
        <v>122</v>
      </c>
      <c r="M67" s="395" t="s">
        <v>121</v>
      </c>
      <c r="N67" s="395" t="s">
        <v>54</v>
      </c>
      <c r="O67" s="395" t="s">
        <v>122</v>
      </c>
      <c r="P67" s="395" t="s">
        <v>121</v>
      </c>
      <c r="Q67" s="395" t="s">
        <v>54</v>
      </c>
      <c r="R67" s="395" t="s">
        <v>122</v>
      </c>
      <c r="S67" s="395" t="s">
        <v>121</v>
      </c>
      <c r="T67" s="395" t="s">
        <v>54</v>
      </c>
      <c r="U67" s="395" t="s">
        <v>122</v>
      </c>
      <c r="V67" s="395" t="s">
        <v>121</v>
      </c>
      <c r="W67" s="395" t="s">
        <v>54</v>
      </c>
      <c r="X67" s="395" t="s">
        <v>122</v>
      </c>
      <c r="Y67" s="390"/>
      <c r="Z67" s="390"/>
      <c r="AA67" s="390"/>
    </row>
    <row r="68" spans="1:27" s="1" customFormat="1" ht="38" customHeight="1">
      <c r="A68" s="395">
        <v>2020</v>
      </c>
      <c r="B68" s="406">
        <v>81.25</v>
      </c>
      <c r="C68" s="409"/>
      <c r="D68" s="395">
        <v>2020</v>
      </c>
      <c r="E68" s="394">
        <v>100</v>
      </c>
      <c r="F68" s="393" t="s">
        <v>2038</v>
      </c>
      <c r="G68" s="395">
        <v>2020</v>
      </c>
      <c r="H68" s="396">
        <v>0</v>
      </c>
      <c r="I68" s="404" t="s">
        <v>2039</v>
      </c>
      <c r="J68" s="395">
        <v>2020</v>
      </c>
      <c r="K68" s="396">
        <v>50</v>
      </c>
      <c r="L68" s="393" t="s">
        <v>2040</v>
      </c>
      <c r="M68" s="395">
        <v>2020</v>
      </c>
      <c r="N68" s="396">
        <v>100</v>
      </c>
      <c r="O68" s="393" t="s">
        <v>2041</v>
      </c>
      <c r="P68" s="395">
        <v>2020</v>
      </c>
      <c r="Q68" s="424">
        <v>100</v>
      </c>
      <c r="R68" s="425" t="s">
        <v>2042</v>
      </c>
      <c r="S68" s="395">
        <v>2020</v>
      </c>
      <c r="T68" s="424">
        <v>100</v>
      </c>
      <c r="U68" s="425" t="s">
        <v>2043</v>
      </c>
      <c r="V68" s="395">
        <v>2020</v>
      </c>
      <c r="W68" s="396">
        <v>100</v>
      </c>
      <c r="X68" s="393" t="s">
        <v>2044</v>
      </c>
      <c r="Y68" s="390"/>
      <c r="Z68" s="390"/>
      <c r="AA68" s="390"/>
    </row>
    <row r="69" spans="1:27" s="1" customFormat="1" ht="36.5" customHeight="1">
      <c r="A69" s="395">
        <v>2021</v>
      </c>
      <c r="B69" s="406">
        <v>81.25</v>
      </c>
      <c r="C69" s="406"/>
      <c r="D69" s="395">
        <v>2021</v>
      </c>
      <c r="E69" s="394">
        <v>100</v>
      </c>
      <c r="F69" s="404"/>
      <c r="G69" s="395">
        <v>2021</v>
      </c>
      <c r="H69" s="396">
        <v>0</v>
      </c>
      <c r="I69" s="404"/>
      <c r="J69" s="395">
        <v>2021</v>
      </c>
      <c r="K69" s="396">
        <v>50</v>
      </c>
      <c r="L69" s="404"/>
      <c r="M69" s="395">
        <v>2021</v>
      </c>
      <c r="N69" s="396">
        <v>100</v>
      </c>
      <c r="O69" s="404"/>
      <c r="P69" s="395">
        <v>2021</v>
      </c>
      <c r="Q69" s="424">
        <v>100</v>
      </c>
      <c r="R69" s="426"/>
      <c r="S69" s="395">
        <v>2021</v>
      </c>
      <c r="T69" s="424">
        <v>100</v>
      </c>
      <c r="U69" s="426"/>
      <c r="V69" s="395">
        <v>2021</v>
      </c>
      <c r="W69" s="396">
        <v>100</v>
      </c>
      <c r="X69" s="393"/>
      <c r="Y69" s="390"/>
      <c r="Z69" s="390"/>
      <c r="AA69" s="390"/>
    </row>
    <row r="70" spans="1:27" s="1" customFormat="1" ht="37" customHeight="1">
      <c r="A70" s="395">
        <v>2022</v>
      </c>
      <c r="B70" s="406">
        <v>81.25</v>
      </c>
      <c r="C70" s="406"/>
      <c r="D70" s="395">
        <v>2022</v>
      </c>
      <c r="E70" s="394">
        <v>100</v>
      </c>
      <c r="F70" s="404"/>
      <c r="G70" s="395">
        <v>2022</v>
      </c>
      <c r="H70" s="396">
        <v>0</v>
      </c>
      <c r="I70" s="404"/>
      <c r="J70" s="395">
        <v>2022</v>
      </c>
      <c r="K70" s="396">
        <v>50</v>
      </c>
      <c r="L70" s="404"/>
      <c r="M70" s="395">
        <v>2022</v>
      </c>
      <c r="N70" s="396">
        <v>100</v>
      </c>
      <c r="O70" s="404"/>
      <c r="P70" s="395">
        <v>2022</v>
      </c>
      <c r="Q70" s="424">
        <v>100</v>
      </c>
      <c r="R70" s="426"/>
      <c r="S70" s="395">
        <v>2022</v>
      </c>
      <c r="T70" s="424">
        <v>100</v>
      </c>
      <c r="U70" s="426"/>
      <c r="V70" s="395">
        <v>2022</v>
      </c>
      <c r="W70" s="396">
        <v>100</v>
      </c>
      <c r="X70" s="393"/>
      <c r="Y70" s="390"/>
      <c r="Z70" s="390"/>
      <c r="AA70" s="390"/>
    </row>
    <row r="71" spans="1:27" s="1" customFormat="1" ht="30.5" customHeight="1">
      <c r="A71" s="395">
        <v>2023</v>
      </c>
      <c r="B71" s="406">
        <v>81.25</v>
      </c>
      <c r="C71" s="406"/>
      <c r="D71" s="395">
        <v>2023</v>
      </c>
      <c r="E71" s="394">
        <v>100</v>
      </c>
      <c r="F71" s="404"/>
      <c r="G71" s="395">
        <v>2023</v>
      </c>
      <c r="H71" s="396">
        <v>0</v>
      </c>
      <c r="I71" s="404"/>
      <c r="J71" s="395">
        <v>2023</v>
      </c>
      <c r="K71" s="396">
        <v>50</v>
      </c>
      <c r="L71" s="404"/>
      <c r="M71" s="395">
        <v>2023</v>
      </c>
      <c r="N71" s="396">
        <v>100</v>
      </c>
      <c r="O71" s="404"/>
      <c r="P71" s="395">
        <v>2023</v>
      </c>
      <c r="Q71" s="424">
        <v>100</v>
      </c>
      <c r="R71" s="426"/>
      <c r="S71" s="395">
        <v>2023</v>
      </c>
      <c r="T71" s="424">
        <v>100</v>
      </c>
      <c r="U71" s="426"/>
      <c r="V71" s="395">
        <v>2023</v>
      </c>
      <c r="W71" s="396">
        <v>100</v>
      </c>
      <c r="X71" s="393"/>
      <c r="Y71" s="390"/>
      <c r="Z71" s="390"/>
      <c r="AA71" s="390"/>
    </row>
    <row r="72" spans="1:27" s="1" customFormat="1" ht="27.5" customHeight="1">
      <c r="A72" s="395">
        <v>2024</v>
      </c>
      <c r="B72" s="406">
        <v>81.25</v>
      </c>
      <c r="C72" s="406"/>
      <c r="D72" s="395">
        <v>2024</v>
      </c>
      <c r="E72" s="394">
        <v>100</v>
      </c>
      <c r="F72" s="393" t="s">
        <v>2038</v>
      </c>
      <c r="G72" s="395">
        <v>2024</v>
      </c>
      <c r="H72" s="396">
        <v>0</v>
      </c>
      <c r="I72" s="404" t="s">
        <v>2039</v>
      </c>
      <c r="J72" s="395">
        <v>2024</v>
      </c>
      <c r="K72" s="396">
        <v>50</v>
      </c>
      <c r="L72" s="393" t="s">
        <v>2040</v>
      </c>
      <c r="M72" s="395">
        <v>2024</v>
      </c>
      <c r="N72" s="396">
        <v>100</v>
      </c>
      <c r="O72" s="393" t="s">
        <v>2041</v>
      </c>
      <c r="P72" s="395">
        <v>2024</v>
      </c>
      <c r="Q72" s="424">
        <v>100</v>
      </c>
      <c r="R72" s="425" t="s">
        <v>2042</v>
      </c>
      <c r="S72" s="395">
        <v>2024</v>
      </c>
      <c r="T72" s="424">
        <v>100</v>
      </c>
      <c r="U72" s="425" t="s">
        <v>2043</v>
      </c>
      <c r="V72" s="395">
        <v>2024</v>
      </c>
      <c r="W72" s="396">
        <v>100</v>
      </c>
      <c r="X72" s="393" t="s">
        <v>2044</v>
      </c>
      <c r="Y72" s="390"/>
      <c r="Z72" s="390"/>
      <c r="AA72" s="390"/>
    </row>
    <row r="73" spans="1:27" s="1" customFormat="1" ht="24.75" customHeight="1">
      <c r="A73" s="390"/>
      <c r="B73" s="390"/>
      <c r="C73" s="390"/>
      <c r="D73" s="390"/>
      <c r="E73" s="390"/>
      <c r="F73" s="390"/>
      <c r="G73" s="390"/>
      <c r="H73" s="390"/>
      <c r="I73" s="390"/>
      <c r="J73" s="390"/>
      <c r="K73" s="390"/>
      <c r="L73" s="390"/>
      <c r="M73" s="390"/>
      <c r="N73" s="390"/>
      <c r="O73" s="390"/>
      <c r="P73" s="390"/>
      <c r="Q73" s="390"/>
      <c r="R73" s="390"/>
      <c r="S73" s="390"/>
      <c r="T73" s="390"/>
      <c r="U73" s="390"/>
      <c r="V73" s="390"/>
      <c r="W73" s="390"/>
      <c r="X73" s="390"/>
      <c r="Y73" s="390"/>
      <c r="Z73" s="390"/>
      <c r="AA73" s="390"/>
    </row>
    <row r="74" spans="1:27" s="1" customFormat="1" ht="24.75" customHeight="1">
      <c r="A74" s="407"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s="1" customFormat="1" ht="24.75" customHeight="1">
      <c r="A75" s="407" t="s">
        <v>7</v>
      </c>
      <c r="B75" s="318" t="s">
        <v>233</v>
      </c>
      <c r="C75" s="318"/>
      <c r="D75" s="407" t="s">
        <v>7</v>
      </c>
      <c r="E75" s="312" t="s">
        <v>234</v>
      </c>
      <c r="F75" s="312"/>
      <c r="G75" s="407" t="s">
        <v>7</v>
      </c>
      <c r="H75" s="312" t="s">
        <v>235</v>
      </c>
      <c r="I75" s="312"/>
      <c r="J75" s="407" t="s">
        <v>7</v>
      </c>
      <c r="K75" s="312" t="s">
        <v>236</v>
      </c>
      <c r="L75" s="312"/>
      <c r="M75" s="407" t="s">
        <v>7</v>
      </c>
      <c r="N75" s="312"/>
      <c r="O75" s="312"/>
      <c r="P75" s="407" t="s">
        <v>7</v>
      </c>
      <c r="Q75" s="312"/>
      <c r="R75" s="312"/>
      <c r="S75" s="407" t="s">
        <v>7</v>
      </c>
      <c r="T75" s="312"/>
      <c r="U75" s="312"/>
      <c r="V75" s="407" t="s">
        <v>7</v>
      </c>
      <c r="W75" s="312"/>
      <c r="X75" s="312"/>
      <c r="Y75" s="407" t="s">
        <v>7</v>
      </c>
      <c r="Z75" s="312" t="s">
        <v>237</v>
      </c>
      <c r="AA75" s="312"/>
    </row>
    <row r="76" spans="1:27" s="1" customFormat="1" ht="24.75" customHeight="1">
      <c r="A76" s="407" t="s">
        <v>13</v>
      </c>
      <c r="B76" s="395"/>
      <c r="C76" s="395"/>
      <c r="D76" s="407" t="s">
        <v>13</v>
      </c>
      <c r="E76" s="408"/>
      <c r="F76" s="408"/>
      <c r="G76" s="407" t="s">
        <v>13</v>
      </c>
      <c r="H76" s="311"/>
      <c r="I76" s="311"/>
      <c r="J76" s="407" t="s">
        <v>13</v>
      </c>
      <c r="K76" s="311"/>
      <c r="L76" s="311"/>
      <c r="M76" s="407" t="s">
        <v>13</v>
      </c>
      <c r="N76" s="311" t="s">
        <v>238</v>
      </c>
      <c r="O76" s="311"/>
      <c r="P76" s="407" t="s">
        <v>13</v>
      </c>
      <c r="Q76" s="311" t="s">
        <v>239</v>
      </c>
      <c r="R76" s="311"/>
      <c r="S76" s="407" t="s">
        <v>13</v>
      </c>
      <c r="T76" s="311" t="s">
        <v>240</v>
      </c>
      <c r="U76" s="311"/>
      <c r="V76" s="407" t="s">
        <v>13</v>
      </c>
      <c r="W76" s="311" t="s">
        <v>241</v>
      </c>
      <c r="X76" s="311"/>
      <c r="Y76" s="407" t="s">
        <v>13</v>
      </c>
      <c r="Z76" s="311"/>
      <c r="AA76" s="311"/>
    </row>
    <row r="77" spans="1:27" s="1" customFormat="1" ht="24.75" customHeight="1">
      <c r="A77" s="395" t="s">
        <v>19</v>
      </c>
      <c r="B77" s="322" t="s">
        <v>242</v>
      </c>
      <c r="C77" s="322"/>
      <c r="D77" s="395" t="s">
        <v>19</v>
      </c>
      <c r="E77" s="322" t="s">
        <v>243</v>
      </c>
      <c r="F77" s="322"/>
      <c r="G77" s="395" t="s">
        <v>19</v>
      </c>
      <c r="H77" s="327" t="s">
        <v>244</v>
      </c>
      <c r="I77" s="327"/>
      <c r="J77" s="395" t="s">
        <v>19</v>
      </c>
      <c r="K77" s="322" t="s">
        <v>245</v>
      </c>
      <c r="L77" s="322"/>
      <c r="M77" s="395" t="s">
        <v>19</v>
      </c>
      <c r="N77" s="322" t="s">
        <v>246</v>
      </c>
      <c r="O77" s="322"/>
      <c r="P77" s="395" t="s">
        <v>19</v>
      </c>
      <c r="Q77" s="322" t="s">
        <v>247</v>
      </c>
      <c r="R77" s="322"/>
      <c r="S77" s="395" t="s">
        <v>19</v>
      </c>
      <c r="T77" s="322" t="s">
        <v>88</v>
      </c>
      <c r="U77" s="322"/>
      <c r="V77" s="395" t="s">
        <v>19</v>
      </c>
      <c r="W77" s="322" t="s">
        <v>248</v>
      </c>
      <c r="X77" s="322"/>
      <c r="Y77" s="395" t="s">
        <v>19</v>
      </c>
      <c r="Z77" s="322" t="s">
        <v>249</v>
      </c>
      <c r="AA77" s="322"/>
    </row>
    <row r="78" spans="1:27" s="1" customFormat="1" ht="28" customHeight="1">
      <c r="A78" s="395" t="s">
        <v>30</v>
      </c>
      <c r="B78" s="322" t="s">
        <v>31</v>
      </c>
      <c r="C78" s="322"/>
      <c r="D78" s="395" t="s">
        <v>30</v>
      </c>
      <c r="E78" s="310" t="s">
        <v>250</v>
      </c>
      <c r="F78" s="310"/>
      <c r="G78" s="395" t="s">
        <v>30</v>
      </c>
      <c r="H78" s="325" t="s">
        <v>251</v>
      </c>
      <c r="I78" s="325"/>
      <c r="J78" s="395" t="s">
        <v>30</v>
      </c>
      <c r="K78" s="310" t="s">
        <v>252</v>
      </c>
      <c r="L78" s="310"/>
      <c r="M78" s="395" t="s">
        <v>30</v>
      </c>
      <c r="N78" s="310" t="s">
        <v>253</v>
      </c>
      <c r="O78" s="310"/>
      <c r="P78" s="395" t="s">
        <v>30</v>
      </c>
      <c r="Q78" s="310" t="s">
        <v>254</v>
      </c>
      <c r="R78" s="310"/>
      <c r="S78" s="395" t="s">
        <v>30</v>
      </c>
      <c r="T78" s="310" t="s">
        <v>255</v>
      </c>
      <c r="U78" s="310"/>
      <c r="V78" s="395" t="s">
        <v>30</v>
      </c>
      <c r="W78" s="310" t="s">
        <v>256</v>
      </c>
      <c r="X78" s="310"/>
      <c r="Y78" s="395" t="s">
        <v>30</v>
      </c>
      <c r="Z78" s="310" t="s">
        <v>257</v>
      </c>
      <c r="AA78" s="310"/>
    </row>
    <row r="79" spans="1:27" s="1" customFormat="1" ht="27.5" customHeight="1">
      <c r="A79" s="395" t="s">
        <v>41</v>
      </c>
      <c r="B79" s="310" t="s">
        <v>42</v>
      </c>
      <c r="C79" s="310"/>
      <c r="D79" s="395" t="s">
        <v>41</v>
      </c>
      <c r="E79" s="322" t="s">
        <v>258</v>
      </c>
      <c r="F79" s="310"/>
      <c r="G79" s="395" t="s">
        <v>41</v>
      </c>
      <c r="H79" s="325" t="s">
        <v>259</v>
      </c>
      <c r="I79" s="325"/>
      <c r="J79" s="395" t="s">
        <v>41</v>
      </c>
      <c r="K79" s="310" t="s">
        <v>42</v>
      </c>
      <c r="L79" s="310"/>
      <c r="M79" s="395" t="s">
        <v>41</v>
      </c>
      <c r="N79" s="310" t="s">
        <v>260</v>
      </c>
      <c r="O79" s="310"/>
      <c r="P79" s="395" t="s">
        <v>41</v>
      </c>
      <c r="Q79" s="310" t="s">
        <v>261</v>
      </c>
      <c r="R79" s="310"/>
      <c r="S79" s="395" t="s">
        <v>41</v>
      </c>
      <c r="T79" s="310" t="s">
        <v>262</v>
      </c>
      <c r="U79" s="310"/>
      <c r="V79" s="395" t="s">
        <v>41</v>
      </c>
      <c r="W79" s="310" t="s">
        <v>263</v>
      </c>
      <c r="X79" s="310"/>
      <c r="Y79" s="395" t="s">
        <v>41</v>
      </c>
      <c r="Z79" s="327" t="s">
        <v>264</v>
      </c>
      <c r="AA79" s="325"/>
    </row>
    <row r="80" spans="1:27" s="1" customFormat="1" ht="24.75" customHeight="1">
      <c r="A80" s="395" t="s">
        <v>121</v>
      </c>
      <c r="B80" s="395" t="s">
        <v>54</v>
      </c>
      <c r="C80" s="395" t="s">
        <v>122</v>
      </c>
      <c r="D80" s="395" t="s">
        <v>121</v>
      </c>
      <c r="E80" s="395" t="s">
        <v>54</v>
      </c>
      <c r="F80" s="395" t="s">
        <v>122</v>
      </c>
      <c r="G80" s="395" t="s">
        <v>121</v>
      </c>
      <c r="H80" s="395" t="s">
        <v>54</v>
      </c>
      <c r="I80" s="395" t="s">
        <v>122</v>
      </c>
      <c r="J80" s="395" t="s">
        <v>121</v>
      </c>
      <c r="K80" s="395" t="s">
        <v>54</v>
      </c>
      <c r="L80" s="395" t="s">
        <v>122</v>
      </c>
      <c r="M80" s="395" t="s">
        <v>121</v>
      </c>
      <c r="N80" s="395" t="s">
        <v>54</v>
      </c>
      <c r="O80" s="395" t="s">
        <v>122</v>
      </c>
      <c r="P80" s="395" t="s">
        <v>121</v>
      </c>
      <c r="Q80" s="395" t="s">
        <v>54</v>
      </c>
      <c r="R80" s="395" t="s">
        <v>122</v>
      </c>
      <c r="S80" s="395" t="s">
        <v>121</v>
      </c>
      <c r="T80" s="395" t="s">
        <v>54</v>
      </c>
      <c r="U80" s="395" t="s">
        <v>122</v>
      </c>
      <c r="V80" s="395" t="s">
        <v>121</v>
      </c>
      <c r="W80" s="395" t="s">
        <v>54</v>
      </c>
      <c r="X80" s="395" t="s">
        <v>122</v>
      </c>
      <c r="Y80" s="395" t="s">
        <v>121</v>
      </c>
      <c r="Z80" s="395" t="s">
        <v>54</v>
      </c>
      <c r="AA80" s="395" t="s">
        <v>122</v>
      </c>
    </row>
    <row r="81" spans="1:33" s="1" customFormat="1" ht="51.5" customHeight="1">
      <c r="A81" s="395">
        <v>2020</v>
      </c>
      <c r="B81" s="406">
        <v>87.5</v>
      </c>
      <c r="C81" s="406"/>
      <c r="D81" s="395">
        <v>2020</v>
      </c>
      <c r="E81" s="396">
        <v>100</v>
      </c>
      <c r="F81" s="404" t="s">
        <v>2045</v>
      </c>
      <c r="G81" s="395">
        <v>2020</v>
      </c>
      <c r="H81" s="396">
        <v>100</v>
      </c>
      <c r="I81" s="404" t="s">
        <v>2046</v>
      </c>
      <c r="J81" s="395">
        <v>2020</v>
      </c>
      <c r="K81" s="405">
        <v>50</v>
      </c>
      <c r="L81" s="396"/>
      <c r="M81" s="395">
        <v>2020</v>
      </c>
      <c r="N81" s="394">
        <v>50</v>
      </c>
      <c r="O81" s="404" t="s">
        <v>2047</v>
      </c>
      <c r="P81" s="395">
        <v>2020</v>
      </c>
      <c r="Q81" s="394">
        <v>0</v>
      </c>
      <c r="R81" s="404" t="s">
        <v>2048</v>
      </c>
      <c r="S81" s="395">
        <v>2020</v>
      </c>
      <c r="T81" s="394">
        <v>100</v>
      </c>
      <c r="U81" s="404" t="s">
        <v>2049</v>
      </c>
      <c r="V81" s="395">
        <v>2020</v>
      </c>
      <c r="W81" s="394">
        <v>50</v>
      </c>
      <c r="X81" s="393" t="s">
        <v>2050</v>
      </c>
      <c r="Y81" s="395">
        <v>2020</v>
      </c>
      <c r="Z81" s="396">
        <v>100</v>
      </c>
      <c r="AA81" s="393" t="s">
        <v>2051</v>
      </c>
      <c r="AB81" s="390"/>
      <c r="AC81" s="390"/>
      <c r="AD81" s="390"/>
      <c r="AE81" s="390"/>
      <c r="AF81" s="390"/>
      <c r="AG81" s="390"/>
    </row>
    <row r="82" spans="1:33" s="1" customFormat="1" ht="24.75" customHeight="1">
      <c r="A82" s="395">
        <v>2021</v>
      </c>
      <c r="B82" s="406">
        <v>87.5</v>
      </c>
      <c r="C82" s="406"/>
      <c r="D82" s="395">
        <v>2021</v>
      </c>
      <c r="E82" s="396">
        <v>100</v>
      </c>
      <c r="F82" s="404"/>
      <c r="G82" s="395">
        <v>2021</v>
      </c>
      <c r="H82" s="396">
        <v>100</v>
      </c>
      <c r="I82" s="404"/>
      <c r="J82" s="395">
        <v>2021</v>
      </c>
      <c r="K82" s="405">
        <v>50</v>
      </c>
      <c r="L82" s="396"/>
      <c r="M82" s="395">
        <v>2021</v>
      </c>
      <c r="N82" s="394">
        <v>50</v>
      </c>
      <c r="O82" s="404"/>
      <c r="P82" s="395">
        <v>2021</v>
      </c>
      <c r="Q82" s="394">
        <v>0</v>
      </c>
      <c r="R82" s="404"/>
      <c r="S82" s="395">
        <v>2021</v>
      </c>
      <c r="T82" s="394">
        <v>100</v>
      </c>
      <c r="U82" s="404"/>
      <c r="V82" s="395">
        <v>2021</v>
      </c>
      <c r="W82" s="394">
        <v>50</v>
      </c>
      <c r="X82" s="404"/>
      <c r="Y82" s="395">
        <v>2021</v>
      </c>
      <c r="Z82" s="396">
        <v>100</v>
      </c>
      <c r="AA82" s="393"/>
      <c r="AB82" s="390"/>
      <c r="AC82" s="390"/>
      <c r="AD82" s="390"/>
      <c r="AE82" s="390"/>
      <c r="AF82" s="390"/>
      <c r="AG82" s="390"/>
    </row>
    <row r="83" spans="1:33" s="1" customFormat="1" ht="24.75" customHeight="1">
      <c r="A83" s="395">
        <v>2022</v>
      </c>
      <c r="B83" s="406">
        <v>87.5</v>
      </c>
      <c r="C83" s="406"/>
      <c r="D83" s="395">
        <v>2022</v>
      </c>
      <c r="E83" s="396">
        <v>100</v>
      </c>
      <c r="F83" s="404"/>
      <c r="G83" s="395">
        <v>2022</v>
      </c>
      <c r="H83" s="396">
        <v>100</v>
      </c>
      <c r="I83" s="404"/>
      <c r="J83" s="395">
        <v>2022</v>
      </c>
      <c r="K83" s="405">
        <v>50</v>
      </c>
      <c r="L83" s="396"/>
      <c r="M83" s="395">
        <v>2022</v>
      </c>
      <c r="N83" s="394">
        <v>50</v>
      </c>
      <c r="O83" s="404"/>
      <c r="P83" s="395">
        <v>2022</v>
      </c>
      <c r="Q83" s="394">
        <v>0</v>
      </c>
      <c r="R83" s="404"/>
      <c r="S83" s="395">
        <v>2022</v>
      </c>
      <c r="T83" s="394">
        <v>100</v>
      </c>
      <c r="U83" s="404"/>
      <c r="V83" s="395">
        <v>2022</v>
      </c>
      <c r="W83" s="394">
        <v>50</v>
      </c>
      <c r="X83" s="404"/>
      <c r="Y83" s="395">
        <v>2022</v>
      </c>
      <c r="Z83" s="396">
        <v>100</v>
      </c>
      <c r="AA83" s="393"/>
      <c r="AB83" s="390"/>
      <c r="AC83" s="390"/>
      <c r="AD83" s="390"/>
      <c r="AE83" s="390"/>
      <c r="AF83" s="390"/>
      <c r="AG83" s="390"/>
    </row>
    <row r="84" spans="1:33" s="1" customFormat="1" ht="25" customHeight="1">
      <c r="A84" s="395">
        <v>2023</v>
      </c>
      <c r="B84" s="406">
        <v>87.5</v>
      </c>
      <c r="C84" s="406"/>
      <c r="D84" s="395">
        <v>2023</v>
      </c>
      <c r="E84" s="396">
        <v>100</v>
      </c>
      <c r="F84" s="404"/>
      <c r="G84" s="395">
        <v>2023</v>
      </c>
      <c r="H84" s="396">
        <v>100</v>
      </c>
      <c r="I84" s="404"/>
      <c r="J84" s="395">
        <v>2023</v>
      </c>
      <c r="K84" s="405">
        <v>50</v>
      </c>
      <c r="L84" s="396"/>
      <c r="M84" s="395">
        <v>2023</v>
      </c>
      <c r="N84" s="394">
        <v>50</v>
      </c>
      <c r="O84" s="404"/>
      <c r="P84" s="395">
        <v>2023</v>
      </c>
      <c r="Q84" s="394">
        <v>0</v>
      </c>
      <c r="R84" s="404"/>
      <c r="S84" s="395">
        <v>2023</v>
      </c>
      <c r="T84" s="394">
        <v>100</v>
      </c>
      <c r="U84" s="404"/>
      <c r="V84" s="395">
        <v>2023</v>
      </c>
      <c r="W84" s="394">
        <v>50</v>
      </c>
      <c r="X84" s="404"/>
      <c r="Y84" s="395">
        <v>2023</v>
      </c>
      <c r="Z84" s="396">
        <v>100</v>
      </c>
      <c r="AA84" s="393"/>
      <c r="AB84" s="390"/>
      <c r="AC84" s="390"/>
      <c r="AD84" s="390"/>
      <c r="AE84" s="390"/>
      <c r="AF84" s="390"/>
      <c r="AG84" s="390"/>
    </row>
    <row r="85" spans="1:33" s="1" customFormat="1" ht="39" customHeight="1">
      <c r="A85" s="395">
        <v>2024</v>
      </c>
      <c r="B85" s="406">
        <v>87.5</v>
      </c>
      <c r="C85" s="406"/>
      <c r="D85" s="395">
        <v>2024</v>
      </c>
      <c r="E85" s="396">
        <v>100</v>
      </c>
      <c r="F85" s="404" t="s">
        <v>2045</v>
      </c>
      <c r="G85" s="395">
        <v>2024</v>
      </c>
      <c r="H85" s="396">
        <v>100</v>
      </c>
      <c r="I85" s="404" t="s">
        <v>2046</v>
      </c>
      <c r="J85" s="395">
        <v>2024</v>
      </c>
      <c r="K85" s="405">
        <v>50</v>
      </c>
      <c r="L85" s="396"/>
      <c r="M85" s="395">
        <v>2024</v>
      </c>
      <c r="N85" s="394">
        <v>50</v>
      </c>
      <c r="O85" s="404" t="s">
        <v>2047</v>
      </c>
      <c r="P85" s="395">
        <v>2024</v>
      </c>
      <c r="Q85" s="394">
        <v>0</v>
      </c>
      <c r="R85" s="404" t="s">
        <v>2048</v>
      </c>
      <c r="S85" s="395">
        <v>2024</v>
      </c>
      <c r="T85" s="394">
        <v>100</v>
      </c>
      <c r="U85" s="404" t="s">
        <v>2049</v>
      </c>
      <c r="V85" s="395">
        <v>2024</v>
      </c>
      <c r="W85" s="394">
        <v>50</v>
      </c>
      <c r="X85" s="393" t="s">
        <v>2050</v>
      </c>
      <c r="Y85" s="395">
        <v>2024</v>
      </c>
      <c r="Z85" s="396">
        <v>100</v>
      </c>
      <c r="AA85" s="393" t="s">
        <v>2051</v>
      </c>
      <c r="AB85" s="390"/>
      <c r="AC85" s="390"/>
      <c r="AD85" s="390"/>
      <c r="AE85" s="390"/>
      <c r="AF85" s="390"/>
      <c r="AG85" s="390"/>
    </row>
    <row r="86" spans="1:33" s="1" customFormat="1" ht="24.75" customHeight="1">
      <c r="A86" s="390"/>
      <c r="B86" s="390"/>
      <c r="C86" s="390"/>
      <c r="D86" s="390"/>
      <c r="E86" s="390"/>
      <c r="F86" s="390"/>
      <c r="G86" s="390"/>
      <c r="H86" s="390"/>
      <c r="I86" s="390"/>
      <c r="J86" s="390"/>
      <c r="K86" s="390"/>
      <c r="L86" s="390"/>
      <c r="M86" s="390"/>
      <c r="N86" s="390"/>
      <c r="O86" s="390"/>
      <c r="P86" s="390"/>
      <c r="Q86" s="390"/>
      <c r="R86" s="390"/>
      <c r="S86" s="390"/>
      <c r="T86" s="390"/>
      <c r="U86" s="390"/>
      <c r="V86" s="390"/>
      <c r="W86" s="417"/>
      <c r="X86" s="390"/>
      <c r="Y86" s="390"/>
      <c r="Z86" s="390"/>
      <c r="AA86" s="390"/>
      <c r="AB86" s="390"/>
      <c r="AC86" s="390"/>
      <c r="AD86" s="390"/>
      <c r="AE86" s="390"/>
      <c r="AF86" s="390"/>
      <c r="AG86" s="390"/>
    </row>
    <row r="87" spans="1:33" s="1" customFormat="1" ht="24.75" customHeight="1">
      <c r="A87" s="407"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s="1" customFormat="1" ht="24.75" customHeight="1">
      <c r="A88" s="407" t="s">
        <v>7</v>
      </c>
      <c r="B88" s="318" t="s">
        <v>266</v>
      </c>
      <c r="C88" s="318"/>
      <c r="D88" s="407" t="s">
        <v>7</v>
      </c>
      <c r="E88" s="312" t="s">
        <v>267</v>
      </c>
      <c r="F88" s="312"/>
      <c r="G88" s="407" t="s">
        <v>7</v>
      </c>
      <c r="H88" s="312" t="s">
        <v>268</v>
      </c>
      <c r="I88" s="312"/>
      <c r="J88" s="407" t="s">
        <v>7</v>
      </c>
      <c r="K88" s="312"/>
      <c r="L88" s="312"/>
      <c r="M88" s="407" t="s">
        <v>7</v>
      </c>
      <c r="N88" s="312"/>
      <c r="O88" s="312"/>
      <c r="P88" s="407" t="s">
        <v>7</v>
      </c>
      <c r="Q88" s="312"/>
      <c r="R88" s="312"/>
      <c r="S88" s="407" t="s">
        <v>7</v>
      </c>
      <c r="T88" s="312"/>
      <c r="U88" s="312"/>
      <c r="V88" s="407" t="s">
        <v>7</v>
      </c>
      <c r="W88" s="312" t="s">
        <v>269</v>
      </c>
      <c r="X88" s="312"/>
      <c r="Y88" s="407" t="s">
        <v>7</v>
      </c>
      <c r="Z88" s="312" t="s">
        <v>270</v>
      </c>
      <c r="AA88" s="312"/>
      <c r="AB88" s="407" t="s">
        <v>7</v>
      </c>
      <c r="AC88" s="312" t="s">
        <v>271</v>
      </c>
      <c r="AD88" s="312"/>
      <c r="AE88" s="407" t="s">
        <v>7</v>
      </c>
      <c r="AF88" s="312" t="s">
        <v>272</v>
      </c>
      <c r="AG88" s="312"/>
    </row>
    <row r="89" spans="1:33" s="1" customFormat="1" ht="24.75" customHeight="1">
      <c r="A89" s="407" t="s">
        <v>13</v>
      </c>
      <c r="B89" s="395"/>
      <c r="C89" s="395"/>
      <c r="D89" s="407" t="s">
        <v>13</v>
      </c>
      <c r="E89" s="408"/>
      <c r="F89" s="408"/>
      <c r="G89" s="407" t="s">
        <v>13</v>
      </c>
      <c r="H89" s="311"/>
      <c r="I89" s="311"/>
      <c r="J89" s="407" t="s">
        <v>13</v>
      </c>
      <c r="K89" s="311" t="s">
        <v>273</v>
      </c>
      <c r="L89" s="311"/>
      <c r="M89" s="407" t="s">
        <v>13</v>
      </c>
      <c r="N89" s="311" t="s">
        <v>274</v>
      </c>
      <c r="O89" s="311"/>
      <c r="P89" s="407" t="s">
        <v>13</v>
      </c>
      <c r="Q89" s="311" t="s">
        <v>275</v>
      </c>
      <c r="R89" s="311"/>
      <c r="S89" s="407" t="s">
        <v>13</v>
      </c>
      <c r="T89" s="311" t="s">
        <v>276</v>
      </c>
      <c r="U89" s="311"/>
      <c r="V89" s="407" t="s">
        <v>13</v>
      </c>
      <c r="W89" s="311"/>
      <c r="X89" s="311"/>
      <c r="Y89" s="407" t="s">
        <v>13</v>
      </c>
      <c r="Z89" s="311"/>
      <c r="AA89" s="311"/>
      <c r="AB89" s="407" t="s">
        <v>13</v>
      </c>
      <c r="AC89" s="311"/>
      <c r="AD89" s="311"/>
      <c r="AE89" s="407" t="s">
        <v>13</v>
      </c>
      <c r="AF89" s="311"/>
      <c r="AG89" s="311"/>
    </row>
    <row r="90" spans="1:33" s="1" customFormat="1" ht="24.75" customHeight="1">
      <c r="A90" s="395" t="s">
        <v>19</v>
      </c>
      <c r="B90" s="322" t="s">
        <v>277</v>
      </c>
      <c r="C90" s="322"/>
      <c r="D90" s="395" t="s">
        <v>19</v>
      </c>
      <c r="E90" s="322" t="s">
        <v>278</v>
      </c>
      <c r="F90" s="322"/>
      <c r="G90" s="395" t="s">
        <v>19</v>
      </c>
      <c r="H90" s="322" t="s">
        <v>279</v>
      </c>
      <c r="I90" s="322"/>
      <c r="J90" s="395" t="s">
        <v>19</v>
      </c>
      <c r="K90" s="322" t="s">
        <v>280</v>
      </c>
      <c r="L90" s="322"/>
      <c r="M90" s="395" t="s">
        <v>19</v>
      </c>
      <c r="N90" s="322" t="s">
        <v>141</v>
      </c>
      <c r="O90" s="322"/>
      <c r="P90" s="395" t="s">
        <v>19</v>
      </c>
      <c r="Q90" s="322" t="s">
        <v>281</v>
      </c>
      <c r="R90" s="322"/>
      <c r="S90" s="395" t="s">
        <v>19</v>
      </c>
      <c r="T90" s="328" t="s">
        <v>282</v>
      </c>
      <c r="U90" s="328"/>
      <c r="V90" s="395" t="s">
        <v>19</v>
      </c>
      <c r="W90" s="322" t="s">
        <v>283</v>
      </c>
      <c r="X90" s="322"/>
      <c r="Y90" s="395" t="s">
        <v>19</v>
      </c>
      <c r="Z90" s="322" t="s">
        <v>284</v>
      </c>
      <c r="AA90" s="322"/>
      <c r="AB90" s="395" t="s">
        <v>19</v>
      </c>
      <c r="AC90" s="322" t="s">
        <v>285</v>
      </c>
      <c r="AD90" s="322"/>
      <c r="AE90" s="395" t="s">
        <v>19</v>
      </c>
      <c r="AF90" s="322" t="s">
        <v>286</v>
      </c>
      <c r="AG90" s="322"/>
    </row>
    <row r="91" spans="1:33" s="1" customFormat="1" ht="36" customHeight="1">
      <c r="A91" s="395" t="s">
        <v>30</v>
      </c>
      <c r="B91" s="322" t="s">
        <v>31</v>
      </c>
      <c r="C91" s="322"/>
      <c r="D91" s="395" t="s">
        <v>30</v>
      </c>
      <c r="E91" s="310" t="s">
        <v>287</v>
      </c>
      <c r="F91" s="310"/>
      <c r="G91" s="395" t="s">
        <v>30</v>
      </c>
      <c r="H91" s="310" t="s">
        <v>288</v>
      </c>
      <c r="I91" s="310"/>
      <c r="J91" s="395" t="s">
        <v>30</v>
      </c>
      <c r="K91" s="310" t="s">
        <v>289</v>
      </c>
      <c r="L91" s="310"/>
      <c r="M91" s="395" t="s">
        <v>30</v>
      </c>
      <c r="N91" s="310" t="s">
        <v>290</v>
      </c>
      <c r="O91" s="310"/>
      <c r="P91" s="395" t="s">
        <v>30</v>
      </c>
      <c r="Q91" s="310" t="s">
        <v>291</v>
      </c>
      <c r="R91" s="310"/>
      <c r="S91" s="395" t="s">
        <v>30</v>
      </c>
      <c r="T91" s="298" t="s">
        <v>292</v>
      </c>
      <c r="U91" s="298"/>
      <c r="V91" s="395" t="s">
        <v>30</v>
      </c>
      <c r="W91" s="309" t="s">
        <v>293</v>
      </c>
      <c r="X91" s="309"/>
      <c r="Y91" s="395" t="s">
        <v>30</v>
      </c>
      <c r="Z91" s="310" t="s">
        <v>294</v>
      </c>
      <c r="AA91" s="310"/>
      <c r="AB91" s="395" t="s">
        <v>30</v>
      </c>
      <c r="AC91" s="310" t="s">
        <v>295</v>
      </c>
      <c r="AD91" s="310"/>
      <c r="AE91" s="395" t="s">
        <v>30</v>
      </c>
      <c r="AF91" s="310" t="s">
        <v>296</v>
      </c>
      <c r="AG91" s="310"/>
    </row>
    <row r="92" spans="1:33" s="1" customFormat="1" ht="36" customHeight="1">
      <c r="A92" s="395" t="s">
        <v>41</v>
      </c>
      <c r="B92" s="310" t="s">
        <v>42</v>
      </c>
      <c r="C92" s="310"/>
      <c r="D92" s="395" t="s">
        <v>41</v>
      </c>
      <c r="E92" s="310" t="s">
        <v>297</v>
      </c>
      <c r="F92" s="310"/>
      <c r="G92" s="395" t="s">
        <v>41</v>
      </c>
      <c r="H92" s="310" t="s">
        <v>42</v>
      </c>
      <c r="I92" s="310"/>
      <c r="J92" s="395" t="s">
        <v>41</v>
      </c>
      <c r="K92" s="310" t="s">
        <v>298</v>
      </c>
      <c r="L92" s="310"/>
      <c r="M92" s="395" t="s">
        <v>41</v>
      </c>
      <c r="N92" s="310" t="s">
        <v>298</v>
      </c>
      <c r="O92" s="310"/>
      <c r="P92" s="395" t="s">
        <v>41</v>
      </c>
      <c r="Q92" s="310" t="s">
        <v>298</v>
      </c>
      <c r="R92" s="310"/>
      <c r="S92" s="395" t="s">
        <v>41</v>
      </c>
      <c r="T92" s="310" t="s">
        <v>298</v>
      </c>
      <c r="U92" s="310"/>
      <c r="V92" s="395" t="s">
        <v>41</v>
      </c>
      <c r="W92" s="310" t="s">
        <v>299</v>
      </c>
      <c r="X92" s="310"/>
      <c r="Y92" s="395" t="s">
        <v>41</v>
      </c>
      <c r="Z92" s="310" t="s">
        <v>300</v>
      </c>
      <c r="AA92" s="310"/>
      <c r="AB92" s="395" t="s">
        <v>41</v>
      </c>
      <c r="AC92" s="310" t="s">
        <v>301</v>
      </c>
      <c r="AD92" s="310"/>
      <c r="AE92" s="395" t="s">
        <v>41</v>
      </c>
      <c r="AF92" s="310" t="s">
        <v>302</v>
      </c>
      <c r="AG92" s="310"/>
    </row>
    <row r="93" spans="1:33" s="1" customFormat="1" ht="24.75" customHeight="1">
      <c r="A93" s="395" t="s">
        <v>121</v>
      </c>
      <c r="B93" s="395" t="s">
        <v>54</v>
      </c>
      <c r="C93" s="395" t="s">
        <v>122</v>
      </c>
      <c r="D93" s="395" t="s">
        <v>121</v>
      </c>
      <c r="E93" s="395" t="s">
        <v>54</v>
      </c>
      <c r="F93" s="395" t="s">
        <v>122</v>
      </c>
      <c r="G93" s="395" t="s">
        <v>121</v>
      </c>
      <c r="H93" s="395" t="s">
        <v>54</v>
      </c>
      <c r="I93" s="395" t="s">
        <v>122</v>
      </c>
      <c r="J93" s="395" t="s">
        <v>121</v>
      </c>
      <c r="K93" s="395" t="s">
        <v>54</v>
      </c>
      <c r="L93" s="395" t="s">
        <v>122</v>
      </c>
      <c r="M93" s="395" t="s">
        <v>121</v>
      </c>
      <c r="N93" s="395" t="s">
        <v>54</v>
      </c>
      <c r="O93" s="395" t="s">
        <v>122</v>
      </c>
      <c r="P93" s="395" t="s">
        <v>121</v>
      </c>
      <c r="Q93" s="395" t="s">
        <v>54</v>
      </c>
      <c r="R93" s="395" t="s">
        <v>122</v>
      </c>
      <c r="S93" s="395" t="s">
        <v>121</v>
      </c>
      <c r="T93" s="395" t="s">
        <v>54</v>
      </c>
      <c r="U93" s="395" t="s">
        <v>122</v>
      </c>
      <c r="V93" s="395" t="s">
        <v>121</v>
      </c>
      <c r="W93" s="395" t="s">
        <v>54</v>
      </c>
      <c r="X93" s="395" t="s">
        <v>122</v>
      </c>
      <c r="Y93" s="395" t="s">
        <v>121</v>
      </c>
      <c r="Z93" s="395" t="s">
        <v>54</v>
      </c>
      <c r="AA93" s="395" t="s">
        <v>122</v>
      </c>
      <c r="AB93" s="395" t="s">
        <v>121</v>
      </c>
      <c r="AC93" s="395"/>
      <c r="AD93" s="395"/>
      <c r="AE93" s="395" t="s">
        <v>121</v>
      </c>
      <c r="AF93" s="395"/>
      <c r="AG93" s="395"/>
    </row>
    <row r="94" spans="1:33" s="1" customFormat="1" ht="21" customHeight="1">
      <c r="A94" s="395">
        <v>2020</v>
      </c>
      <c r="B94" s="406">
        <v>100</v>
      </c>
      <c r="C94" s="406"/>
      <c r="D94" s="395">
        <v>2020</v>
      </c>
      <c r="E94" s="394">
        <v>100</v>
      </c>
      <c r="F94" s="404" t="s">
        <v>2052</v>
      </c>
      <c r="G94" s="395">
        <v>2020</v>
      </c>
      <c r="H94" s="405">
        <v>100</v>
      </c>
      <c r="I94" s="396"/>
      <c r="J94" s="395">
        <v>2020</v>
      </c>
      <c r="K94" s="396">
        <v>100</v>
      </c>
      <c r="L94" s="393" t="s">
        <v>2053</v>
      </c>
      <c r="M94" s="395">
        <v>2020</v>
      </c>
      <c r="N94" s="396">
        <v>100</v>
      </c>
      <c r="O94" s="404" t="s">
        <v>2054</v>
      </c>
      <c r="P94" s="395">
        <v>2020</v>
      </c>
      <c r="Q94" s="394">
        <v>100</v>
      </c>
      <c r="R94" s="404" t="s">
        <v>2055</v>
      </c>
      <c r="S94" s="395">
        <v>2020</v>
      </c>
      <c r="T94" s="396">
        <v>100</v>
      </c>
      <c r="U94" s="404" t="s">
        <v>2056</v>
      </c>
      <c r="V94" s="395">
        <v>2020</v>
      </c>
      <c r="W94" s="396">
        <v>100</v>
      </c>
      <c r="X94" s="393" t="s">
        <v>2057</v>
      </c>
      <c r="Y94" s="395">
        <v>2020</v>
      </c>
      <c r="Z94" s="396">
        <v>100</v>
      </c>
      <c r="AA94" s="404" t="s">
        <v>2058</v>
      </c>
      <c r="AB94" s="395">
        <v>2020</v>
      </c>
      <c r="AC94" s="396">
        <v>100</v>
      </c>
      <c r="AD94" s="393" t="s">
        <v>2059</v>
      </c>
      <c r="AE94" s="395">
        <v>2020</v>
      </c>
      <c r="AF94" s="396">
        <v>100</v>
      </c>
      <c r="AG94" s="393" t="s">
        <v>2060</v>
      </c>
    </row>
    <row r="95" spans="1:33" s="1" customFormat="1" ht="24.75" customHeight="1">
      <c r="A95" s="395">
        <v>2021</v>
      </c>
      <c r="B95" s="406">
        <v>100</v>
      </c>
      <c r="C95" s="406"/>
      <c r="D95" s="395">
        <v>2021</v>
      </c>
      <c r="E95" s="394">
        <v>100</v>
      </c>
      <c r="F95" s="404"/>
      <c r="G95" s="395">
        <v>2021</v>
      </c>
      <c r="H95" s="405">
        <v>100</v>
      </c>
      <c r="I95" s="396"/>
      <c r="J95" s="395">
        <v>2021</v>
      </c>
      <c r="K95" s="396">
        <v>100</v>
      </c>
      <c r="L95" s="404"/>
      <c r="M95" s="395">
        <v>2021</v>
      </c>
      <c r="N95" s="396">
        <v>100</v>
      </c>
      <c r="O95" s="404"/>
      <c r="P95" s="395">
        <v>2021</v>
      </c>
      <c r="Q95" s="394">
        <v>100</v>
      </c>
      <c r="R95" s="404"/>
      <c r="S95" s="395">
        <v>2021</v>
      </c>
      <c r="T95" s="396">
        <v>100</v>
      </c>
      <c r="U95" s="404"/>
      <c r="V95" s="395">
        <v>2021</v>
      </c>
      <c r="W95" s="396">
        <v>100</v>
      </c>
      <c r="X95" s="404"/>
      <c r="Y95" s="395">
        <v>2021</v>
      </c>
      <c r="Z95" s="396">
        <v>100</v>
      </c>
      <c r="AA95" s="404" t="s">
        <v>2058</v>
      </c>
      <c r="AB95" s="395">
        <v>2021</v>
      </c>
      <c r="AC95" s="396">
        <v>100</v>
      </c>
      <c r="AD95" s="404"/>
      <c r="AE95" s="395">
        <v>2021</v>
      </c>
      <c r="AF95" s="396">
        <v>100</v>
      </c>
      <c r="AG95" s="393"/>
    </row>
    <row r="96" spans="1:33" s="1" customFormat="1" ht="24.75" customHeight="1">
      <c r="A96" s="395">
        <v>2022</v>
      </c>
      <c r="B96" s="406">
        <v>100</v>
      </c>
      <c r="C96" s="406"/>
      <c r="D96" s="395">
        <v>2022</v>
      </c>
      <c r="E96" s="394">
        <v>100</v>
      </c>
      <c r="F96" s="404"/>
      <c r="G96" s="395">
        <v>2022</v>
      </c>
      <c r="H96" s="405">
        <v>100</v>
      </c>
      <c r="I96" s="396"/>
      <c r="J96" s="395">
        <v>2022</v>
      </c>
      <c r="K96" s="396">
        <v>100</v>
      </c>
      <c r="L96" s="404"/>
      <c r="M96" s="395">
        <v>2022</v>
      </c>
      <c r="N96" s="396">
        <v>100</v>
      </c>
      <c r="O96" s="404"/>
      <c r="P96" s="395">
        <v>2022</v>
      </c>
      <c r="Q96" s="394">
        <v>100</v>
      </c>
      <c r="R96" s="404"/>
      <c r="S96" s="395">
        <v>2022</v>
      </c>
      <c r="T96" s="396">
        <v>100</v>
      </c>
      <c r="U96" s="404"/>
      <c r="V96" s="395">
        <v>2022</v>
      </c>
      <c r="W96" s="396">
        <v>100</v>
      </c>
      <c r="X96" s="404"/>
      <c r="Y96" s="395">
        <v>2022</v>
      </c>
      <c r="Z96" s="396">
        <v>100</v>
      </c>
      <c r="AA96" s="404" t="s">
        <v>2058</v>
      </c>
      <c r="AB96" s="395">
        <v>2022</v>
      </c>
      <c r="AC96" s="396">
        <v>100</v>
      </c>
      <c r="AD96" s="404"/>
      <c r="AE96" s="395">
        <v>2022</v>
      </c>
      <c r="AF96" s="396">
        <v>100</v>
      </c>
      <c r="AG96" s="393"/>
    </row>
    <row r="97" spans="1:51" s="1" customFormat="1" ht="24.75" customHeight="1">
      <c r="A97" s="395">
        <v>2023</v>
      </c>
      <c r="B97" s="406">
        <v>100</v>
      </c>
      <c r="C97" s="406"/>
      <c r="D97" s="395">
        <v>2023</v>
      </c>
      <c r="E97" s="394">
        <v>100</v>
      </c>
      <c r="F97" s="404"/>
      <c r="G97" s="395">
        <v>2023</v>
      </c>
      <c r="H97" s="405">
        <v>100</v>
      </c>
      <c r="I97" s="396"/>
      <c r="J97" s="395">
        <v>2023</v>
      </c>
      <c r="K97" s="396">
        <v>100</v>
      </c>
      <c r="L97" s="404"/>
      <c r="M97" s="395">
        <v>2023</v>
      </c>
      <c r="N97" s="396">
        <v>100</v>
      </c>
      <c r="O97" s="404"/>
      <c r="P97" s="395">
        <v>2023</v>
      </c>
      <c r="Q97" s="394">
        <v>100</v>
      </c>
      <c r="R97" s="404"/>
      <c r="S97" s="395">
        <v>2023</v>
      </c>
      <c r="T97" s="396">
        <v>100</v>
      </c>
      <c r="U97" s="404"/>
      <c r="V97" s="395">
        <v>2023</v>
      </c>
      <c r="W97" s="396">
        <v>100</v>
      </c>
      <c r="X97" s="404"/>
      <c r="Y97" s="395">
        <v>2023</v>
      </c>
      <c r="Z97" s="396">
        <v>100</v>
      </c>
      <c r="AA97" s="404" t="s">
        <v>2058</v>
      </c>
      <c r="AB97" s="395">
        <v>2023</v>
      </c>
      <c r="AC97" s="396">
        <v>100</v>
      </c>
      <c r="AD97" s="404"/>
      <c r="AE97" s="395">
        <v>2023</v>
      </c>
      <c r="AF97" s="396">
        <v>100</v>
      </c>
      <c r="AG97" s="393"/>
      <c r="AH97" s="390"/>
      <c r="AI97" s="390"/>
      <c r="AJ97" s="390"/>
      <c r="AK97" s="390"/>
      <c r="AL97" s="390"/>
      <c r="AM97" s="390"/>
      <c r="AN97" s="390"/>
      <c r="AO97" s="390"/>
      <c r="AP97" s="390"/>
      <c r="AQ97" s="390"/>
      <c r="AR97" s="390"/>
      <c r="AS97" s="390"/>
      <c r="AT97" s="390"/>
      <c r="AU97" s="390"/>
      <c r="AV97" s="390"/>
      <c r="AW97" s="390"/>
      <c r="AX97" s="390"/>
      <c r="AY97" s="390"/>
    </row>
    <row r="98" spans="1:51" s="1" customFormat="1" ht="24.75" customHeight="1">
      <c r="A98" s="395">
        <v>2024</v>
      </c>
      <c r="B98" s="406">
        <v>100</v>
      </c>
      <c r="C98" s="406"/>
      <c r="D98" s="395">
        <v>2024</v>
      </c>
      <c r="E98" s="394">
        <v>100</v>
      </c>
      <c r="F98" s="404" t="s">
        <v>2061</v>
      </c>
      <c r="G98" s="395">
        <v>2024</v>
      </c>
      <c r="H98" s="405">
        <v>100</v>
      </c>
      <c r="I98" s="396"/>
      <c r="J98" s="395">
        <v>2024</v>
      </c>
      <c r="K98" s="396">
        <v>100</v>
      </c>
      <c r="L98" s="393" t="s">
        <v>2053</v>
      </c>
      <c r="M98" s="395">
        <v>2024</v>
      </c>
      <c r="N98" s="396">
        <v>100</v>
      </c>
      <c r="O98" s="404" t="s">
        <v>2054</v>
      </c>
      <c r="P98" s="395">
        <v>2024</v>
      </c>
      <c r="Q98" s="394">
        <v>100</v>
      </c>
      <c r="R98" s="404" t="s">
        <v>2055</v>
      </c>
      <c r="S98" s="395">
        <v>2024</v>
      </c>
      <c r="T98" s="396">
        <v>100</v>
      </c>
      <c r="U98" s="404" t="s">
        <v>2056</v>
      </c>
      <c r="V98" s="395">
        <v>2024</v>
      </c>
      <c r="W98" s="396">
        <v>100</v>
      </c>
      <c r="X98" s="393" t="s">
        <v>2057</v>
      </c>
      <c r="Y98" s="395">
        <v>2024</v>
      </c>
      <c r="Z98" s="396">
        <v>100</v>
      </c>
      <c r="AA98" s="404" t="s">
        <v>2058</v>
      </c>
      <c r="AB98" s="395">
        <v>2024</v>
      </c>
      <c r="AC98" s="396">
        <v>100</v>
      </c>
      <c r="AD98" s="393" t="s">
        <v>2059</v>
      </c>
      <c r="AE98" s="395">
        <v>2024</v>
      </c>
      <c r="AF98" s="396">
        <v>100</v>
      </c>
      <c r="AG98" s="393" t="s">
        <v>2060</v>
      </c>
      <c r="AH98" s="390"/>
      <c r="AI98" s="390"/>
      <c r="AJ98" s="390"/>
      <c r="AK98" s="390"/>
      <c r="AL98" s="390"/>
      <c r="AM98" s="390"/>
      <c r="AN98" s="390"/>
      <c r="AO98" s="390"/>
      <c r="AP98" s="390"/>
      <c r="AQ98" s="390"/>
      <c r="AR98" s="390"/>
      <c r="AS98" s="390"/>
      <c r="AT98" s="390"/>
      <c r="AU98" s="390"/>
      <c r="AV98" s="390"/>
      <c r="AW98" s="390"/>
      <c r="AX98" s="390"/>
      <c r="AY98" s="390"/>
    </row>
    <row r="99" spans="1:51" s="1" customFormat="1" ht="24.75" customHeight="1">
      <c r="A99" s="390"/>
      <c r="B99" s="390"/>
      <c r="C99" s="390"/>
      <c r="D99" s="390"/>
      <c r="E99" s="390"/>
      <c r="F99" s="390"/>
      <c r="G99" s="390"/>
      <c r="H99" s="390"/>
      <c r="I99" s="390"/>
      <c r="J99" s="390"/>
      <c r="K99" s="390"/>
      <c r="L99" s="390"/>
      <c r="M99" s="390"/>
      <c r="N99" s="390"/>
      <c r="O99" s="390"/>
      <c r="P99" s="390"/>
      <c r="Q99" s="390"/>
      <c r="R99" s="390"/>
      <c r="S99" s="390"/>
      <c r="T99" s="390"/>
      <c r="U99" s="390"/>
      <c r="V99" s="390"/>
      <c r="W99" s="390"/>
      <c r="X99" s="390"/>
      <c r="Y99" s="390"/>
      <c r="Z99" s="390"/>
      <c r="AA99" s="390"/>
      <c r="AB99" s="390"/>
      <c r="AC99" s="390"/>
      <c r="AD99" s="390"/>
      <c r="AE99" s="390"/>
      <c r="AF99" s="390"/>
      <c r="AG99" s="390"/>
      <c r="AH99" s="390"/>
      <c r="AI99" s="390"/>
      <c r="AJ99" s="390"/>
      <c r="AK99" s="390"/>
      <c r="AL99" s="390"/>
      <c r="AM99" s="390"/>
      <c r="AN99" s="390"/>
      <c r="AO99" s="390"/>
      <c r="AP99" s="390"/>
      <c r="AQ99" s="390"/>
      <c r="AR99" s="390"/>
      <c r="AS99" s="390"/>
      <c r="AT99" s="390"/>
      <c r="AU99" s="390"/>
      <c r="AV99" s="390"/>
      <c r="AW99" s="390"/>
      <c r="AX99" s="390"/>
      <c r="AY99" s="390"/>
    </row>
    <row r="100" spans="1:51" s="38" customFormat="1" ht="24.75" customHeight="1">
      <c r="A100" s="403"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392"/>
      <c r="AO100" s="392"/>
      <c r="AP100" s="392"/>
      <c r="AQ100" s="392"/>
      <c r="AR100" s="392"/>
      <c r="AS100" s="392"/>
      <c r="AT100" s="392"/>
      <c r="AU100" s="392"/>
      <c r="AV100" s="392"/>
      <c r="AW100" s="392"/>
      <c r="AX100" s="392"/>
      <c r="AY100" s="392"/>
    </row>
    <row r="101" spans="1:51" s="38" customFormat="1" ht="24.75" customHeight="1">
      <c r="A101" s="403" t="s">
        <v>7</v>
      </c>
      <c r="B101" s="313" t="s">
        <v>306</v>
      </c>
      <c r="C101" s="313"/>
      <c r="D101" s="403" t="s">
        <v>7</v>
      </c>
      <c r="E101" s="313" t="s">
        <v>307</v>
      </c>
      <c r="F101" s="313"/>
      <c r="G101" s="403" t="s">
        <v>7</v>
      </c>
      <c r="H101" s="313">
        <v>148</v>
      </c>
      <c r="I101" s="313"/>
      <c r="J101" s="403" t="s">
        <v>7</v>
      </c>
      <c r="K101" s="313" t="s">
        <v>308</v>
      </c>
      <c r="L101" s="313"/>
      <c r="M101" s="403" t="s">
        <v>7</v>
      </c>
      <c r="N101" s="313">
        <v>149</v>
      </c>
      <c r="O101" s="313"/>
      <c r="P101" s="403" t="s">
        <v>7</v>
      </c>
      <c r="Q101" s="313" t="s">
        <v>309</v>
      </c>
      <c r="R101" s="313"/>
      <c r="S101" s="403" t="s">
        <v>7</v>
      </c>
      <c r="T101" s="313">
        <v>150</v>
      </c>
      <c r="U101" s="313"/>
      <c r="V101" s="403" t="s">
        <v>7</v>
      </c>
      <c r="W101" s="313" t="s">
        <v>310</v>
      </c>
      <c r="X101" s="313"/>
      <c r="Y101" s="403" t="s">
        <v>7</v>
      </c>
      <c r="Z101" s="313" t="s">
        <v>311</v>
      </c>
      <c r="AA101" s="313"/>
      <c r="AB101" s="403" t="s">
        <v>7</v>
      </c>
      <c r="AC101" s="313" t="s">
        <v>312</v>
      </c>
      <c r="AD101" s="313"/>
      <c r="AE101" s="403" t="s">
        <v>7</v>
      </c>
      <c r="AF101" s="313">
        <v>159</v>
      </c>
      <c r="AG101" s="313"/>
      <c r="AH101" s="403" t="s">
        <v>7</v>
      </c>
      <c r="AI101" s="313">
        <v>163</v>
      </c>
      <c r="AJ101" s="313"/>
      <c r="AK101" s="403" t="s">
        <v>7</v>
      </c>
      <c r="AL101" s="313">
        <v>165</v>
      </c>
      <c r="AM101" s="313"/>
      <c r="AN101" s="392"/>
      <c r="AO101" s="392"/>
      <c r="AP101" s="392"/>
      <c r="AQ101" s="392"/>
      <c r="AR101" s="392"/>
      <c r="AS101" s="392"/>
      <c r="AT101" s="392"/>
      <c r="AU101" s="392"/>
      <c r="AV101" s="392"/>
      <c r="AW101" s="392"/>
      <c r="AX101" s="392"/>
      <c r="AY101" s="392"/>
    </row>
    <row r="102" spans="1:51" s="38" customFormat="1" ht="24.75" customHeight="1">
      <c r="A102" s="403" t="s">
        <v>13</v>
      </c>
      <c r="B102" s="397"/>
      <c r="C102" s="397"/>
      <c r="D102" s="403" t="s">
        <v>13</v>
      </c>
      <c r="E102" s="307"/>
      <c r="F102" s="307"/>
      <c r="G102" s="403" t="s">
        <v>13</v>
      </c>
      <c r="H102" s="307"/>
      <c r="I102" s="307"/>
      <c r="J102" s="403" t="s">
        <v>13</v>
      </c>
      <c r="K102" s="307"/>
      <c r="L102" s="307"/>
      <c r="M102" s="403" t="s">
        <v>13</v>
      </c>
      <c r="N102" s="307"/>
      <c r="O102" s="307"/>
      <c r="P102" s="403" t="s">
        <v>13</v>
      </c>
      <c r="Q102" s="307"/>
      <c r="R102" s="307"/>
      <c r="S102" s="403" t="s">
        <v>13</v>
      </c>
      <c r="T102" s="307"/>
      <c r="U102" s="307"/>
      <c r="V102" s="403" t="s">
        <v>13</v>
      </c>
      <c r="W102" s="307"/>
      <c r="X102" s="307"/>
      <c r="Y102" s="403" t="s">
        <v>13</v>
      </c>
      <c r="Z102" s="307"/>
      <c r="AA102" s="307"/>
      <c r="AB102" s="403" t="s">
        <v>13</v>
      </c>
      <c r="AC102" s="307"/>
      <c r="AD102" s="307"/>
      <c r="AE102" s="403" t="s">
        <v>13</v>
      </c>
      <c r="AF102" s="307"/>
      <c r="AG102" s="307"/>
      <c r="AH102" s="403" t="s">
        <v>13</v>
      </c>
      <c r="AI102" s="307"/>
      <c r="AJ102" s="307"/>
      <c r="AK102" s="403" t="s">
        <v>13</v>
      </c>
      <c r="AL102" s="307"/>
      <c r="AM102" s="307"/>
      <c r="AN102" s="392"/>
      <c r="AO102" s="392"/>
      <c r="AP102" s="392"/>
      <c r="AQ102" s="392"/>
      <c r="AR102" s="392"/>
      <c r="AS102" s="392"/>
      <c r="AT102" s="392"/>
      <c r="AU102" s="392"/>
      <c r="AV102" s="392"/>
      <c r="AW102" s="392"/>
      <c r="AX102" s="392"/>
      <c r="AY102" s="392"/>
    </row>
    <row r="103" spans="1:51" s="38" customFormat="1" ht="24.5" customHeight="1">
      <c r="A103" s="397" t="s">
        <v>19</v>
      </c>
      <c r="B103" s="327" t="s">
        <v>313</v>
      </c>
      <c r="C103" s="327"/>
      <c r="D103" s="397" t="s">
        <v>19</v>
      </c>
      <c r="E103" s="327" t="s">
        <v>314</v>
      </c>
      <c r="F103" s="327"/>
      <c r="G103" s="397" t="s">
        <v>19</v>
      </c>
      <c r="H103" s="327" t="s">
        <v>315</v>
      </c>
      <c r="I103" s="327"/>
      <c r="J103" s="397" t="s">
        <v>19</v>
      </c>
      <c r="K103" s="327" t="s">
        <v>316</v>
      </c>
      <c r="L103" s="327"/>
      <c r="M103" s="397" t="s">
        <v>19</v>
      </c>
      <c r="N103" s="328" t="s">
        <v>317</v>
      </c>
      <c r="O103" s="328"/>
      <c r="P103" s="397" t="s">
        <v>19</v>
      </c>
      <c r="Q103" s="327" t="s">
        <v>318</v>
      </c>
      <c r="R103" s="327"/>
      <c r="S103" s="397" t="s">
        <v>19</v>
      </c>
      <c r="T103" s="328" t="s">
        <v>319</v>
      </c>
      <c r="U103" s="328"/>
      <c r="V103" s="397" t="s">
        <v>19</v>
      </c>
      <c r="W103" s="328" t="s">
        <v>320</v>
      </c>
      <c r="X103" s="328"/>
      <c r="Y103" s="397" t="s">
        <v>19</v>
      </c>
      <c r="Z103" s="328" t="s">
        <v>321</v>
      </c>
      <c r="AA103" s="328"/>
      <c r="AB103" s="397" t="s">
        <v>19</v>
      </c>
      <c r="AC103" s="327" t="s">
        <v>322</v>
      </c>
      <c r="AD103" s="327"/>
      <c r="AE103" s="397" t="s">
        <v>19</v>
      </c>
      <c r="AF103" s="328" t="s">
        <v>323</v>
      </c>
      <c r="AG103" s="328"/>
      <c r="AH103" s="397" t="s">
        <v>19</v>
      </c>
      <c r="AI103" s="327" t="s">
        <v>324</v>
      </c>
      <c r="AJ103" s="327"/>
      <c r="AK103" s="397" t="s">
        <v>19</v>
      </c>
      <c r="AL103" s="327" t="s">
        <v>325</v>
      </c>
      <c r="AM103" s="327"/>
      <c r="AN103" s="392"/>
      <c r="AO103" s="392"/>
      <c r="AP103" s="392"/>
      <c r="AQ103" s="392"/>
      <c r="AR103" s="392"/>
      <c r="AS103" s="392"/>
      <c r="AT103" s="392"/>
      <c r="AU103" s="392"/>
      <c r="AV103" s="392"/>
      <c r="AW103" s="392"/>
      <c r="AX103" s="392"/>
      <c r="AY103" s="392"/>
    </row>
    <row r="104" spans="1:51" s="38" customFormat="1" ht="28" customHeight="1">
      <c r="A104" s="397" t="s">
        <v>30</v>
      </c>
      <c r="B104" s="327" t="s">
        <v>31</v>
      </c>
      <c r="C104" s="327"/>
      <c r="D104" s="397" t="s">
        <v>30</v>
      </c>
      <c r="E104" s="326" t="s">
        <v>326</v>
      </c>
      <c r="F104" s="326"/>
      <c r="G104" s="397" t="s">
        <v>30</v>
      </c>
      <c r="H104" s="326" t="s">
        <v>327</v>
      </c>
      <c r="I104" s="326"/>
      <c r="J104" s="397" t="s">
        <v>30</v>
      </c>
      <c r="K104" s="326" t="s">
        <v>328</v>
      </c>
      <c r="L104" s="326"/>
      <c r="M104" s="397" t="s">
        <v>30</v>
      </c>
      <c r="N104" s="389" t="s">
        <v>327</v>
      </c>
      <c r="O104" s="389"/>
      <c r="P104" s="397" t="s">
        <v>30</v>
      </c>
      <c r="Q104" s="326" t="s">
        <v>329</v>
      </c>
      <c r="R104" s="326"/>
      <c r="S104" s="397" t="s">
        <v>30</v>
      </c>
      <c r="T104" s="389" t="s">
        <v>327</v>
      </c>
      <c r="U104" s="389"/>
      <c r="V104" s="397" t="s">
        <v>30</v>
      </c>
      <c r="W104" s="298" t="s">
        <v>330</v>
      </c>
      <c r="X104" s="298"/>
      <c r="Y104" s="397" t="s">
        <v>30</v>
      </c>
      <c r="Z104" s="298" t="s">
        <v>331</v>
      </c>
      <c r="AA104" s="298"/>
      <c r="AB104" s="397" t="s">
        <v>30</v>
      </c>
      <c r="AC104" s="325" t="s">
        <v>332</v>
      </c>
      <c r="AD104" s="325"/>
      <c r="AE104" s="397" t="s">
        <v>30</v>
      </c>
      <c r="AF104" s="298" t="s">
        <v>333</v>
      </c>
      <c r="AG104" s="298"/>
      <c r="AH104" s="397" t="s">
        <v>30</v>
      </c>
      <c r="AI104" s="325" t="s">
        <v>334</v>
      </c>
      <c r="AJ104" s="325"/>
      <c r="AK104" s="397" t="s">
        <v>30</v>
      </c>
      <c r="AL104" s="325" t="s">
        <v>335</v>
      </c>
      <c r="AM104" s="325"/>
      <c r="AN104" s="392"/>
      <c r="AO104" s="392"/>
      <c r="AP104" s="392"/>
      <c r="AQ104" s="392"/>
      <c r="AR104" s="392"/>
      <c r="AS104" s="392"/>
      <c r="AT104" s="392"/>
      <c r="AU104" s="392"/>
      <c r="AV104" s="392"/>
      <c r="AW104" s="392"/>
      <c r="AX104" s="392"/>
      <c r="AY104" s="392"/>
    </row>
    <row r="105" spans="1:51" s="38" customFormat="1" ht="26.5" customHeight="1">
      <c r="A105" s="397" t="s">
        <v>41</v>
      </c>
      <c r="B105" s="325" t="s">
        <v>42</v>
      </c>
      <c r="C105" s="325"/>
      <c r="D105" s="397" t="s">
        <v>41</v>
      </c>
      <c r="E105" s="325" t="s">
        <v>336</v>
      </c>
      <c r="F105" s="325"/>
      <c r="G105" s="397" t="s">
        <v>41</v>
      </c>
      <c r="H105" s="325" t="s">
        <v>337</v>
      </c>
      <c r="I105" s="325"/>
      <c r="J105" s="397" t="s">
        <v>41</v>
      </c>
      <c r="K105" s="325" t="s">
        <v>338</v>
      </c>
      <c r="L105" s="325"/>
      <c r="M105" s="397" t="s">
        <v>41</v>
      </c>
      <c r="N105" s="298" t="s">
        <v>337</v>
      </c>
      <c r="O105" s="298"/>
      <c r="P105" s="397" t="s">
        <v>41</v>
      </c>
      <c r="Q105" s="325" t="s">
        <v>338</v>
      </c>
      <c r="R105" s="325"/>
      <c r="S105" s="397" t="s">
        <v>41</v>
      </c>
      <c r="T105" s="298" t="s">
        <v>337</v>
      </c>
      <c r="U105" s="298"/>
      <c r="V105" s="397" t="s">
        <v>41</v>
      </c>
      <c r="W105" s="298" t="s">
        <v>339</v>
      </c>
      <c r="X105" s="298"/>
      <c r="Y105" s="397" t="s">
        <v>41</v>
      </c>
      <c r="Z105" s="298" t="s">
        <v>339</v>
      </c>
      <c r="AA105" s="298"/>
      <c r="AB105" s="397" t="s">
        <v>41</v>
      </c>
      <c r="AC105" s="325" t="s">
        <v>340</v>
      </c>
      <c r="AD105" s="325"/>
      <c r="AE105" s="397" t="s">
        <v>41</v>
      </c>
      <c r="AF105" s="298" t="s">
        <v>341</v>
      </c>
      <c r="AG105" s="298"/>
      <c r="AH105" s="397" t="s">
        <v>41</v>
      </c>
      <c r="AI105" s="325" t="s">
        <v>342</v>
      </c>
      <c r="AJ105" s="325"/>
      <c r="AK105" s="397" t="s">
        <v>41</v>
      </c>
      <c r="AL105" s="325" t="s">
        <v>343</v>
      </c>
      <c r="AM105" s="325"/>
      <c r="AN105" s="392"/>
      <c r="AO105" s="392"/>
      <c r="AP105" s="392"/>
      <c r="AQ105" s="392"/>
      <c r="AR105" s="392"/>
      <c r="AS105" s="392"/>
      <c r="AT105" s="392"/>
      <c r="AU105" s="392"/>
      <c r="AV105" s="392"/>
      <c r="AW105" s="392"/>
      <c r="AX105" s="392"/>
      <c r="AY105" s="392"/>
    </row>
    <row r="106" spans="1:51" s="38" customFormat="1" ht="24.75" customHeight="1">
      <c r="A106" s="397" t="s">
        <v>1</v>
      </c>
      <c r="B106" s="397" t="s">
        <v>52</v>
      </c>
      <c r="C106" s="397" t="s">
        <v>53</v>
      </c>
      <c r="D106" s="397" t="s">
        <v>121</v>
      </c>
      <c r="E106" s="397" t="s">
        <v>54</v>
      </c>
      <c r="F106" s="397" t="s">
        <v>122</v>
      </c>
      <c r="G106" s="397" t="s">
        <v>121</v>
      </c>
      <c r="H106" s="397" t="s">
        <v>54</v>
      </c>
      <c r="I106" s="397" t="s">
        <v>122</v>
      </c>
      <c r="J106" s="397" t="s">
        <v>121</v>
      </c>
      <c r="K106" s="397" t="s">
        <v>54</v>
      </c>
      <c r="L106" s="397" t="s">
        <v>122</v>
      </c>
      <c r="M106" s="397" t="s">
        <v>121</v>
      </c>
      <c r="N106" s="397" t="s">
        <v>54</v>
      </c>
      <c r="O106" s="397" t="s">
        <v>122</v>
      </c>
      <c r="P106" s="397" t="s">
        <v>121</v>
      </c>
      <c r="Q106" s="397" t="s">
        <v>54</v>
      </c>
      <c r="R106" s="397" t="s">
        <v>122</v>
      </c>
      <c r="S106" s="397" t="s">
        <v>121</v>
      </c>
      <c r="T106" s="397" t="s">
        <v>54</v>
      </c>
      <c r="U106" s="397" t="s">
        <v>122</v>
      </c>
      <c r="V106" s="397" t="s">
        <v>121</v>
      </c>
      <c r="W106" s="397" t="s">
        <v>54</v>
      </c>
      <c r="X106" s="397" t="s">
        <v>122</v>
      </c>
      <c r="Y106" s="397" t="s">
        <v>121</v>
      </c>
      <c r="Z106" s="397" t="s">
        <v>54</v>
      </c>
      <c r="AA106" s="397" t="s">
        <v>122</v>
      </c>
      <c r="AB106" s="397" t="s">
        <v>121</v>
      </c>
      <c r="AC106" s="397" t="s">
        <v>54</v>
      </c>
      <c r="AD106" s="397" t="s">
        <v>122</v>
      </c>
      <c r="AE106" s="397" t="s">
        <v>121</v>
      </c>
      <c r="AF106" s="397" t="s">
        <v>54</v>
      </c>
      <c r="AG106" s="397" t="s">
        <v>122</v>
      </c>
      <c r="AH106" s="397" t="s">
        <v>121</v>
      </c>
      <c r="AI106" s="397" t="s">
        <v>54</v>
      </c>
      <c r="AJ106" s="397" t="s">
        <v>122</v>
      </c>
      <c r="AK106" s="397" t="s">
        <v>121</v>
      </c>
      <c r="AL106" s="397" t="s">
        <v>54</v>
      </c>
      <c r="AM106" s="397" t="s">
        <v>122</v>
      </c>
      <c r="AN106" s="392"/>
      <c r="AO106" s="392"/>
      <c r="AP106" s="392"/>
      <c r="AQ106" s="392"/>
      <c r="AR106" s="392"/>
      <c r="AS106" s="392"/>
      <c r="AT106" s="392"/>
      <c r="AU106" s="392"/>
      <c r="AV106" s="392"/>
      <c r="AW106" s="392"/>
      <c r="AX106" s="392"/>
      <c r="AY106" s="392"/>
    </row>
    <row r="107" spans="1:51" s="38" customFormat="1" ht="22.5" customHeight="1">
      <c r="A107" s="397">
        <v>2020</v>
      </c>
      <c r="B107" s="401">
        <v>73</v>
      </c>
      <c r="C107" s="402"/>
      <c r="D107" s="397">
        <v>2020</v>
      </c>
      <c r="E107" s="396">
        <v>50</v>
      </c>
      <c r="F107" s="393" t="s">
        <v>2062</v>
      </c>
      <c r="G107" s="395">
        <v>2020</v>
      </c>
      <c r="H107" s="399">
        <v>50</v>
      </c>
      <c r="I107" s="393" t="s">
        <v>2063</v>
      </c>
      <c r="J107" s="397">
        <v>2020</v>
      </c>
      <c r="K107" s="398">
        <v>100</v>
      </c>
      <c r="L107" s="393" t="s">
        <v>2064</v>
      </c>
      <c r="M107" s="395">
        <v>2020</v>
      </c>
      <c r="N107" s="427">
        <v>50</v>
      </c>
      <c r="O107" s="425" t="s">
        <v>2065</v>
      </c>
      <c r="P107" s="397">
        <v>2020</v>
      </c>
      <c r="Q107" s="396">
        <v>50</v>
      </c>
      <c r="R107" s="393" t="s">
        <v>2066</v>
      </c>
      <c r="S107" s="395">
        <v>2020</v>
      </c>
      <c r="T107" s="427">
        <v>0</v>
      </c>
      <c r="U107" s="425" t="s">
        <v>2067</v>
      </c>
      <c r="V107" s="395">
        <v>2020</v>
      </c>
      <c r="W107" s="424">
        <v>67</v>
      </c>
      <c r="X107" s="425" t="s">
        <v>2068</v>
      </c>
      <c r="Y107" s="395">
        <v>2020</v>
      </c>
      <c r="Z107" s="424">
        <v>67</v>
      </c>
      <c r="AA107" s="425" t="s">
        <v>2069</v>
      </c>
      <c r="AB107" s="395">
        <v>2020</v>
      </c>
      <c r="AC107" s="394">
        <v>100</v>
      </c>
      <c r="AD107" s="393" t="s">
        <v>2070</v>
      </c>
      <c r="AE107" s="395">
        <v>2020</v>
      </c>
      <c r="AF107" s="424">
        <v>100</v>
      </c>
      <c r="AG107" s="425" t="s">
        <v>2071</v>
      </c>
      <c r="AH107" s="395">
        <v>2020</v>
      </c>
      <c r="AI107" s="394">
        <v>100</v>
      </c>
      <c r="AJ107" s="393" t="s">
        <v>2072</v>
      </c>
      <c r="AK107" s="395">
        <v>2020</v>
      </c>
      <c r="AL107" s="394">
        <v>50</v>
      </c>
      <c r="AM107" s="393" t="s">
        <v>2073</v>
      </c>
      <c r="AN107" s="392"/>
      <c r="AO107" s="392"/>
      <c r="AP107" s="392"/>
      <c r="AQ107" s="392"/>
      <c r="AR107" s="392"/>
      <c r="AS107" s="392"/>
      <c r="AT107" s="392"/>
      <c r="AU107" s="392"/>
      <c r="AV107" s="392"/>
      <c r="AW107" s="392"/>
      <c r="AX107" s="392"/>
      <c r="AY107" s="392"/>
    </row>
    <row r="108" spans="1:51" s="38" customFormat="1" ht="24.75" customHeight="1">
      <c r="A108" s="397">
        <v>2021</v>
      </c>
      <c r="B108" s="401">
        <v>73</v>
      </c>
      <c r="C108" s="400"/>
      <c r="D108" s="397">
        <v>2021</v>
      </c>
      <c r="E108" s="396">
        <v>50</v>
      </c>
      <c r="F108" s="393"/>
      <c r="G108" s="395">
        <v>2021</v>
      </c>
      <c r="H108" s="399">
        <v>50</v>
      </c>
      <c r="I108" s="393"/>
      <c r="J108" s="397">
        <v>2021</v>
      </c>
      <c r="K108" s="398">
        <v>100</v>
      </c>
      <c r="L108" s="393"/>
      <c r="M108" s="395">
        <v>2021</v>
      </c>
      <c r="N108" s="427">
        <v>50</v>
      </c>
      <c r="O108" s="425"/>
      <c r="P108" s="397">
        <v>2021</v>
      </c>
      <c r="Q108" s="396">
        <v>50</v>
      </c>
      <c r="R108" s="393"/>
      <c r="S108" s="395">
        <v>2021</v>
      </c>
      <c r="T108" s="427">
        <v>0</v>
      </c>
      <c r="U108" s="425"/>
      <c r="V108" s="395">
        <v>2021</v>
      </c>
      <c r="W108" s="424">
        <v>67</v>
      </c>
      <c r="X108" s="425"/>
      <c r="Y108" s="395">
        <v>2021</v>
      </c>
      <c r="Z108" s="424">
        <v>67</v>
      </c>
      <c r="AA108" s="425"/>
      <c r="AB108" s="395">
        <v>2021</v>
      </c>
      <c r="AC108" s="394">
        <v>100</v>
      </c>
      <c r="AD108" s="393"/>
      <c r="AE108" s="395">
        <v>2021</v>
      </c>
      <c r="AF108" s="424">
        <v>100</v>
      </c>
      <c r="AG108" s="425"/>
      <c r="AH108" s="395">
        <v>2021</v>
      </c>
      <c r="AI108" s="394">
        <v>100</v>
      </c>
      <c r="AJ108" s="393"/>
      <c r="AK108" s="395">
        <v>2021</v>
      </c>
      <c r="AL108" s="394">
        <v>50</v>
      </c>
      <c r="AM108" s="393"/>
      <c r="AN108" s="392"/>
      <c r="AO108" s="392"/>
      <c r="AP108" s="392"/>
      <c r="AQ108" s="392"/>
      <c r="AR108" s="392"/>
      <c r="AS108" s="392"/>
      <c r="AT108" s="392"/>
      <c r="AU108" s="392"/>
      <c r="AV108" s="392"/>
      <c r="AW108" s="392"/>
      <c r="AX108" s="392"/>
      <c r="AY108" s="392"/>
    </row>
    <row r="109" spans="1:51" s="38" customFormat="1" ht="35.5" customHeight="1">
      <c r="A109" s="397">
        <v>2022</v>
      </c>
      <c r="B109" s="401">
        <v>73</v>
      </c>
      <c r="C109" s="400"/>
      <c r="D109" s="397">
        <v>2022</v>
      </c>
      <c r="E109" s="396">
        <v>50</v>
      </c>
      <c r="F109" s="393"/>
      <c r="G109" s="397">
        <v>2022</v>
      </c>
      <c r="H109" s="399">
        <v>50</v>
      </c>
      <c r="I109" s="393"/>
      <c r="J109" s="397">
        <v>2022</v>
      </c>
      <c r="K109" s="398">
        <v>100</v>
      </c>
      <c r="L109" s="393"/>
      <c r="M109" s="397">
        <v>2022</v>
      </c>
      <c r="N109" s="427">
        <v>50</v>
      </c>
      <c r="O109" s="425"/>
      <c r="P109" s="397">
        <v>2022</v>
      </c>
      <c r="Q109" s="396">
        <v>50</v>
      </c>
      <c r="R109" s="393"/>
      <c r="S109" s="397">
        <v>2022</v>
      </c>
      <c r="T109" s="427">
        <v>0</v>
      </c>
      <c r="U109" s="425"/>
      <c r="V109" s="397">
        <v>2022</v>
      </c>
      <c r="W109" s="424">
        <v>67</v>
      </c>
      <c r="X109" s="425"/>
      <c r="Y109" s="397">
        <v>2022</v>
      </c>
      <c r="Z109" s="424">
        <v>67</v>
      </c>
      <c r="AA109" s="425"/>
      <c r="AB109" s="397">
        <v>2022</v>
      </c>
      <c r="AC109" s="394">
        <v>100</v>
      </c>
      <c r="AD109" s="393"/>
      <c r="AE109" s="397">
        <v>2022</v>
      </c>
      <c r="AF109" s="424">
        <v>100</v>
      </c>
      <c r="AG109" s="425"/>
      <c r="AH109" s="397">
        <v>2022</v>
      </c>
      <c r="AI109" s="394">
        <v>100</v>
      </c>
      <c r="AJ109" s="393"/>
      <c r="AK109" s="397">
        <v>2022</v>
      </c>
      <c r="AL109" s="394">
        <v>50</v>
      </c>
      <c r="AM109" s="393"/>
      <c r="AN109" s="392"/>
      <c r="AO109" s="392"/>
      <c r="AP109" s="392"/>
      <c r="AQ109" s="392"/>
      <c r="AR109" s="392"/>
      <c r="AS109" s="392"/>
      <c r="AT109" s="392"/>
      <c r="AU109" s="392"/>
      <c r="AV109" s="392"/>
      <c r="AW109" s="392"/>
      <c r="AX109" s="392"/>
      <c r="AY109" s="392"/>
    </row>
    <row r="110" spans="1:51" s="1" customFormat="1" ht="24" customHeight="1">
      <c r="A110" s="397">
        <v>2023</v>
      </c>
      <c r="B110" s="401">
        <v>73</v>
      </c>
      <c r="C110" s="400"/>
      <c r="D110" s="397">
        <v>2023</v>
      </c>
      <c r="E110" s="396">
        <v>50</v>
      </c>
      <c r="F110" s="393"/>
      <c r="G110" s="397">
        <v>2023</v>
      </c>
      <c r="H110" s="399">
        <v>50</v>
      </c>
      <c r="I110" s="393"/>
      <c r="J110" s="397">
        <v>2023</v>
      </c>
      <c r="K110" s="398">
        <v>100</v>
      </c>
      <c r="L110" s="393"/>
      <c r="M110" s="397">
        <v>2023</v>
      </c>
      <c r="N110" s="427">
        <v>50</v>
      </c>
      <c r="O110" s="425"/>
      <c r="P110" s="397">
        <v>2023</v>
      </c>
      <c r="Q110" s="396">
        <v>50</v>
      </c>
      <c r="R110" s="393"/>
      <c r="S110" s="397">
        <v>2023</v>
      </c>
      <c r="T110" s="427">
        <v>0</v>
      </c>
      <c r="U110" s="425"/>
      <c r="V110" s="397">
        <v>2023</v>
      </c>
      <c r="W110" s="424">
        <v>67</v>
      </c>
      <c r="X110" s="425"/>
      <c r="Y110" s="397">
        <v>2023</v>
      </c>
      <c r="Z110" s="424">
        <v>67</v>
      </c>
      <c r="AA110" s="425"/>
      <c r="AB110" s="397">
        <v>2023</v>
      </c>
      <c r="AC110" s="394">
        <v>100</v>
      </c>
      <c r="AD110" s="393"/>
      <c r="AE110" s="397">
        <v>2023</v>
      </c>
      <c r="AF110" s="424">
        <v>100</v>
      </c>
      <c r="AG110" s="425"/>
      <c r="AH110" s="397">
        <v>2023</v>
      </c>
      <c r="AI110" s="394">
        <v>100</v>
      </c>
      <c r="AJ110" s="393"/>
      <c r="AK110" s="397">
        <v>2023</v>
      </c>
      <c r="AL110" s="394">
        <v>50</v>
      </c>
      <c r="AM110" s="393"/>
      <c r="AN110" s="390"/>
      <c r="AO110" s="390"/>
      <c r="AP110" s="390"/>
      <c r="AQ110" s="390"/>
      <c r="AR110" s="390"/>
      <c r="AS110" s="390"/>
      <c r="AT110" s="390"/>
      <c r="AU110" s="390"/>
      <c r="AV110" s="390"/>
      <c r="AW110" s="390"/>
      <c r="AX110" s="390"/>
      <c r="AY110" s="390"/>
    </row>
    <row r="111" spans="1:51" s="1" customFormat="1" ht="22.5" customHeight="1">
      <c r="A111" s="397">
        <v>2024</v>
      </c>
      <c r="B111" s="401">
        <v>73</v>
      </c>
      <c r="C111" s="400"/>
      <c r="D111" s="397">
        <v>2024</v>
      </c>
      <c r="E111" s="396">
        <v>50</v>
      </c>
      <c r="F111" s="393" t="s">
        <v>2062</v>
      </c>
      <c r="G111" s="397">
        <v>2024</v>
      </c>
      <c r="H111" s="399">
        <v>50</v>
      </c>
      <c r="I111" s="393" t="s">
        <v>2063</v>
      </c>
      <c r="J111" s="397">
        <v>2024</v>
      </c>
      <c r="K111" s="398">
        <v>100</v>
      </c>
      <c r="L111" s="393" t="s">
        <v>2064</v>
      </c>
      <c r="M111" s="397">
        <v>2024</v>
      </c>
      <c r="N111" s="427">
        <v>50</v>
      </c>
      <c r="O111" s="425" t="s">
        <v>2065</v>
      </c>
      <c r="P111" s="397">
        <v>2024</v>
      </c>
      <c r="Q111" s="396">
        <v>50</v>
      </c>
      <c r="R111" s="393" t="s">
        <v>2066</v>
      </c>
      <c r="S111" s="397">
        <v>2024</v>
      </c>
      <c r="T111" s="427">
        <v>0</v>
      </c>
      <c r="U111" s="425" t="s">
        <v>2067</v>
      </c>
      <c r="V111" s="397">
        <v>2024</v>
      </c>
      <c r="W111" s="424">
        <v>67</v>
      </c>
      <c r="X111" s="425" t="s">
        <v>2068</v>
      </c>
      <c r="Y111" s="397">
        <v>2024</v>
      </c>
      <c r="Z111" s="424">
        <v>67</v>
      </c>
      <c r="AA111" s="425" t="s">
        <v>2069</v>
      </c>
      <c r="AB111" s="397">
        <v>2024</v>
      </c>
      <c r="AC111" s="394">
        <v>100</v>
      </c>
      <c r="AD111" s="393" t="s">
        <v>2070</v>
      </c>
      <c r="AE111" s="397">
        <v>2024</v>
      </c>
      <c r="AF111" s="424">
        <v>100</v>
      </c>
      <c r="AG111" s="425" t="s">
        <v>2074</v>
      </c>
      <c r="AH111" s="397">
        <v>2024</v>
      </c>
      <c r="AI111" s="394">
        <v>100</v>
      </c>
      <c r="AJ111" s="393" t="s">
        <v>2072</v>
      </c>
      <c r="AK111" s="397">
        <v>2024</v>
      </c>
      <c r="AL111" s="394">
        <v>50</v>
      </c>
      <c r="AM111" s="393" t="s">
        <v>2073</v>
      </c>
      <c r="AN111" s="390"/>
      <c r="AO111" s="390"/>
      <c r="AP111" s="390"/>
      <c r="AQ111" s="390"/>
      <c r="AR111" s="390"/>
      <c r="AS111" s="390"/>
      <c r="AT111" s="390"/>
      <c r="AU111" s="390"/>
      <c r="AV111" s="390"/>
      <c r="AW111" s="390"/>
      <c r="AX111" s="390"/>
      <c r="AY111" s="390"/>
    </row>
  </sheetData>
  <mergeCells count="424">
    <mergeCell ref="T105:U105"/>
    <mergeCell ref="W105:X105"/>
    <mergeCell ref="Z105:AA105"/>
    <mergeCell ref="AL104:AM104"/>
    <mergeCell ref="W104:X104"/>
    <mergeCell ref="Z104:AA104"/>
    <mergeCell ref="AC104:AD104"/>
    <mergeCell ref="AF104:AG104"/>
    <mergeCell ref="AI104:AJ104"/>
    <mergeCell ref="AC105:AD105"/>
    <mergeCell ref="AF105:AG105"/>
    <mergeCell ref="AI105:AJ105"/>
    <mergeCell ref="AL105:AM105"/>
    <mergeCell ref="T104:U104"/>
    <mergeCell ref="B105:C105"/>
    <mergeCell ref="E105:F105"/>
    <mergeCell ref="H105:I105"/>
    <mergeCell ref="K105:L105"/>
    <mergeCell ref="N105:O105"/>
    <mergeCell ref="Q105:R105"/>
    <mergeCell ref="Q104:R104"/>
    <mergeCell ref="B104:C104"/>
    <mergeCell ref="E104:F104"/>
    <mergeCell ref="H104:I104"/>
    <mergeCell ref="K104:L104"/>
    <mergeCell ref="N104:O104"/>
    <mergeCell ref="Q102:R102"/>
    <mergeCell ref="AF102:AG102"/>
    <mergeCell ref="T102:U102"/>
    <mergeCell ref="T103:U103"/>
    <mergeCell ref="Q103:R103"/>
    <mergeCell ref="W103:X103"/>
    <mergeCell ref="Z103:AA103"/>
    <mergeCell ref="AC103:AD103"/>
    <mergeCell ref="AF103:AG103"/>
    <mergeCell ref="AI103:AJ103"/>
    <mergeCell ref="AI102:AJ102"/>
    <mergeCell ref="W102:X102"/>
    <mergeCell ref="Z102:AA102"/>
    <mergeCell ref="AC102:AD102"/>
    <mergeCell ref="E102:F102"/>
    <mergeCell ref="B103:C103"/>
    <mergeCell ref="E103:F103"/>
    <mergeCell ref="H103:I103"/>
    <mergeCell ref="K103:L103"/>
    <mergeCell ref="N103:O103"/>
    <mergeCell ref="H102:I102"/>
    <mergeCell ref="K102:L102"/>
    <mergeCell ref="N102:O102"/>
    <mergeCell ref="AL103:AM103"/>
    <mergeCell ref="B92:C92"/>
    <mergeCell ref="E92:F92"/>
    <mergeCell ref="H92:I92"/>
    <mergeCell ref="K92:L92"/>
    <mergeCell ref="N92:O92"/>
    <mergeCell ref="W101:X101"/>
    <mergeCell ref="Z101:AA101"/>
    <mergeCell ref="AC101:AD101"/>
    <mergeCell ref="AF101:AG101"/>
    <mergeCell ref="AL102:AM102"/>
    <mergeCell ref="AL101:AM101"/>
    <mergeCell ref="T92:U92"/>
    <mergeCell ref="W92:X92"/>
    <mergeCell ref="Z92:AA92"/>
    <mergeCell ref="B100:AM100"/>
    <mergeCell ref="AI101:AJ101"/>
    <mergeCell ref="AC92:AD92"/>
    <mergeCell ref="E101:F101"/>
    <mergeCell ref="H101:I101"/>
    <mergeCell ref="K101:L101"/>
    <mergeCell ref="N101:O101"/>
    <mergeCell ref="Q101:R101"/>
    <mergeCell ref="T101:U101"/>
    <mergeCell ref="AF91:AG91"/>
    <mergeCell ref="AF92:AG92"/>
    <mergeCell ref="B101:C101"/>
    <mergeCell ref="Q92:R92"/>
    <mergeCell ref="T91:U91"/>
    <mergeCell ref="W91:X91"/>
    <mergeCell ref="Z91:AA91"/>
    <mergeCell ref="AC91:AD91"/>
    <mergeCell ref="B91:C91"/>
    <mergeCell ref="E91:F91"/>
    <mergeCell ref="H91:I91"/>
    <mergeCell ref="K91:L91"/>
    <mergeCell ref="N91:O91"/>
    <mergeCell ref="Q91:R91"/>
    <mergeCell ref="T90:U90"/>
    <mergeCell ref="B90:C90"/>
    <mergeCell ref="E90:F90"/>
    <mergeCell ref="H90:I90"/>
    <mergeCell ref="K90:L90"/>
    <mergeCell ref="N90:O90"/>
    <mergeCell ref="Q90:R90"/>
    <mergeCell ref="AC88:AD88"/>
    <mergeCell ref="AF88:AG88"/>
    <mergeCell ref="W90:X90"/>
    <mergeCell ref="Z90:AA90"/>
    <mergeCell ref="Z89:AA89"/>
    <mergeCell ref="AC89:AD89"/>
    <mergeCell ref="AF89:AG89"/>
    <mergeCell ref="B88:C88"/>
    <mergeCell ref="AC90:AD90"/>
    <mergeCell ref="AF90:AG90"/>
    <mergeCell ref="E88:F88"/>
    <mergeCell ref="H88:I88"/>
    <mergeCell ref="K88:L88"/>
    <mergeCell ref="N88:O88"/>
    <mergeCell ref="Q88:R88"/>
    <mergeCell ref="H89:I89"/>
    <mergeCell ref="K89:L89"/>
    <mergeCell ref="N89:O89"/>
    <mergeCell ref="Q89:R89"/>
    <mergeCell ref="T89:U89"/>
    <mergeCell ref="W89:X89"/>
    <mergeCell ref="T88:U88"/>
    <mergeCell ref="W88:X88"/>
    <mergeCell ref="Z88:AA88"/>
    <mergeCell ref="Z79:AA79"/>
    <mergeCell ref="B87:AG87"/>
    <mergeCell ref="T79:U79"/>
    <mergeCell ref="W79:X79"/>
    <mergeCell ref="B79:C79"/>
    <mergeCell ref="E79:F79"/>
    <mergeCell ref="H79:I79"/>
    <mergeCell ref="K79:L79"/>
    <mergeCell ref="N79:O79"/>
    <mergeCell ref="Q79:R79"/>
    <mergeCell ref="W78:X78"/>
    <mergeCell ref="Z78:AA78"/>
    <mergeCell ref="T78:U78"/>
    <mergeCell ref="B78:C78"/>
    <mergeCell ref="E78:F78"/>
    <mergeCell ref="H78:I78"/>
    <mergeCell ref="K78:L78"/>
    <mergeCell ref="N78:O78"/>
    <mergeCell ref="Q78:R78"/>
    <mergeCell ref="T77:U77"/>
    <mergeCell ref="W77:X77"/>
    <mergeCell ref="Z77:AA77"/>
    <mergeCell ref="B77:C77"/>
    <mergeCell ref="E77:F77"/>
    <mergeCell ref="H77:I77"/>
    <mergeCell ref="K77:L77"/>
    <mergeCell ref="N77:O77"/>
    <mergeCell ref="Q77:R77"/>
    <mergeCell ref="Z76:AA76"/>
    <mergeCell ref="T66:U66"/>
    <mergeCell ref="W66:X66"/>
    <mergeCell ref="B74:AA74"/>
    <mergeCell ref="B75:C75"/>
    <mergeCell ref="E75:F75"/>
    <mergeCell ref="H75:I75"/>
    <mergeCell ref="H76:I76"/>
    <mergeCell ref="K76:L76"/>
    <mergeCell ref="N76:O76"/>
    <mergeCell ref="Q76:R76"/>
    <mergeCell ref="T76:U76"/>
    <mergeCell ref="W76:X76"/>
    <mergeCell ref="W75:X75"/>
    <mergeCell ref="Z75:AA75"/>
    <mergeCell ref="K75:L75"/>
    <mergeCell ref="N75:O75"/>
    <mergeCell ref="Q75:R75"/>
    <mergeCell ref="T75:U75"/>
    <mergeCell ref="B66:C66"/>
    <mergeCell ref="E66:F66"/>
    <mergeCell ref="H66:I66"/>
    <mergeCell ref="K66:L66"/>
    <mergeCell ref="N66:O66"/>
    <mergeCell ref="Q66:R66"/>
    <mergeCell ref="H63:I63"/>
    <mergeCell ref="K63:L63"/>
    <mergeCell ref="N63:O63"/>
    <mergeCell ref="Q63:R63"/>
    <mergeCell ref="B64:C64"/>
    <mergeCell ref="E64:F64"/>
    <mergeCell ref="H64:I64"/>
    <mergeCell ref="K64:L64"/>
    <mergeCell ref="N64:O64"/>
    <mergeCell ref="Q64:R64"/>
    <mergeCell ref="B65:C65"/>
    <mergeCell ref="E65:F65"/>
    <mergeCell ref="H65:I65"/>
    <mergeCell ref="K65:L65"/>
    <mergeCell ref="N65:O65"/>
    <mergeCell ref="Q65:R65"/>
    <mergeCell ref="T65:U65"/>
    <mergeCell ref="W65:X65"/>
    <mergeCell ref="T64:U64"/>
    <mergeCell ref="W64:X64"/>
    <mergeCell ref="T63:U63"/>
    <mergeCell ref="W63:X63"/>
    <mergeCell ref="B61:X61"/>
    <mergeCell ref="B62:C62"/>
    <mergeCell ref="E62:F62"/>
    <mergeCell ref="H62:I62"/>
    <mergeCell ref="K62:L62"/>
    <mergeCell ref="N62:O62"/>
    <mergeCell ref="Q62:R62"/>
    <mergeCell ref="T62:U62"/>
    <mergeCell ref="W62:X62"/>
    <mergeCell ref="B52:C52"/>
    <mergeCell ref="E52:F52"/>
    <mergeCell ref="H52:I52"/>
    <mergeCell ref="K52:L52"/>
    <mergeCell ref="N52:O52"/>
    <mergeCell ref="Q52:R52"/>
    <mergeCell ref="B53:C53"/>
    <mergeCell ref="E53:F53"/>
    <mergeCell ref="H53:I53"/>
    <mergeCell ref="K53:L53"/>
    <mergeCell ref="N53:O53"/>
    <mergeCell ref="Q53:R53"/>
    <mergeCell ref="H50:I50"/>
    <mergeCell ref="K50:L50"/>
    <mergeCell ref="N50:O50"/>
    <mergeCell ref="Q50:R50"/>
    <mergeCell ref="B51:C51"/>
    <mergeCell ref="E51:F51"/>
    <mergeCell ref="H51:I51"/>
    <mergeCell ref="K51:L51"/>
    <mergeCell ref="N51:O51"/>
    <mergeCell ref="Q51:R51"/>
    <mergeCell ref="AI40:AJ40"/>
    <mergeCell ref="AL40:AM40"/>
    <mergeCell ref="B48:R48"/>
    <mergeCell ref="B40:C40"/>
    <mergeCell ref="E40:F40"/>
    <mergeCell ref="H40:I40"/>
    <mergeCell ref="K40:L40"/>
    <mergeCell ref="W40:X40"/>
    <mergeCell ref="B49:C49"/>
    <mergeCell ref="E49:F49"/>
    <mergeCell ref="H49:I49"/>
    <mergeCell ref="K49:L49"/>
    <mergeCell ref="N49:O49"/>
    <mergeCell ref="Q49:R49"/>
    <mergeCell ref="N40:O40"/>
    <mergeCell ref="Q40:R40"/>
    <mergeCell ref="T40:U40"/>
    <mergeCell ref="Z40:AA40"/>
    <mergeCell ref="B39:C39"/>
    <mergeCell ref="E39:F39"/>
    <mergeCell ref="H39:I39"/>
    <mergeCell ref="K39:L39"/>
    <mergeCell ref="N39:O39"/>
    <mergeCell ref="Q39:R39"/>
    <mergeCell ref="AC40:AD40"/>
    <mergeCell ref="AF40:AG40"/>
    <mergeCell ref="T39:U39"/>
    <mergeCell ref="W39:X39"/>
    <mergeCell ref="Z39:AA39"/>
    <mergeCell ref="AC39:AD39"/>
    <mergeCell ref="AF39:AG39"/>
    <mergeCell ref="AI39:AJ39"/>
    <mergeCell ref="AL39:AM39"/>
    <mergeCell ref="T37:U37"/>
    <mergeCell ref="Q38:R38"/>
    <mergeCell ref="T38:U38"/>
    <mergeCell ref="W38:X38"/>
    <mergeCell ref="Z38:AA38"/>
    <mergeCell ref="W37:X37"/>
    <mergeCell ref="Q37:R37"/>
    <mergeCell ref="AC37:AD37"/>
    <mergeCell ref="AI37:AJ37"/>
    <mergeCell ref="AC38:AD38"/>
    <mergeCell ref="AF38:AG38"/>
    <mergeCell ref="AI38:AJ38"/>
    <mergeCell ref="B38:C38"/>
    <mergeCell ref="E38:F38"/>
    <mergeCell ref="H38:I38"/>
    <mergeCell ref="K38:L38"/>
    <mergeCell ref="N38:O38"/>
    <mergeCell ref="AL38:AM38"/>
    <mergeCell ref="H37:I37"/>
    <mergeCell ref="K37:L37"/>
    <mergeCell ref="N37:O37"/>
    <mergeCell ref="AL37:AM37"/>
    <mergeCell ref="B36:C36"/>
    <mergeCell ref="E36:F36"/>
    <mergeCell ref="H36:I36"/>
    <mergeCell ref="K36:L36"/>
    <mergeCell ref="N36:O36"/>
    <mergeCell ref="Z36:AA36"/>
    <mergeCell ref="AC36:AD36"/>
    <mergeCell ref="AF36:AG36"/>
    <mergeCell ref="AI36:AJ36"/>
    <mergeCell ref="AL36:AM36"/>
    <mergeCell ref="Q36:R36"/>
    <mergeCell ref="T36:U36"/>
    <mergeCell ref="W36:X36"/>
    <mergeCell ref="T27:U27"/>
    <mergeCell ref="B27:C27"/>
    <mergeCell ref="E27:F27"/>
    <mergeCell ref="H27:I27"/>
    <mergeCell ref="K27:L27"/>
    <mergeCell ref="N27:O27"/>
    <mergeCell ref="Q27:R27"/>
    <mergeCell ref="W27:X27"/>
    <mergeCell ref="Z27:AA27"/>
    <mergeCell ref="AC27:AD27"/>
    <mergeCell ref="AF27:AG27"/>
    <mergeCell ref="AI27:AJ27"/>
    <mergeCell ref="B35:AM35"/>
    <mergeCell ref="AX27:AY27"/>
    <mergeCell ref="AC25:AD25"/>
    <mergeCell ref="AF25:AG25"/>
    <mergeCell ref="AI25:AJ25"/>
    <mergeCell ref="AL25:AM25"/>
    <mergeCell ref="AO25:AP25"/>
    <mergeCell ref="AR25:AS25"/>
    <mergeCell ref="AU25:AV25"/>
    <mergeCell ref="AX25:AY25"/>
    <mergeCell ref="AC26:AD26"/>
    <mergeCell ref="AF26:AG26"/>
    <mergeCell ref="AI26:AJ26"/>
    <mergeCell ref="AL26:AM26"/>
    <mergeCell ref="AO26:AP26"/>
    <mergeCell ref="AR26:AS26"/>
    <mergeCell ref="AU26:AV26"/>
    <mergeCell ref="AX26:AY26"/>
    <mergeCell ref="AL27:AM27"/>
    <mergeCell ref="AO27:AP27"/>
    <mergeCell ref="AR27:AS27"/>
    <mergeCell ref="AU27:AV27"/>
    <mergeCell ref="B26:C26"/>
    <mergeCell ref="E26:F26"/>
    <mergeCell ref="H26:I26"/>
    <mergeCell ref="K26:L26"/>
    <mergeCell ref="N26:O26"/>
    <mergeCell ref="Q26:R26"/>
    <mergeCell ref="T26:U26"/>
    <mergeCell ref="W26:X26"/>
    <mergeCell ref="Z26:AA26"/>
    <mergeCell ref="AI24:AJ24"/>
    <mergeCell ref="AL24:AM24"/>
    <mergeCell ref="AO24:AP24"/>
    <mergeCell ref="B25:C25"/>
    <mergeCell ref="E25:F25"/>
    <mergeCell ref="H25:I25"/>
    <mergeCell ref="K25:L25"/>
    <mergeCell ref="N25:O25"/>
    <mergeCell ref="Q25:R25"/>
    <mergeCell ref="T25:U25"/>
    <mergeCell ref="W25:X25"/>
    <mergeCell ref="Z25:AA25"/>
    <mergeCell ref="H24:I24"/>
    <mergeCell ref="K24:L24"/>
    <mergeCell ref="N24:O24"/>
    <mergeCell ref="Q24:R24"/>
    <mergeCell ref="T24:U24"/>
    <mergeCell ref="W24:X24"/>
    <mergeCell ref="Z24:AA24"/>
    <mergeCell ref="AC24:AD24"/>
    <mergeCell ref="AF24:AG24"/>
    <mergeCell ref="AO23:AP23"/>
    <mergeCell ref="AR23:AS23"/>
    <mergeCell ref="AU23:AV23"/>
    <mergeCell ref="W23:X23"/>
    <mergeCell ref="Z23:AA23"/>
    <mergeCell ref="AL23:AM23"/>
    <mergeCell ref="Q23:R23"/>
    <mergeCell ref="AC23:AD23"/>
    <mergeCell ref="AF23:AG23"/>
    <mergeCell ref="AI23:AJ23"/>
    <mergeCell ref="T23:U23"/>
    <mergeCell ref="AX23:AY23"/>
    <mergeCell ref="H23:I23"/>
    <mergeCell ref="K23:L23"/>
    <mergeCell ref="N23:O23"/>
    <mergeCell ref="B23:C23"/>
    <mergeCell ref="E23:F23"/>
    <mergeCell ref="E14:F14"/>
    <mergeCell ref="H14:I14"/>
    <mergeCell ref="K14:L14"/>
    <mergeCell ref="B14:C14"/>
    <mergeCell ref="N14:O14"/>
    <mergeCell ref="Q14:R14"/>
    <mergeCell ref="B22:AY22"/>
    <mergeCell ref="W14:X14"/>
    <mergeCell ref="Z14:AA14"/>
    <mergeCell ref="AC14:AD14"/>
    <mergeCell ref="T14:U14"/>
    <mergeCell ref="B13:C13"/>
    <mergeCell ref="E13:F13"/>
    <mergeCell ref="H13:I13"/>
    <mergeCell ref="K13:L13"/>
    <mergeCell ref="T13:U13"/>
    <mergeCell ref="N13:O13"/>
    <mergeCell ref="Q13:R13"/>
    <mergeCell ref="W13:X13"/>
    <mergeCell ref="E12:F12"/>
    <mergeCell ref="H12:I12"/>
    <mergeCell ref="K12:L12"/>
    <mergeCell ref="N12:O12"/>
    <mergeCell ref="Z13:AA13"/>
    <mergeCell ref="AC13:AD13"/>
    <mergeCell ref="W12:X12"/>
    <mergeCell ref="Z12:AA12"/>
    <mergeCell ref="Q12:R12"/>
    <mergeCell ref="T12:U12"/>
    <mergeCell ref="AC12:AD12"/>
    <mergeCell ref="Z10:AA10"/>
    <mergeCell ref="T10:U10"/>
    <mergeCell ref="W11:X11"/>
    <mergeCell ref="W10:X10"/>
    <mergeCell ref="Q10:R10"/>
    <mergeCell ref="Q11:R11"/>
    <mergeCell ref="T11:U11"/>
    <mergeCell ref="AC10:AD10"/>
    <mergeCell ref="Z11:AA11"/>
    <mergeCell ref="B12:C12"/>
    <mergeCell ref="A1:D1"/>
    <mergeCell ref="B9:AD9"/>
    <mergeCell ref="B10:C10"/>
    <mergeCell ref="E10:F10"/>
    <mergeCell ref="H10:I10"/>
    <mergeCell ref="K10:L10"/>
    <mergeCell ref="N10:O10"/>
    <mergeCell ref="E11:F11"/>
    <mergeCell ref="H11:I11"/>
    <mergeCell ref="K11:L11"/>
    <mergeCell ref="N11:O11"/>
  </mergeCells>
  <pageMargins left="0.70833333333333304" right="0.70833333333333304" top="0.74791666666666701" bottom="0.74791666666666701" header="0.31458333333333299" footer="0.31458333333333299"/>
  <pageSetup paperSize="9" scale="5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B9C86-41A8-4503-8E6C-7B71BFBDA0AB}">
  <dimension ref="A1:CC111"/>
  <sheetViews>
    <sheetView topLeftCell="I9" zoomScale="114" zoomScaleNormal="115" workbookViewId="0">
      <selection activeCell="O18" sqref="O18"/>
    </sheetView>
  </sheetViews>
  <sheetFormatPr defaultColWidth="8.81640625" defaultRowHeight="15" customHeight="1"/>
  <cols>
    <col min="1" max="1" width="17.453125" style="24" customWidth="1"/>
    <col min="2" max="2" width="13.453125" style="24" customWidth="1"/>
    <col min="3" max="3" width="23.1796875" style="24" customWidth="1"/>
    <col min="4" max="4" width="17.453125" style="24" customWidth="1"/>
    <col min="5" max="5" width="13.453125" style="24" customWidth="1"/>
    <col min="6" max="6" width="43.1796875" style="24" customWidth="1"/>
    <col min="7" max="7" width="17.453125" style="24" customWidth="1"/>
    <col min="8" max="8" width="13.453125" style="24" customWidth="1"/>
    <col min="9" max="9" width="24.6328125" style="24" customWidth="1"/>
    <col min="10" max="10" width="32.81640625" style="24" customWidth="1"/>
    <col min="11" max="11" width="13.453125" style="24" customWidth="1"/>
    <col min="12" max="12" width="35.453125" style="24" customWidth="1"/>
    <col min="13" max="13" width="17.453125" style="24" customWidth="1"/>
    <col min="14" max="14" width="13.453125" style="24" customWidth="1"/>
    <col min="15" max="15" width="32.453125" style="24" customWidth="1"/>
    <col min="16" max="16" width="17.453125" style="24" customWidth="1"/>
    <col min="17" max="17" width="13.453125" style="24" customWidth="1"/>
    <col min="18" max="18" width="50.453125" style="24" customWidth="1"/>
    <col min="19" max="19" width="17.453125" style="24" customWidth="1"/>
    <col min="20" max="20" width="13.453125" style="24" customWidth="1"/>
    <col min="21" max="21" width="49.453125" style="24" customWidth="1"/>
    <col min="22" max="22" width="17.453125" style="24" customWidth="1"/>
    <col min="23" max="23" width="13.453125" style="24" customWidth="1"/>
    <col min="24" max="24" width="31.36328125" style="24" customWidth="1"/>
    <col min="25" max="25" width="17.453125" style="24" customWidth="1"/>
    <col min="26" max="26" width="13.453125" style="24" customWidth="1"/>
    <col min="27" max="27" width="34.453125" style="24" customWidth="1"/>
    <col min="28" max="28" width="17.453125" style="24" customWidth="1"/>
    <col min="29" max="29" width="13.453125" style="24" customWidth="1"/>
    <col min="30" max="30" width="43" style="24" customWidth="1"/>
    <col min="31" max="31" width="17.453125" style="24" customWidth="1"/>
    <col min="32" max="32" width="13.453125" style="24" customWidth="1"/>
    <col min="33" max="33" width="43.453125" style="24" customWidth="1"/>
    <col min="34" max="34" width="17.453125" style="24" customWidth="1"/>
    <col min="35" max="35" width="13.453125" style="24" customWidth="1"/>
    <col min="36" max="36" width="35.453125" style="24" customWidth="1"/>
    <col min="37" max="37" width="17.453125" style="24" customWidth="1"/>
    <col min="38" max="38" width="13.453125" style="24" customWidth="1"/>
    <col min="39" max="39" width="23.1796875" style="24" customWidth="1"/>
    <col min="40" max="40" width="17.453125" style="24" customWidth="1"/>
    <col min="41" max="41" width="13.453125" style="24" customWidth="1"/>
    <col min="42" max="42" width="23.1796875" style="24" customWidth="1"/>
    <col min="43" max="43" width="17.453125" style="24" customWidth="1"/>
    <col min="44" max="44" width="13.453125" style="24" customWidth="1"/>
    <col min="45" max="45" width="25.81640625" style="24" customWidth="1"/>
    <col min="46" max="46" width="17.453125" style="24" customWidth="1"/>
    <col min="47" max="47" width="13.453125" style="24" customWidth="1"/>
    <col min="48" max="48" width="30.1796875" style="24" customWidth="1"/>
    <col min="49" max="49" width="17.453125" style="24" customWidth="1"/>
    <col min="50" max="50" width="13.453125" style="24" customWidth="1"/>
    <col min="51" max="51" width="40.453125" style="24" customWidth="1"/>
    <col min="52" max="16384" width="8.81640625" style="24"/>
  </cols>
  <sheetData>
    <row r="1" spans="1:81" ht="36.65" customHeight="1">
      <c r="A1" s="323" t="s">
        <v>0</v>
      </c>
      <c r="B1" s="323"/>
      <c r="C1" s="323"/>
      <c r="D1" s="323"/>
    </row>
    <row r="2" spans="1:81" ht="45" customHeight="1">
      <c r="A2" s="2" t="s">
        <v>1</v>
      </c>
      <c r="B2" s="2" t="s">
        <v>2</v>
      </c>
      <c r="C2" s="2" t="s">
        <v>3</v>
      </c>
      <c r="D2" s="2" t="s">
        <v>4</v>
      </c>
    </row>
    <row r="3" spans="1:81" ht="15" customHeight="1">
      <c r="A3" s="3">
        <v>2020</v>
      </c>
      <c r="B3" s="16">
        <f>AVERAGE(B16,B29,B42,B55,B68,B81,B94,B107)</f>
        <v>41.33407738095238</v>
      </c>
      <c r="C3" s="16">
        <f>AVERAGE(B16,B29,B42,B55,B68,B81,B94)</f>
        <v>42.167517006802719</v>
      </c>
      <c r="D3" s="16">
        <f>AVERAGE(B16,B29,B55,B68,B81,B94)</f>
        <v>42.465277777777771</v>
      </c>
    </row>
    <row r="4" spans="1:81" ht="15" customHeight="1">
      <c r="A4" s="3">
        <v>2021</v>
      </c>
      <c r="B4" s="16">
        <f t="shared" ref="B4:B7" si="0">AVERAGE(B17,B30,B43,B56,B69,B82,B95,B108)</f>
        <v>41.33407738095238</v>
      </c>
      <c r="C4" s="16">
        <f>AVERAGE(B17,B30,B43,B56,B69,B82,B95)</f>
        <v>42.167517006802719</v>
      </c>
      <c r="D4" s="16">
        <f t="shared" ref="D4:D7" si="1">AVERAGE(B17,B30,B56,B69,B82,B95)</f>
        <v>42.465277777777771</v>
      </c>
    </row>
    <row r="5" spans="1:81" ht="15" customHeight="1">
      <c r="A5" s="3">
        <v>2022</v>
      </c>
      <c r="B5" s="16">
        <f t="shared" si="0"/>
        <v>41.33407738095238</v>
      </c>
      <c r="C5" s="16">
        <f t="shared" ref="C5:C7" si="2">AVERAGE(B18,B31,B44,B57,B70,B83,B96)</f>
        <v>42.167517006802719</v>
      </c>
      <c r="D5" s="16">
        <f t="shared" si="1"/>
        <v>42.465277777777771</v>
      </c>
    </row>
    <row r="6" spans="1:81" ht="15" customHeight="1">
      <c r="A6" s="3">
        <v>2023</v>
      </c>
      <c r="B6" s="16">
        <f t="shared" si="0"/>
        <v>40.94345238095238</v>
      </c>
      <c r="C6" s="16">
        <f t="shared" si="2"/>
        <v>41.721088435374149</v>
      </c>
      <c r="D6" s="16">
        <f t="shared" si="1"/>
        <v>41.944444444444436</v>
      </c>
    </row>
    <row r="7" spans="1:81" ht="15" customHeight="1">
      <c r="A7" s="3">
        <v>2024</v>
      </c>
      <c r="B7" s="16">
        <f t="shared" si="0"/>
        <v>40.94345238095238</v>
      </c>
      <c r="C7" s="16">
        <f t="shared" si="2"/>
        <v>41.721088435374149</v>
      </c>
      <c r="D7" s="16">
        <f t="shared" si="1"/>
        <v>41.944444444444436</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8"/>
      <c r="F10" s="318"/>
      <c r="G10" s="5" t="s">
        <v>7</v>
      </c>
      <c r="H10" s="318"/>
      <c r="I10" s="318"/>
      <c r="J10" s="5" t="s">
        <v>7</v>
      </c>
      <c r="K10" s="318"/>
      <c r="L10" s="318"/>
      <c r="M10" s="5" t="s">
        <v>7</v>
      </c>
      <c r="N10" s="318" t="s">
        <v>9</v>
      </c>
      <c r="O10" s="318"/>
      <c r="P10" s="5" t="s">
        <v>7</v>
      </c>
      <c r="Q10" s="318" t="s">
        <v>10</v>
      </c>
      <c r="R10" s="318"/>
      <c r="S10" s="5" t="s">
        <v>7</v>
      </c>
      <c r="T10" s="318" t="s">
        <v>11</v>
      </c>
      <c r="U10" s="318"/>
      <c r="V10" s="9" t="s">
        <v>7</v>
      </c>
      <c r="W10" s="355"/>
      <c r="X10" s="355"/>
      <c r="Y10" s="9" t="s">
        <v>7</v>
      </c>
      <c r="Z10" s="355"/>
      <c r="AA10" s="355"/>
      <c r="AB10" s="5" t="s">
        <v>7</v>
      </c>
      <c r="AC10" s="356" t="s">
        <v>12</v>
      </c>
      <c r="AD10" s="356"/>
    </row>
    <row r="11" spans="1:81" ht="24.75" customHeight="1">
      <c r="A11" s="5" t="s">
        <v>13</v>
      </c>
      <c r="B11" s="7"/>
      <c r="C11" s="7"/>
      <c r="D11" s="5" t="s">
        <v>13</v>
      </c>
      <c r="E11" s="353" t="s">
        <v>14</v>
      </c>
      <c r="F11" s="353"/>
      <c r="G11" s="5" t="s">
        <v>13</v>
      </c>
      <c r="H11" s="353" t="s">
        <v>15</v>
      </c>
      <c r="I11" s="353"/>
      <c r="J11" s="5" t="s">
        <v>13</v>
      </c>
      <c r="K11" s="353" t="s">
        <v>16</v>
      </c>
      <c r="L11" s="353"/>
      <c r="M11" s="5" t="s">
        <v>13</v>
      </c>
      <c r="N11" s="353"/>
      <c r="O11" s="353"/>
      <c r="P11" s="5" t="s">
        <v>13</v>
      </c>
      <c r="Q11" s="318"/>
      <c r="R11" s="318"/>
      <c r="S11" s="5" t="s">
        <v>13</v>
      </c>
      <c r="T11" s="318"/>
      <c r="U11" s="318"/>
      <c r="V11" s="9" t="s">
        <v>13</v>
      </c>
      <c r="W11" s="354" t="s">
        <v>17</v>
      </c>
      <c r="X11" s="355"/>
      <c r="Y11" s="9" t="s">
        <v>13</v>
      </c>
      <c r="Z11" s="354" t="s">
        <v>18</v>
      </c>
      <c r="AA11" s="355"/>
      <c r="AB11" s="5" t="s">
        <v>13</v>
      </c>
      <c r="AC11" s="87"/>
      <c r="AD11" s="87"/>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51" t="s">
        <v>29</v>
      </c>
      <c r="AD12" s="351"/>
    </row>
    <row r="13" spans="1:81" ht="107"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52" t="s">
        <v>40</v>
      </c>
      <c r="AD13" s="352"/>
    </row>
    <row r="14" spans="1:81" ht="48"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52" t="s">
        <v>51</v>
      </c>
      <c r="AD14" s="352"/>
    </row>
    <row r="15" spans="1:81" s="50" customFormat="1" ht="24.75" customHeight="1">
      <c r="A15" s="8" t="s">
        <v>1</v>
      </c>
      <c r="B15" s="8" t="s">
        <v>52</v>
      </c>
      <c r="C15" s="8" t="s">
        <v>53</v>
      </c>
      <c r="D15" s="8" t="s">
        <v>1</v>
      </c>
      <c r="E15" s="8" t="s">
        <v>52</v>
      </c>
      <c r="F15" s="8" t="s">
        <v>53</v>
      </c>
      <c r="G15" s="8" t="s">
        <v>1</v>
      </c>
      <c r="H15" s="8" t="s">
        <v>52</v>
      </c>
      <c r="I15" s="8" t="s">
        <v>53</v>
      </c>
      <c r="J15" s="8" t="s">
        <v>1</v>
      </c>
      <c r="K15" s="8" t="s">
        <v>52</v>
      </c>
      <c r="L15" s="8" t="s">
        <v>53</v>
      </c>
      <c r="M15" s="8" t="s">
        <v>1</v>
      </c>
      <c r="N15" s="8" t="s">
        <v>52</v>
      </c>
      <c r="O15" s="8" t="s">
        <v>53</v>
      </c>
      <c r="P15" s="8" t="s">
        <v>1</v>
      </c>
      <c r="Q15" s="8" t="s">
        <v>52</v>
      </c>
      <c r="R15" s="8" t="s">
        <v>53</v>
      </c>
      <c r="S15" s="8" t="s">
        <v>1</v>
      </c>
      <c r="T15" s="8" t="s">
        <v>54</v>
      </c>
      <c r="U15" s="8" t="s">
        <v>53</v>
      </c>
      <c r="V15" s="8"/>
      <c r="W15" s="8" t="s">
        <v>52</v>
      </c>
      <c r="X15" s="8" t="s">
        <v>53</v>
      </c>
      <c r="Y15" s="8" t="s">
        <v>1</v>
      </c>
      <c r="Z15" s="8" t="s">
        <v>52</v>
      </c>
      <c r="AA15" s="8" t="s">
        <v>53</v>
      </c>
      <c r="AB15" s="8" t="s">
        <v>1</v>
      </c>
      <c r="AC15" s="90" t="s">
        <v>52</v>
      </c>
      <c r="AD15" s="90"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s="1" customFormat="1" ht="36" customHeight="1">
      <c r="A16" s="8">
        <v>2020</v>
      </c>
      <c r="B16" s="16">
        <f t="shared" ref="B16:B20" si="3">AVERAGE(E16, H16,K16,N16,Q16,T16,W16,Z16,AC16)</f>
        <v>29.666666666666668</v>
      </c>
      <c r="C16" s="16"/>
      <c r="D16" s="8">
        <v>2020</v>
      </c>
      <c r="E16" s="18">
        <v>0</v>
      </c>
      <c r="F16" s="91" t="s">
        <v>455</v>
      </c>
      <c r="G16" s="8">
        <v>2020</v>
      </c>
      <c r="H16" s="80">
        <v>0</v>
      </c>
      <c r="I16" s="17" t="s">
        <v>456</v>
      </c>
      <c r="J16" s="8">
        <v>2020</v>
      </c>
      <c r="K16" s="80">
        <v>50</v>
      </c>
      <c r="L16" s="17" t="s">
        <v>457</v>
      </c>
      <c r="M16" s="8">
        <v>2020</v>
      </c>
      <c r="N16" s="92">
        <v>50</v>
      </c>
      <c r="O16" s="93" t="s">
        <v>458</v>
      </c>
      <c r="P16" s="8">
        <v>2020</v>
      </c>
      <c r="Q16" s="80">
        <v>67</v>
      </c>
      <c r="R16" s="94" t="s">
        <v>459</v>
      </c>
      <c r="S16" s="8">
        <v>2020</v>
      </c>
      <c r="T16" s="80">
        <v>100</v>
      </c>
      <c r="U16" s="95" t="s">
        <v>460</v>
      </c>
      <c r="V16" s="8">
        <v>2020</v>
      </c>
      <c r="W16" s="18">
        <v>0</v>
      </c>
      <c r="X16" s="96" t="s">
        <v>461</v>
      </c>
      <c r="Y16" s="8">
        <v>2020</v>
      </c>
      <c r="Z16" s="80">
        <v>0</v>
      </c>
      <c r="AA16" s="95" t="s">
        <v>462</v>
      </c>
      <c r="AB16" s="8">
        <v>2020</v>
      </c>
      <c r="AC16" s="97">
        <v>0</v>
      </c>
      <c r="AD16" s="98" t="s">
        <v>463</v>
      </c>
    </row>
    <row r="17" spans="1:51" s="1" customFormat="1" ht="14.5">
      <c r="A17" s="8">
        <v>2021</v>
      </c>
      <c r="B17" s="16">
        <f t="shared" si="3"/>
        <v>29.666666666666668</v>
      </c>
      <c r="C17" s="16"/>
      <c r="D17" s="8">
        <v>2021</v>
      </c>
      <c r="E17" s="18">
        <v>0</v>
      </c>
      <c r="F17" s="19"/>
      <c r="G17" s="8">
        <v>2021</v>
      </c>
      <c r="H17" s="80">
        <v>0</v>
      </c>
      <c r="I17" s="17"/>
      <c r="J17" s="8">
        <v>2021</v>
      </c>
      <c r="K17" s="80">
        <v>50</v>
      </c>
      <c r="L17" s="17" t="s">
        <v>464</v>
      </c>
      <c r="M17" s="8">
        <v>2021</v>
      </c>
      <c r="N17" s="92">
        <v>50</v>
      </c>
      <c r="O17" s="83"/>
      <c r="P17" s="8">
        <v>2021</v>
      </c>
      <c r="Q17" s="80">
        <v>67</v>
      </c>
      <c r="R17" s="17"/>
      <c r="S17" s="8">
        <v>2021</v>
      </c>
      <c r="T17" s="80">
        <v>100</v>
      </c>
      <c r="U17" s="99" t="s">
        <v>465</v>
      </c>
      <c r="V17" s="8">
        <v>2021</v>
      </c>
      <c r="W17" s="18">
        <v>0</v>
      </c>
      <c r="X17" s="19"/>
      <c r="Y17" s="8">
        <v>2021</v>
      </c>
      <c r="Z17" s="80">
        <v>0</v>
      </c>
      <c r="AA17" s="17"/>
      <c r="AB17" s="8">
        <v>2021</v>
      </c>
      <c r="AC17" s="97">
        <v>0</v>
      </c>
      <c r="AD17" s="20"/>
    </row>
    <row r="18" spans="1:51" s="1" customFormat="1" ht="14.5" customHeight="1">
      <c r="A18" s="8">
        <v>2022</v>
      </c>
      <c r="B18" s="16">
        <f t="shared" si="3"/>
        <v>29.666666666666668</v>
      </c>
      <c r="C18" s="16"/>
      <c r="D18" s="8">
        <v>2022</v>
      </c>
      <c r="E18" s="18">
        <v>0</v>
      </c>
      <c r="F18" s="19"/>
      <c r="G18" s="8">
        <v>2022</v>
      </c>
      <c r="H18" s="80">
        <v>0</v>
      </c>
      <c r="I18" s="17"/>
      <c r="J18" s="8">
        <v>2022</v>
      </c>
      <c r="K18" s="80">
        <v>50</v>
      </c>
      <c r="L18" s="17"/>
      <c r="M18" s="8">
        <v>2022</v>
      </c>
      <c r="N18" s="92">
        <v>50</v>
      </c>
      <c r="O18" s="83"/>
      <c r="P18" s="8">
        <v>2022</v>
      </c>
      <c r="Q18" s="80">
        <v>67</v>
      </c>
      <c r="R18" s="17"/>
      <c r="S18" s="8">
        <v>2022</v>
      </c>
      <c r="T18" s="80">
        <v>100</v>
      </c>
      <c r="U18" s="17"/>
      <c r="V18" s="8">
        <v>2022</v>
      </c>
      <c r="W18" s="18">
        <v>0</v>
      </c>
      <c r="X18" s="19"/>
      <c r="Y18" s="8">
        <v>2022</v>
      </c>
      <c r="Z18" s="80">
        <v>0</v>
      </c>
      <c r="AA18" s="17"/>
      <c r="AB18" s="8">
        <v>2022</v>
      </c>
      <c r="AC18" s="97">
        <v>0</v>
      </c>
      <c r="AD18" s="20"/>
    </row>
    <row r="19" spans="1:51" s="1" customFormat="1" ht="22.5" customHeight="1">
      <c r="A19" s="8">
        <v>2023</v>
      </c>
      <c r="B19" s="16">
        <f t="shared" si="3"/>
        <v>29.666666666666668</v>
      </c>
      <c r="C19" s="16"/>
      <c r="D19" s="8">
        <v>2023</v>
      </c>
      <c r="E19" s="18">
        <v>0</v>
      </c>
      <c r="F19" s="19"/>
      <c r="G19" s="8">
        <v>2023</v>
      </c>
      <c r="H19" s="80">
        <v>0</v>
      </c>
      <c r="I19" s="17"/>
      <c r="J19" s="8">
        <v>2023</v>
      </c>
      <c r="K19" s="80">
        <v>50</v>
      </c>
      <c r="L19" s="17" t="s">
        <v>466</v>
      </c>
      <c r="M19" s="8">
        <v>2023</v>
      </c>
      <c r="N19" s="92">
        <v>50</v>
      </c>
      <c r="O19" s="83"/>
      <c r="P19" s="8">
        <v>2023</v>
      </c>
      <c r="Q19" s="80">
        <v>67</v>
      </c>
      <c r="R19" s="17"/>
      <c r="S19" s="8">
        <v>2023</v>
      </c>
      <c r="T19" s="80">
        <v>100</v>
      </c>
      <c r="U19" s="17"/>
      <c r="V19" s="8">
        <v>2023</v>
      </c>
      <c r="W19" s="18">
        <v>0</v>
      </c>
      <c r="X19" s="19"/>
      <c r="Y19" s="8">
        <v>2023</v>
      </c>
      <c r="Z19" s="80">
        <v>0</v>
      </c>
      <c r="AA19" s="17"/>
      <c r="AB19" s="8">
        <v>2023</v>
      </c>
      <c r="AC19" s="97">
        <v>0</v>
      </c>
      <c r="AD19" s="20"/>
    </row>
    <row r="20" spans="1:51" s="1" customFormat="1" ht="24.75" customHeight="1">
      <c r="A20" s="8">
        <v>2024</v>
      </c>
      <c r="B20" s="16">
        <f t="shared" si="3"/>
        <v>29.666666666666668</v>
      </c>
      <c r="C20" s="16"/>
      <c r="D20" s="8">
        <v>2024</v>
      </c>
      <c r="E20" s="18">
        <v>0</v>
      </c>
      <c r="F20" s="19"/>
      <c r="G20" s="8">
        <v>2024</v>
      </c>
      <c r="H20" s="80">
        <v>0</v>
      </c>
      <c r="I20" s="17"/>
      <c r="J20" s="8">
        <v>2024</v>
      </c>
      <c r="K20" s="80">
        <v>50</v>
      </c>
      <c r="L20" s="17"/>
      <c r="M20" s="8">
        <v>2024</v>
      </c>
      <c r="N20" s="92">
        <v>50</v>
      </c>
      <c r="O20" s="83"/>
      <c r="P20" s="8">
        <v>2024</v>
      </c>
      <c r="Q20" s="80">
        <v>67</v>
      </c>
      <c r="R20" s="17"/>
      <c r="S20" s="8">
        <v>2024</v>
      </c>
      <c r="T20" s="80">
        <v>100</v>
      </c>
      <c r="U20" s="17"/>
      <c r="V20" s="8">
        <v>2024</v>
      </c>
      <c r="W20" s="18">
        <v>0</v>
      </c>
      <c r="X20" s="19"/>
      <c r="Y20" s="8">
        <v>2024</v>
      </c>
      <c r="Z20" s="80">
        <v>0</v>
      </c>
      <c r="AA20" s="17"/>
      <c r="AB20" s="8">
        <v>2024</v>
      </c>
      <c r="AC20" s="97">
        <v>0</v>
      </c>
      <c r="AD20" s="20"/>
    </row>
    <row r="21" spans="1:51" s="100" customFormat="1" ht="24.75" customHeight="1"/>
    <row r="22" spans="1:51" s="1" customFormat="1" ht="24.75" customHeight="1">
      <c r="A22" s="101" t="s">
        <v>5</v>
      </c>
      <c r="B22" s="341" t="s">
        <v>59</v>
      </c>
      <c r="C22" s="342"/>
      <c r="D22" s="342"/>
      <c r="E22" s="342"/>
      <c r="F22" s="342"/>
      <c r="G22" s="342"/>
      <c r="H22" s="342"/>
      <c r="I22" s="342"/>
      <c r="J22" s="342"/>
      <c r="K22" s="342"/>
      <c r="L22" s="342"/>
      <c r="M22" s="342"/>
      <c r="N22" s="342"/>
      <c r="O22" s="342"/>
      <c r="P22" s="342"/>
      <c r="Q22" s="342"/>
      <c r="R22" s="342"/>
      <c r="S22" s="342"/>
      <c r="T22" s="342"/>
      <c r="U22" s="342"/>
      <c r="V22" s="342"/>
      <c r="W22" s="342"/>
      <c r="X22" s="342"/>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2"/>
      <c r="AW22" s="342"/>
      <c r="AX22" s="342"/>
      <c r="AY22" s="343"/>
    </row>
    <row r="23" spans="1:51" s="1" customFormat="1" ht="24.75" customHeight="1">
      <c r="A23" s="101" t="s">
        <v>7</v>
      </c>
      <c r="B23" s="312" t="s">
        <v>60</v>
      </c>
      <c r="C23" s="312"/>
      <c r="D23" s="101" t="s">
        <v>7</v>
      </c>
      <c r="E23" s="312" t="s">
        <v>61</v>
      </c>
      <c r="F23" s="312"/>
      <c r="G23" s="101" t="s">
        <v>7</v>
      </c>
      <c r="H23" s="312" t="s">
        <v>62</v>
      </c>
      <c r="I23" s="312"/>
      <c r="J23" s="101" t="s">
        <v>7</v>
      </c>
      <c r="K23" s="313" t="s">
        <v>63</v>
      </c>
      <c r="L23" s="313"/>
      <c r="M23" s="102" t="s">
        <v>7</v>
      </c>
      <c r="N23" s="313"/>
      <c r="O23" s="313"/>
      <c r="P23" s="102" t="s">
        <v>7</v>
      </c>
      <c r="Q23" s="313"/>
      <c r="R23" s="313"/>
      <c r="S23" s="102" t="s">
        <v>7</v>
      </c>
      <c r="T23" s="313" t="s">
        <v>64</v>
      </c>
      <c r="U23" s="313"/>
      <c r="V23" s="101" t="s">
        <v>7</v>
      </c>
      <c r="W23" s="312"/>
      <c r="X23" s="312"/>
      <c r="Y23" s="101" t="s">
        <v>7</v>
      </c>
      <c r="Z23" s="315"/>
      <c r="AA23" s="315"/>
      <c r="AB23" s="103" t="s">
        <v>7</v>
      </c>
      <c r="AC23" s="315"/>
      <c r="AD23" s="315"/>
      <c r="AE23" s="103" t="s">
        <v>7</v>
      </c>
      <c r="AF23" s="315" t="s">
        <v>65</v>
      </c>
      <c r="AG23" s="315"/>
      <c r="AH23" s="101" t="s">
        <v>7</v>
      </c>
      <c r="AI23" s="312"/>
      <c r="AJ23" s="312"/>
      <c r="AK23" s="101" t="s">
        <v>7</v>
      </c>
      <c r="AL23" s="312"/>
      <c r="AM23" s="312"/>
      <c r="AN23" s="101" t="s">
        <v>7</v>
      </c>
      <c r="AO23" s="312" t="s">
        <v>66</v>
      </c>
      <c r="AP23" s="312"/>
      <c r="AQ23" s="101" t="s">
        <v>7</v>
      </c>
      <c r="AR23" s="312" t="s">
        <v>67</v>
      </c>
      <c r="AS23" s="312"/>
      <c r="AT23" s="101" t="s">
        <v>7</v>
      </c>
      <c r="AU23" s="312" t="s">
        <v>68</v>
      </c>
      <c r="AV23" s="312"/>
      <c r="AW23" s="101" t="s">
        <v>7</v>
      </c>
      <c r="AX23" s="312" t="s">
        <v>69</v>
      </c>
      <c r="AY23" s="312"/>
    </row>
    <row r="24" spans="1:51" s="1" customFormat="1" ht="24.75" customHeight="1">
      <c r="A24" s="101" t="s">
        <v>13</v>
      </c>
      <c r="B24" s="8"/>
      <c r="C24" s="8"/>
      <c r="D24" s="101" t="s">
        <v>13</v>
      </c>
      <c r="E24" s="8"/>
      <c r="F24" s="8"/>
      <c r="G24" s="101" t="s">
        <v>13</v>
      </c>
      <c r="H24" s="311"/>
      <c r="I24" s="311"/>
      <c r="J24" s="101" t="s">
        <v>13</v>
      </c>
      <c r="K24" s="307"/>
      <c r="L24" s="307"/>
      <c r="M24" s="102" t="s">
        <v>13</v>
      </c>
      <c r="N24" s="307" t="s">
        <v>70</v>
      </c>
      <c r="O24" s="307"/>
      <c r="P24" s="102" t="s">
        <v>13</v>
      </c>
      <c r="Q24" s="307" t="s">
        <v>71</v>
      </c>
      <c r="R24" s="307"/>
      <c r="S24" s="102" t="s">
        <v>13</v>
      </c>
      <c r="T24" s="313"/>
      <c r="U24" s="313"/>
      <c r="V24" s="101" t="s">
        <v>13</v>
      </c>
      <c r="W24" s="311" t="s">
        <v>72</v>
      </c>
      <c r="X24" s="312"/>
      <c r="Y24" s="101" t="s">
        <v>13</v>
      </c>
      <c r="Z24" s="314" t="s">
        <v>73</v>
      </c>
      <c r="AA24" s="314"/>
      <c r="AB24" s="103" t="s">
        <v>13</v>
      </c>
      <c r="AC24" s="314" t="s">
        <v>74</v>
      </c>
      <c r="AD24" s="315"/>
      <c r="AE24" s="103" t="s">
        <v>13</v>
      </c>
      <c r="AF24" s="316"/>
      <c r="AG24" s="317"/>
      <c r="AH24" s="101" t="s">
        <v>13</v>
      </c>
      <c r="AI24" s="311" t="s">
        <v>75</v>
      </c>
      <c r="AJ24" s="311"/>
      <c r="AK24" s="101" t="s">
        <v>13</v>
      </c>
      <c r="AL24" s="311" t="s">
        <v>76</v>
      </c>
      <c r="AM24" s="312"/>
      <c r="AN24" s="101" t="s">
        <v>13</v>
      </c>
      <c r="AO24" s="312"/>
      <c r="AP24" s="312"/>
      <c r="AQ24" s="101" t="s">
        <v>13</v>
      </c>
      <c r="AR24" s="8"/>
      <c r="AS24" s="8"/>
      <c r="AT24" s="101" t="s">
        <v>13</v>
      </c>
      <c r="AU24" s="8"/>
      <c r="AV24" s="8"/>
      <c r="AW24" s="101" t="s">
        <v>13</v>
      </c>
      <c r="AX24" s="8"/>
      <c r="AY24" s="8"/>
    </row>
    <row r="25" spans="1:51" s="1" customFormat="1" ht="24.75" customHeight="1">
      <c r="A25" s="8" t="s">
        <v>19</v>
      </c>
      <c r="B25" s="338" t="s">
        <v>77</v>
      </c>
      <c r="C25" s="338"/>
      <c r="D25" s="8" t="s">
        <v>19</v>
      </c>
      <c r="E25" s="332" t="s">
        <v>78</v>
      </c>
      <c r="F25" s="332"/>
      <c r="G25" s="8" t="s">
        <v>19</v>
      </c>
      <c r="H25" s="338" t="s">
        <v>79</v>
      </c>
      <c r="I25" s="338"/>
      <c r="J25" s="8" t="s">
        <v>19</v>
      </c>
      <c r="K25" s="332" t="s">
        <v>80</v>
      </c>
      <c r="L25" s="332"/>
      <c r="M25" s="25" t="s">
        <v>19</v>
      </c>
      <c r="N25" s="332" t="s">
        <v>81</v>
      </c>
      <c r="O25" s="332"/>
      <c r="P25" s="25" t="s">
        <v>19</v>
      </c>
      <c r="Q25" s="332" t="s">
        <v>82</v>
      </c>
      <c r="R25" s="332"/>
      <c r="S25" s="25" t="s">
        <v>19</v>
      </c>
      <c r="T25" s="332" t="s">
        <v>83</v>
      </c>
      <c r="U25" s="332"/>
      <c r="V25" s="8" t="s">
        <v>19</v>
      </c>
      <c r="W25" s="338" t="s">
        <v>84</v>
      </c>
      <c r="X25" s="338"/>
      <c r="Y25" s="8" t="s">
        <v>19</v>
      </c>
      <c r="Z25" s="338" t="s">
        <v>85</v>
      </c>
      <c r="AA25" s="338"/>
      <c r="AB25" s="8" t="s">
        <v>19</v>
      </c>
      <c r="AC25" s="338" t="s">
        <v>86</v>
      </c>
      <c r="AD25" s="338"/>
      <c r="AE25" s="8" t="s">
        <v>19</v>
      </c>
      <c r="AF25" s="338" t="s">
        <v>87</v>
      </c>
      <c r="AG25" s="338"/>
      <c r="AH25" s="8" t="s">
        <v>19</v>
      </c>
      <c r="AI25" s="338" t="s">
        <v>88</v>
      </c>
      <c r="AJ25" s="338"/>
      <c r="AK25" s="8" t="s">
        <v>19</v>
      </c>
      <c r="AL25" s="338" t="s">
        <v>89</v>
      </c>
      <c r="AM25" s="338"/>
      <c r="AN25" s="8" t="s">
        <v>19</v>
      </c>
      <c r="AO25" s="338" t="s">
        <v>90</v>
      </c>
      <c r="AP25" s="338"/>
      <c r="AQ25" s="8" t="s">
        <v>19</v>
      </c>
      <c r="AR25" s="338" t="s">
        <v>91</v>
      </c>
      <c r="AS25" s="338"/>
      <c r="AT25" s="8" t="s">
        <v>19</v>
      </c>
      <c r="AU25" s="338" t="s">
        <v>92</v>
      </c>
      <c r="AV25" s="338"/>
      <c r="AW25" s="8" t="s">
        <v>19</v>
      </c>
      <c r="AX25" s="338" t="s">
        <v>93</v>
      </c>
      <c r="AY25" s="338"/>
    </row>
    <row r="26" spans="1:51" s="1" customFormat="1" ht="36" customHeight="1">
      <c r="A26" s="8" t="s">
        <v>30</v>
      </c>
      <c r="B26" s="338" t="s">
        <v>31</v>
      </c>
      <c r="C26" s="338"/>
      <c r="D26" s="8" t="s">
        <v>30</v>
      </c>
      <c r="E26" s="330" t="s">
        <v>94</v>
      </c>
      <c r="F26" s="330"/>
      <c r="G26" s="8" t="s">
        <v>30</v>
      </c>
      <c r="H26" s="333" t="s">
        <v>95</v>
      </c>
      <c r="I26" s="333"/>
      <c r="J26" s="8" t="s">
        <v>30</v>
      </c>
      <c r="K26" s="325" t="s">
        <v>427</v>
      </c>
      <c r="L26" s="330"/>
      <c r="M26" s="25" t="s">
        <v>30</v>
      </c>
      <c r="N26" s="330" t="s">
        <v>96</v>
      </c>
      <c r="O26" s="330"/>
      <c r="P26" s="25" t="s">
        <v>30</v>
      </c>
      <c r="Q26" s="330" t="s">
        <v>97</v>
      </c>
      <c r="R26" s="330"/>
      <c r="S26" s="25" t="s">
        <v>30</v>
      </c>
      <c r="T26" s="325" t="s">
        <v>428</v>
      </c>
      <c r="U26" s="330"/>
      <c r="V26" s="8" t="s">
        <v>30</v>
      </c>
      <c r="W26" s="333" t="s">
        <v>98</v>
      </c>
      <c r="X26" s="333"/>
      <c r="Y26" s="8" t="s">
        <v>30</v>
      </c>
      <c r="Z26" s="333" t="s">
        <v>99</v>
      </c>
      <c r="AA26" s="333"/>
      <c r="AB26" s="8" t="s">
        <v>30</v>
      </c>
      <c r="AC26" s="333" t="s">
        <v>100</v>
      </c>
      <c r="AD26" s="333"/>
      <c r="AE26" s="8" t="s">
        <v>30</v>
      </c>
      <c r="AF26" s="333" t="s">
        <v>87</v>
      </c>
      <c r="AG26" s="333"/>
      <c r="AH26" s="8" t="s">
        <v>30</v>
      </c>
      <c r="AI26" s="333" t="s">
        <v>101</v>
      </c>
      <c r="AJ26" s="333"/>
      <c r="AK26" s="8" t="s">
        <v>30</v>
      </c>
      <c r="AL26" s="333" t="s">
        <v>102</v>
      </c>
      <c r="AM26" s="333"/>
      <c r="AN26" s="8" t="s">
        <v>30</v>
      </c>
      <c r="AO26" s="333" t="s">
        <v>90</v>
      </c>
      <c r="AP26" s="333"/>
      <c r="AQ26" s="8" t="s">
        <v>30</v>
      </c>
      <c r="AR26" s="333" t="s">
        <v>103</v>
      </c>
      <c r="AS26" s="333"/>
      <c r="AT26" s="8" t="s">
        <v>30</v>
      </c>
      <c r="AU26" s="333" t="s">
        <v>104</v>
      </c>
      <c r="AV26" s="333"/>
      <c r="AW26" s="8" t="s">
        <v>30</v>
      </c>
      <c r="AX26" s="333" t="s">
        <v>105</v>
      </c>
      <c r="AY26" s="333"/>
    </row>
    <row r="27" spans="1:51" s="1" customFormat="1" ht="25" customHeight="1">
      <c r="A27" s="8" t="s">
        <v>41</v>
      </c>
      <c r="B27" s="333" t="s">
        <v>42</v>
      </c>
      <c r="C27" s="333"/>
      <c r="D27" s="8" t="s">
        <v>41</v>
      </c>
      <c r="E27" s="325" t="s">
        <v>106</v>
      </c>
      <c r="F27" s="330"/>
      <c r="G27" s="8" t="s">
        <v>41</v>
      </c>
      <c r="H27" s="333" t="s">
        <v>107</v>
      </c>
      <c r="I27" s="333"/>
      <c r="J27" s="8" t="s">
        <v>41</v>
      </c>
      <c r="K27" s="350" t="s">
        <v>429</v>
      </c>
      <c r="L27" s="330"/>
      <c r="M27" s="25" t="s">
        <v>41</v>
      </c>
      <c r="N27" s="330" t="s">
        <v>109</v>
      </c>
      <c r="O27" s="330"/>
      <c r="P27" s="25" t="s">
        <v>41</v>
      </c>
      <c r="Q27" s="330" t="s">
        <v>110</v>
      </c>
      <c r="R27" s="330"/>
      <c r="S27" s="25" t="s">
        <v>41</v>
      </c>
      <c r="T27" s="350" t="s">
        <v>429</v>
      </c>
      <c r="U27" s="330"/>
      <c r="V27" s="8" t="s">
        <v>41</v>
      </c>
      <c r="W27" s="333" t="s">
        <v>112</v>
      </c>
      <c r="X27" s="333"/>
      <c r="Y27" s="8" t="s">
        <v>41</v>
      </c>
      <c r="Z27" s="333" t="s">
        <v>113</v>
      </c>
      <c r="AA27" s="333"/>
      <c r="AB27" s="8" t="s">
        <v>41</v>
      </c>
      <c r="AC27" s="333" t="s">
        <v>114</v>
      </c>
      <c r="AD27" s="333"/>
      <c r="AE27" s="8" t="s">
        <v>41</v>
      </c>
      <c r="AF27" s="333" t="s">
        <v>42</v>
      </c>
      <c r="AG27" s="333"/>
      <c r="AH27" s="8" t="s">
        <v>41</v>
      </c>
      <c r="AI27" s="333" t="s">
        <v>115</v>
      </c>
      <c r="AJ27" s="333"/>
      <c r="AK27" s="8" t="s">
        <v>41</v>
      </c>
      <c r="AL27" s="333" t="s">
        <v>116</v>
      </c>
      <c r="AM27" s="333"/>
      <c r="AN27" s="8" t="s">
        <v>41</v>
      </c>
      <c r="AO27" s="333" t="s">
        <v>117</v>
      </c>
      <c r="AP27" s="333"/>
      <c r="AQ27" s="8" t="s">
        <v>41</v>
      </c>
      <c r="AR27" s="333" t="s">
        <v>118</v>
      </c>
      <c r="AS27" s="333"/>
      <c r="AT27" s="8" t="s">
        <v>41</v>
      </c>
      <c r="AU27" s="333" t="s">
        <v>119</v>
      </c>
      <c r="AV27" s="333"/>
      <c r="AW27" s="8" t="s">
        <v>41</v>
      </c>
      <c r="AX27" s="333" t="s">
        <v>120</v>
      </c>
      <c r="AY27" s="333"/>
    </row>
    <row r="28" spans="1:51" s="1" customFormat="1" ht="24.75" customHeight="1">
      <c r="A28" s="8" t="s">
        <v>1</v>
      </c>
      <c r="B28" s="8" t="s">
        <v>52</v>
      </c>
      <c r="C28" s="8" t="s">
        <v>53</v>
      </c>
      <c r="D28" s="8" t="s">
        <v>121</v>
      </c>
      <c r="E28" s="8" t="s">
        <v>54</v>
      </c>
      <c r="F28" s="8" t="s">
        <v>122</v>
      </c>
      <c r="G28" s="8" t="s">
        <v>1</v>
      </c>
      <c r="H28" s="8" t="s">
        <v>52</v>
      </c>
      <c r="I28" s="8" t="s">
        <v>123</v>
      </c>
      <c r="J28" s="8" t="s">
        <v>1</v>
      </c>
      <c r="K28" s="8" t="s">
        <v>52</v>
      </c>
      <c r="L28" s="8" t="s">
        <v>123</v>
      </c>
      <c r="M28" s="8" t="s">
        <v>1</v>
      </c>
      <c r="N28" s="8" t="s">
        <v>52</v>
      </c>
      <c r="O28" s="8" t="s">
        <v>123</v>
      </c>
      <c r="P28" s="8" t="s">
        <v>1</v>
      </c>
      <c r="Q28" s="8" t="s">
        <v>52</v>
      </c>
      <c r="R28" s="8" t="s">
        <v>123</v>
      </c>
      <c r="S28" s="8" t="s">
        <v>121</v>
      </c>
      <c r="T28" s="8" t="s">
        <v>54</v>
      </c>
      <c r="U28" s="8" t="s">
        <v>124</v>
      </c>
      <c r="V28" s="8" t="s">
        <v>121</v>
      </c>
      <c r="W28" s="8" t="s">
        <v>54</v>
      </c>
      <c r="X28" s="8" t="s">
        <v>124</v>
      </c>
      <c r="Y28" s="8" t="s">
        <v>121</v>
      </c>
      <c r="Z28" s="8" t="s">
        <v>54</v>
      </c>
      <c r="AA28" s="8" t="s">
        <v>124</v>
      </c>
      <c r="AB28" s="8" t="s">
        <v>121</v>
      </c>
      <c r="AC28" s="8" t="s">
        <v>54</v>
      </c>
      <c r="AD28" s="8" t="s">
        <v>124</v>
      </c>
      <c r="AE28" s="8" t="s">
        <v>121</v>
      </c>
      <c r="AF28" s="8" t="s">
        <v>54</v>
      </c>
      <c r="AG28" s="8" t="s">
        <v>124</v>
      </c>
      <c r="AH28" s="8" t="s">
        <v>121</v>
      </c>
      <c r="AI28" s="8" t="s">
        <v>54</v>
      </c>
      <c r="AJ28" s="8" t="s">
        <v>124</v>
      </c>
      <c r="AK28" s="8" t="s">
        <v>1</v>
      </c>
      <c r="AL28" s="8" t="s">
        <v>54</v>
      </c>
      <c r="AM28" s="8" t="s">
        <v>123</v>
      </c>
      <c r="AN28" s="8" t="s">
        <v>1</v>
      </c>
      <c r="AO28" s="8" t="s">
        <v>52</v>
      </c>
      <c r="AP28" s="8" t="s">
        <v>123</v>
      </c>
      <c r="AQ28" s="8" t="s">
        <v>1</v>
      </c>
      <c r="AR28" s="8" t="s">
        <v>52</v>
      </c>
      <c r="AS28" s="8" t="s">
        <v>123</v>
      </c>
      <c r="AT28" s="8" t="s">
        <v>1</v>
      </c>
      <c r="AU28" s="8" t="s">
        <v>52</v>
      </c>
      <c r="AV28" s="8" t="s">
        <v>123</v>
      </c>
      <c r="AW28" s="8" t="s">
        <v>1</v>
      </c>
      <c r="AX28" s="8" t="s">
        <v>52</v>
      </c>
      <c r="AY28" s="8" t="s">
        <v>123</v>
      </c>
    </row>
    <row r="29" spans="1:51" s="1" customFormat="1" ht="29.5" customHeight="1">
      <c r="A29" s="8">
        <v>2020</v>
      </c>
      <c r="B29" s="16">
        <f>AVERAGE(E29,H29,N29,T29,AF29,AO29,AU29,AX29,AR29)</f>
        <v>35.166666666666664</v>
      </c>
      <c r="C29" s="16"/>
      <c r="D29" s="8">
        <v>2020</v>
      </c>
      <c r="E29" s="45">
        <v>0</v>
      </c>
      <c r="F29" s="105" t="s">
        <v>467</v>
      </c>
      <c r="G29" s="8">
        <v>2020</v>
      </c>
      <c r="H29" s="80">
        <v>0</v>
      </c>
      <c r="I29" s="17" t="s">
        <v>468</v>
      </c>
      <c r="J29" s="8">
        <v>2020</v>
      </c>
      <c r="K29" s="104">
        <v>100</v>
      </c>
      <c r="L29" s="104"/>
      <c r="M29" s="8">
        <v>2020</v>
      </c>
      <c r="N29" s="94">
        <v>100</v>
      </c>
      <c r="O29" s="106" t="s">
        <v>469</v>
      </c>
      <c r="P29" s="8">
        <v>2020</v>
      </c>
      <c r="Q29" s="80">
        <v>100</v>
      </c>
      <c r="R29" s="107" t="s">
        <v>470</v>
      </c>
      <c r="S29" s="8">
        <v>2020</v>
      </c>
      <c r="T29" s="80">
        <v>100</v>
      </c>
      <c r="U29" s="17"/>
      <c r="V29" s="8">
        <v>2020</v>
      </c>
      <c r="W29" s="94">
        <v>100</v>
      </c>
      <c r="X29" s="106" t="s">
        <v>471</v>
      </c>
      <c r="Y29" s="8">
        <v>2020</v>
      </c>
      <c r="Z29" s="108">
        <v>100</v>
      </c>
      <c r="AA29" s="106" t="s">
        <v>472</v>
      </c>
      <c r="AB29" s="8">
        <v>2020</v>
      </c>
      <c r="AC29" s="80">
        <v>100</v>
      </c>
      <c r="AD29" s="106" t="s">
        <v>473</v>
      </c>
      <c r="AE29" s="8">
        <v>2020</v>
      </c>
      <c r="AF29" s="109">
        <f t="shared" ref="AF29:AF33" si="4">0.67*AI29+0.33*AL29</f>
        <v>16.5</v>
      </c>
      <c r="AG29" s="17"/>
      <c r="AH29" s="8">
        <v>2020</v>
      </c>
      <c r="AI29" s="80">
        <v>0</v>
      </c>
      <c r="AJ29" s="107" t="s">
        <v>474</v>
      </c>
      <c r="AK29" s="8">
        <v>2020</v>
      </c>
      <c r="AL29" s="110">
        <v>50</v>
      </c>
      <c r="AM29" s="95" t="s">
        <v>475</v>
      </c>
      <c r="AN29" s="8">
        <v>2020</v>
      </c>
      <c r="AO29" s="95">
        <v>50</v>
      </c>
      <c r="AP29" s="111" t="s">
        <v>476</v>
      </c>
      <c r="AQ29" s="8">
        <v>2020</v>
      </c>
      <c r="AR29" s="110">
        <v>0</v>
      </c>
      <c r="AS29" s="95" t="s">
        <v>477</v>
      </c>
      <c r="AT29" s="8">
        <v>2020</v>
      </c>
      <c r="AU29" s="110">
        <v>50</v>
      </c>
      <c r="AV29" s="95" t="s">
        <v>478</v>
      </c>
      <c r="AW29" s="8">
        <v>2020</v>
      </c>
      <c r="AX29" s="112">
        <v>0</v>
      </c>
      <c r="AY29" s="106" t="s">
        <v>479</v>
      </c>
    </row>
    <row r="30" spans="1:51" s="1" customFormat="1" ht="21" customHeight="1">
      <c r="A30" s="8">
        <v>2021</v>
      </c>
      <c r="B30" s="16">
        <f>AVERAGE(E30,H30,N30,T30,AF30,AO30,AU30,AX30,AR30)</f>
        <v>35.166666666666664</v>
      </c>
      <c r="C30" s="16"/>
      <c r="D30" s="8">
        <v>2021</v>
      </c>
      <c r="E30" s="45">
        <v>0</v>
      </c>
      <c r="F30" s="19"/>
      <c r="G30" s="8">
        <v>2021</v>
      </c>
      <c r="H30" s="80">
        <v>0</v>
      </c>
      <c r="I30" s="20" t="s">
        <v>480</v>
      </c>
      <c r="J30" s="8">
        <v>2021</v>
      </c>
      <c r="K30" s="104">
        <v>100</v>
      </c>
      <c r="L30" s="104"/>
      <c r="M30" s="8">
        <v>2021</v>
      </c>
      <c r="N30" s="94">
        <v>100</v>
      </c>
      <c r="O30" s="17"/>
      <c r="P30" s="8">
        <v>2021</v>
      </c>
      <c r="Q30" s="80">
        <v>100</v>
      </c>
      <c r="R30" s="17"/>
      <c r="S30" s="8">
        <v>2021</v>
      </c>
      <c r="T30" s="80">
        <v>100</v>
      </c>
      <c r="U30" s="17"/>
      <c r="V30" s="8">
        <v>2021</v>
      </c>
      <c r="W30" s="94">
        <v>100</v>
      </c>
      <c r="X30" s="17"/>
      <c r="Y30" s="8">
        <v>2021</v>
      </c>
      <c r="Z30" s="108">
        <v>100</v>
      </c>
      <c r="AA30" s="106"/>
      <c r="AB30" s="8">
        <v>2021</v>
      </c>
      <c r="AC30" s="80">
        <v>100</v>
      </c>
      <c r="AD30" s="17"/>
      <c r="AE30" s="8">
        <v>2021</v>
      </c>
      <c r="AF30" s="109">
        <f t="shared" si="4"/>
        <v>16.5</v>
      </c>
      <c r="AG30" s="17"/>
      <c r="AH30" s="8">
        <v>2021</v>
      </c>
      <c r="AI30" s="80">
        <v>0</v>
      </c>
      <c r="AJ30" s="17"/>
      <c r="AK30" s="8">
        <v>2021</v>
      </c>
      <c r="AL30" s="80">
        <v>50</v>
      </c>
      <c r="AM30" s="17"/>
      <c r="AN30" s="8">
        <v>2021</v>
      </c>
      <c r="AO30" s="80">
        <v>50</v>
      </c>
      <c r="AP30" s="17"/>
      <c r="AQ30" s="8">
        <v>2021</v>
      </c>
      <c r="AR30" s="80">
        <v>0</v>
      </c>
      <c r="AS30" s="17"/>
      <c r="AT30" s="8">
        <v>2021</v>
      </c>
      <c r="AU30" s="80">
        <v>50</v>
      </c>
      <c r="AV30" s="17"/>
      <c r="AW30" s="8">
        <v>2021</v>
      </c>
      <c r="AX30" s="80">
        <v>0</v>
      </c>
      <c r="AY30" s="17"/>
    </row>
    <row r="31" spans="1:51" s="1" customFormat="1" ht="24.75" customHeight="1">
      <c r="A31" s="8">
        <v>2022</v>
      </c>
      <c r="B31" s="16">
        <f>AVERAGE(E31,H31,N31,T31,AF31,AO31,AU31,AX31,AR31)</f>
        <v>35.166666666666664</v>
      </c>
      <c r="C31" s="16"/>
      <c r="D31" s="8">
        <v>2022</v>
      </c>
      <c r="E31" s="45">
        <v>0</v>
      </c>
      <c r="F31" s="19"/>
      <c r="G31" s="8">
        <v>2022</v>
      </c>
      <c r="H31" s="80">
        <v>0</v>
      </c>
      <c r="I31" s="17"/>
      <c r="J31" s="8">
        <v>2022</v>
      </c>
      <c r="K31" s="104">
        <v>100</v>
      </c>
      <c r="L31" s="104"/>
      <c r="M31" s="8">
        <v>2022</v>
      </c>
      <c r="N31" s="94">
        <v>100</v>
      </c>
      <c r="O31" s="17"/>
      <c r="P31" s="8">
        <v>2022</v>
      </c>
      <c r="Q31" s="80">
        <v>100</v>
      </c>
      <c r="R31" s="17"/>
      <c r="S31" s="8">
        <v>2022</v>
      </c>
      <c r="T31" s="80">
        <v>100</v>
      </c>
      <c r="U31" s="17"/>
      <c r="V31" s="8">
        <v>2022</v>
      </c>
      <c r="W31" s="94">
        <v>100</v>
      </c>
      <c r="X31" s="17"/>
      <c r="Y31" s="8">
        <v>2022</v>
      </c>
      <c r="Z31" s="108">
        <v>100</v>
      </c>
      <c r="AA31" s="106"/>
      <c r="AB31" s="8">
        <v>2022</v>
      </c>
      <c r="AC31" s="80">
        <v>100</v>
      </c>
      <c r="AD31" s="17"/>
      <c r="AE31" s="8">
        <v>2022</v>
      </c>
      <c r="AF31" s="109">
        <f t="shared" si="4"/>
        <v>16.5</v>
      </c>
      <c r="AG31" s="17"/>
      <c r="AH31" s="8">
        <v>2022</v>
      </c>
      <c r="AI31" s="80">
        <v>0</v>
      </c>
      <c r="AJ31" s="17"/>
      <c r="AK31" s="8">
        <v>2022</v>
      </c>
      <c r="AL31" s="80">
        <v>50</v>
      </c>
      <c r="AM31" s="17"/>
      <c r="AN31" s="8">
        <v>2022</v>
      </c>
      <c r="AO31" s="80">
        <v>50</v>
      </c>
      <c r="AP31" s="17"/>
      <c r="AQ31" s="8">
        <v>2022</v>
      </c>
      <c r="AR31" s="80">
        <v>0</v>
      </c>
      <c r="AS31" s="17"/>
      <c r="AT31" s="8">
        <v>2022</v>
      </c>
      <c r="AU31" s="80">
        <v>50</v>
      </c>
      <c r="AV31" s="17"/>
      <c r="AW31" s="8">
        <v>2022</v>
      </c>
      <c r="AX31" s="80">
        <v>0</v>
      </c>
      <c r="AY31" s="17"/>
    </row>
    <row r="32" spans="1:51" s="1" customFormat="1" ht="24.75" customHeight="1">
      <c r="A32" s="8">
        <v>2023</v>
      </c>
      <c r="B32" s="16">
        <f>AVERAGE(E32,H32,N32,T32,AF32,AO32,AU32,AX32,AR32)</f>
        <v>35.166666666666664</v>
      </c>
      <c r="C32" s="16"/>
      <c r="D32" s="8">
        <v>2023</v>
      </c>
      <c r="E32" s="45">
        <v>0</v>
      </c>
      <c r="F32" s="19"/>
      <c r="G32" s="8">
        <v>2023</v>
      </c>
      <c r="H32" s="80">
        <v>0</v>
      </c>
      <c r="I32" s="17"/>
      <c r="J32" s="8">
        <v>2023</v>
      </c>
      <c r="K32" s="104">
        <v>100</v>
      </c>
      <c r="L32" s="104"/>
      <c r="M32" s="8">
        <v>2023</v>
      </c>
      <c r="N32" s="94">
        <v>100</v>
      </c>
      <c r="O32" s="17"/>
      <c r="P32" s="8">
        <v>2023</v>
      </c>
      <c r="Q32" s="80">
        <v>100</v>
      </c>
      <c r="R32" s="17"/>
      <c r="S32" s="8">
        <v>2023</v>
      </c>
      <c r="T32" s="80">
        <v>100</v>
      </c>
      <c r="U32" s="17"/>
      <c r="V32" s="8">
        <v>2023</v>
      </c>
      <c r="W32" s="94">
        <v>100</v>
      </c>
      <c r="X32" s="17"/>
      <c r="Y32" s="8">
        <v>2023</v>
      </c>
      <c r="Z32" s="108">
        <v>100</v>
      </c>
      <c r="AA32" s="106"/>
      <c r="AB32" s="8">
        <v>2023</v>
      </c>
      <c r="AC32" s="80">
        <v>100</v>
      </c>
      <c r="AD32" s="17"/>
      <c r="AE32" s="8">
        <v>2023</v>
      </c>
      <c r="AF32" s="109">
        <f t="shared" si="4"/>
        <v>16.5</v>
      </c>
      <c r="AG32" s="17"/>
      <c r="AH32" s="8">
        <v>2023</v>
      </c>
      <c r="AI32" s="80">
        <v>0</v>
      </c>
      <c r="AJ32" s="17"/>
      <c r="AK32" s="8">
        <v>2023</v>
      </c>
      <c r="AL32" s="80">
        <v>50</v>
      </c>
      <c r="AM32" s="17"/>
      <c r="AN32" s="8">
        <v>2023</v>
      </c>
      <c r="AO32" s="80">
        <v>50</v>
      </c>
      <c r="AP32" s="17"/>
      <c r="AQ32" s="8">
        <v>2023</v>
      </c>
      <c r="AR32" s="80">
        <v>0</v>
      </c>
      <c r="AS32" s="17"/>
      <c r="AT32" s="8">
        <v>2023</v>
      </c>
      <c r="AU32" s="80">
        <v>50</v>
      </c>
      <c r="AV32" s="17"/>
      <c r="AW32" s="8">
        <v>2023</v>
      </c>
      <c r="AX32" s="80">
        <v>0</v>
      </c>
      <c r="AY32" s="17"/>
    </row>
    <row r="33" spans="1:51" s="1" customFormat="1" ht="24.75" customHeight="1">
      <c r="A33" s="8">
        <v>2024</v>
      </c>
      <c r="B33" s="16">
        <f>AVERAGE(E33,H33,N33,T33,AF33,AO33,AU33,AX33,AR33)</f>
        <v>35.166666666666664</v>
      </c>
      <c r="C33" s="16"/>
      <c r="D33" s="8">
        <v>2024</v>
      </c>
      <c r="E33" s="45">
        <v>0</v>
      </c>
      <c r="F33" s="19"/>
      <c r="G33" s="8">
        <v>2024</v>
      </c>
      <c r="H33" s="80">
        <v>0</v>
      </c>
      <c r="I33" s="17"/>
      <c r="J33" s="8">
        <v>2024</v>
      </c>
      <c r="K33" s="104">
        <v>100</v>
      </c>
      <c r="L33" s="104"/>
      <c r="M33" s="8">
        <v>2024</v>
      </c>
      <c r="N33" s="94">
        <v>100</v>
      </c>
      <c r="O33" s="17" t="s">
        <v>481</v>
      </c>
      <c r="P33" s="8">
        <v>2024</v>
      </c>
      <c r="Q33" s="80">
        <v>100</v>
      </c>
      <c r="R33" s="17"/>
      <c r="S33" s="8">
        <v>2024</v>
      </c>
      <c r="T33" s="80">
        <v>100</v>
      </c>
      <c r="U33" s="17"/>
      <c r="V33" s="8">
        <v>2024</v>
      </c>
      <c r="W33" s="94">
        <v>100</v>
      </c>
      <c r="X33" s="17"/>
      <c r="Y33" s="8">
        <v>2024</v>
      </c>
      <c r="Z33" s="108">
        <v>100</v>
      </c>
      <c r="AA33" s="106"/>
      <c r="AB33" s="8">
        <v>2024</v>
      </c>
      <c r="AC33" s="80">
        <v>100</v>
      </c>
      <c r="AD33" s="17"/>
      <c r="AE33" s="8">
        <v>2024</v>
      </c>
      <c r="AF33" s="109">
        <f t="shared" si="4"/>
        <v>16.5</v>
      </c>
      <c r="AG33" s="17"/>
      <c r="AH33" s="8">
        <v>2024</v>
      </c>
      <c r="AI33" s="80">
        <v>0</v>
      </c>
      <c r="AJ33" s="17"/>
      <c r="AK33" s="8">
        <v>2024</v>
      </c>
      <c r="AL33" s="18">
        <v>50</v>
      </c>
      <c r="AM33" s="19"/>
      <c r="AN33" s="8">
        <v>2024</v>
      </c>
      <c r="AO33" s="80">
        <v>50</v>
      </c>
      <c r="AP33" s="17"/>
      <c r="AQ33" s="8">
        <v>2024</v>
      </c>
      <c r="AR33" s="80">
        <v>0</v>
      </c>
      <c r="AS33" s="17"/>
      <c r="AT33" s="8">
        <v>2024</v>
      </c>
      <c r="AU33" s="80">
        <v>50</v>
      </c>
      <c r="AV33" s="17"/>
      <c r="AW33" s="8">
        <v>2024</v>
      </c>
      <c r="AX33" s="80">
        <v>0</v>
      </c>
      <c r="AY33" s="17"/>
    </row>
    <row r="34" spans="1:51" s="1" customFormat="1" ht="24.75" customHeight="1">
      <c r="AD34" s="32"/>
    </row>
    <row r="35" spans="1:51" s="1" customFormat="1" ht="24.75" customHeight="1">
      <c r="A35" s="101" t="s">
        <v>5</v>
      </c>
      <c r="B35" s="341" t="s">
        <v>127</v>
      </c>
      <c r="C35" s="342"/>
      <c r="D35" s="342"/>
      <c r="E35" s="342"/>
      <c r="F35" s="342"/>
      <c r="G35" s="342"/>
      <c r="H35" s="342"/>
      <c r="I35" s="342"/>
      <c r="J35" s="342"/>
      <c r="K35" s="342"/>
      <c r="L35" s="342"/>
      <c r="M35" s="342"/>
      <c r="N35" s="342"/>
      <c r="O35" s="342"/>
      <c r="P35" s="342"/>
      <c r="Q35" s="342"/>
      <c r="R35" s="342"/>
      <c r="S35" s="342"/>
      <c r="T35" s="342"/>
      <c r="U35" s="342"/>
      <c r="V35" s="342"/>
      <c r="W35" s="342"/>
      <c r="X35" s="342"/>
      <c r="Y35" s="342"/>
      <c r="Z35" s="342"/>
      <c r="AA35" s="342"/>
      <c r="AB35" s="342"/>
      <c r="AC35" s="342"/>
      <c r="AD35" s="342"/>
      <c r="AE35" s="342"/>
      <c r="AF35" s="342"/>
      <c r="AG35" s="342"/>
      <c r="AH35" s="342"/>
      <c r="AI35" s="342"/>
      <c r="AJ35" s="342"/>
      <c r="AK35" s="342"/>
      <c r="AL35" s="342"/>
      <c r="AM35" s="343"/>
    </row>
    <row r="36" spans="1:51" s="1" customFormat="1" ht="24.75" customHeight="1">
      <c r="A36" s="101" t="s">
        <v>7</v>
      </c>
      <c r="B36" s="312" t="s">
        <v>128</v>
      </c>
      <c r="C36" s="312"/>
      <c r="D36" s="101" t="s">
        <v>7</v>
      </c>
      <c r="E36" s="312" t="s">
        <v>129</v>
      </c>
      <c r="F36" s="312"/>
      <c r="G36" s="101" t="s">
        <v>7</v>
      </c>
      <c r="H36" s="312" t="s">
        <v>130</v>
      </c>
      <c r="I36" s="312"/>
      <c r="J36" s="101" t="s">
        <v>7</v>
      </c>
      <c r="K36" s="312" t="s">
        <v>131</v>
      </c>
      <c r="L36" s="312"/>
      <c r="M36" s="101" t="s">
        <v>7</v>
      </c>
      <c r="N36" s="312" t="s">
        <v>132</v>
      </c>
      <c r="O36" s="312"/>
      <c r="P36" s="101" t="s">
        <v>7</v>
      </c>
      <c r="Q36" s="312"/>
      <c r="R36" s="312"/>
      <c r="S36" s="101" t="s">
        <v>7</v>
      </c>
      <c r="T36" s="312"/>
      <c r="U36" s="312"/>
      <c r="V36" s="101" t="s">
        <v>7</v>
      </c>
      <c r="W36" s="312"/>
      <c r="X36" s="312"/>
      <c r="Y36" s="101" t="s">
        <v>7</v>
      </c>
      <c r="Z36" s="315" t="s">
        <v>133</v>
      </c>
      <c r="AA36" s="315"/>
      <c r="AB36" s="103" t="s">
        <v>7</v>
      </c>
      <c r="AC36" s="315" t="s">
        <v>134</v>
      </c>
      <c r="AD36" s="315"/>
      <c r="AE36" s="101" t="s">
        <v>7</v>
      </c>
      <c r="AF36" s="312" t="s">
        <v>135</v>
      </c>
      <c r="AG36" s="312"/>
      <c r="AH36" s="101" t="s">
        <v>7</v>
      </c>
      <c r="AI36" s="312"/>
      <c r="AJ36" s="312"/>
      <c r="AK36" s="101" t="s">
        <v>7</v>
      </c>
      <c r="AL36" s="312"/>
      <c r="AM36" s="312"/>
    </row>
    <row r="37" spans="1:51" s="1" customFormat="1" ht="24.75" customHeight="1">
      <c r="A37" s="101" t="s">
        <v>13</v>
      </c>
      <c r="B37" s="8"/>
      <c r="C37" s="8"/>
      <c r="D37" s="101" t="s">
        <v>13</v>
      </c>
      <c r="E37" s="8"/>
      <c r="F37" s="8"/>
      <c r="G37" s="101" t="s">
        <v>13</v>
      </c>
      <c r="H37" s="311"/>
      <c r="I37" s="311"/>
      <c r="J37" s="101" t="s">
        <v>13</v>
      </c>
      <c r="K37" s="311"/>
      <c r="L37" s="311"/>
      <c r="M37" s="101" t="s">
        <v>13</v>
      </c>
      <c r="N37" s="311"/>
      <c r="O37" s="311"/>
      <c r="P37" s="101" t="s">
        <v>13</v>
      </c>
      <c r="Q37" s="311" t="s">
        <v>136</v>
      </c>
      <c r="R37" s="311"/>
      <c r="S37" s="101" t="s">
        <v>13</v>
      </c>
      <c r="T37" s="311" t="s">
        <v>137</v>
      </c>
      <c r="U37" s="312"/>
      <c r="V37" s="101" t="s">
        <v>13</v>
      </c>
      <c r="W37" s="311" t="s">
        <v>138</v>
      </c>
      <c r="X37" s="312"/>
      <c r="Y37" s="101" t="s">
        <v>13</v>
      </c>
      <c r="Z37" s="29"/>
      <c r="AA37" s="29"/>
      <c r="AB37" s="103" t="s">
        <v>13</v>
      </c>
      <c r="AC37" s="316"/>
      <c r="AD37" s="317"/>
      <c r="AE37" s="101" t="s">
        <v>13</v>
      </c>
      <c r="AF37" s="8"/>
      <c r="AG37" s="8"/>
      <c r="AH37" s="101" t="s">
        <v>13</v>
      </c>
      <c r="AI37" s="311" t="s">
        <v>139</v>
      </c>
      <c r="AJ37" s="312"/>
      <c r="AK37" s="101" t="s">
        <v>13</v>
      </c>
      <c r="AL37" s="311" t="s">
        <v>140</v>
      </c>
      <c r="AM37" s="311"/>
    </row>
    <row r="38" spans="1:51" s="1" customFormat="1" ht="24.75" customHeight="1">
      <c r="A38" s="8" t="s">
        <v>19</v>
      </c>
      <c r="B38" s="338" t="s">
        <v>141</v>
      </c>
      <c r="C38" s="338"/>
      <c r="D38" s="8" t="s">
        <v>19</v>
      </c>
      <c r="E38" s="338" t="s">
        <v>142</v>
      </c>
      <c r="F38" s="338"/>
      <c r="G38" s="8" t="s">
        <v>19</v>
      </c>
      <c r="H38" s="338" t="s">
        <v>143</v>
      </c>
      <c r="I38" s="338"/>
      <c r="J38" s="8" t="s">
        <v>19</v>
      </c>
      <c r="K38" s="338" t="s">
        <v>144</v>
      </c>
      <c r="L38" s="338"/>
      <c r="M38" s="8" t="s">
        <v>19</v>
      </c>
      <c r="N38" s="338" t="s">
        <v>145</v>
      </c>
      <c r="O38" s="338"/>
      <c r="P38" s="8" t="s">
        <v>19</v>
      </c>
      <c r="Q38" s="338" t="s">
        <v>145</v>
      </c>
      <c r="R38" s="338"/>
      <c r="S38" s="8" t="s">
        <v>19</v>
      </c>
      <c r="T38" s="338" t="s">
        <v>146</v>
      </c>
      <c r="U38" s="338"/>
      <c r="V38" s="8" t="s">
        <v>19</v>
      </c>
      <c r="W38" s="338" t="s">
        <v>147</v>
      </c>
      <c r="X38" s="338"/>
      <c r="Y38" s="8" t="s">
        <v>19</v>
      </c>
      <c r="Z38" s="349" t="s">
        <v>148</v>
      </c>
      <c r="AA38" s="349"/>
      <c r="AB38" s="8" t="s">
        <v>19</v>
      </c>
      <c r="AC38" s="338" t="s">
        <v>149</v>
      </c>
      <c r="AD38" s="338"/>
      <c r="AE38" s="8" t="s">
        <v>19</v>
      </c>
      <c r="AF38" s="338" t="s">
        <v>150</v>
      </c>
      <c r="AG38" s="338"/>
      <c r="AH38" s="8" t="s">
        <v>19</v>
      </c>
      <c r="AI38" s="338" t="s">
        <v>151</v>
      </c>
      <c r="AJ38" s="338"/>
      <c r="AK38" s="8" t="s">
        <v>19</v>
      </c>
      <c r="AL38" s="338" t="s">
        <v>152</v>
      </c>
      <c r="AM38" s="338"/>
    </row>
    <row r="39" spans="1:51" s="1" customFormat="1" ht="25.5" customHeight="1">
      <c r="A39" s="8" t="s">
        <v>30</v>
      </c>
      <c r="B39" s="338" t="s">
        <v>31</v>
      </c>
      <c r="C39" s="338"/>
      <c r="D39" s="8" t="s">
        <v>30</v>
      </c>
      <c r="E39" s="310" t="s">
        <v>153</v>
      </c>
      <c r="F39" s="333"/>
      <c r="G39" s="8" t="s">
        <v>30</v>
      </c>
      <c r="H39" s="333" t="s">
        <v>154</v>
      </c>
      <c r="I39" s="333"/>
      <c r="J39" s="8" t="s">
        <v>30</v>
      </c>
      <c r="K39" s="333" t="s">
        <v>155</v>
      </c>
      <c r="L39" s="333"/>
      <c r="M39" s="8" t="s">
        <v>30</v>
      </c>
      <c r="N39" s="333" t="s">
        <v>156</v>
      </c>
      <c r="O39" s="333"/>
      <c r="P39" s="8" t="s">
        <v>30</v>
      </c>
      <c r="Q39" s="333" t="s">
        <v>157</v>
      </c>
      <c r="R39" s="333"/>
      <c r="S39" s="8" t="s">
        <v>30</v>
      </c>
      <c r="T39" s="333" t="s">
        <v>158</v>
      </c>
      <c r="U39" s="333"/>
      <c r="V39" s="8" t="s">
        <v>30</v>
      </c>
      <c r="W39" s="310" t="s">
        <v>159</v>
      </c>
      <c r="X39" s="333"/>
      <c r="Y39" s="8" t="s">
        <v>30</v>
      </c>
      <c r="Z39" s="333" t="s">
        <v>160</v>
      </c>
      <c r="AA39" s="333"/>
      <c r="AB39" s="8" t="s">
        <v>30</v>
      </c>
      <c r="AC39" s="333" t="s">
        <v>161</v>
      </c>
      <c r="AD39" s="333"/>
      <c r="AE39" s="8" t="s">
        <v>30</v>
      </c>
      <c r="AF39" s="310" t="s">
        <v>432</v>
      </c>
      <c r="AG39" s="333"/>
      <c r="AH39" s="8" t="s">
        <v>30</v>
      </c>
      <c r="AI39" s="333" t="s">
        <v>162</v>
      </c>
      <c r="AJ39" s="333"/>
      <c r="AK39" s="8" t="s">
        <v>30</v>
      </c>
      <c r="AL39" s="333" t="s">
        <v>163</v>
      </c>
      <c r="AM39" s="333"/>
    </row>
    <row r="40" spans="1:51" s="1" customFormat="1" ht="21.5" customHeight="1">
      <c r="A40" s="8" t="s">
        <v>41</v>
      </c>
      <c r="B40" s="333" t="s">
        <v>42</v>
      </c>
      <c r="C40" s="333"/>
      <c r="D40" s="8" t="s">
        <v>41</v>
      </c>
      <c r="E40" s="310" t="s">
        <v>164</v>
      </c>
      <c r="F40" s="333"/>
      <c r="G40" s="8" t="s">
        <v>41</v>
      </c>
      <c r="H40" s="333" t="s">
        <v>165</v>
      </c>
      <c r="I40" s="333"/>
      <c r="J40" s="8" t="s">
        <v>41</v>
      </c>
      <c r="K40" s="338" t="s">
        <v>166</v>
      </c>
      <c r="L40" s="333"/>
      <c r="M40" s="8" t="s">
        <v>41</v>
      </c>
      <c r="N40" s="333" t="s">
        <v>42</v>
      </c>
      <c r="O40" s="333"/>
      <c r="P40" s="8" t="s">
        <v>41</v>
      </c>
      <c r="Q40" s="333" t="s">
        <v>167</v>
      </c>
      <c r="R40" s="333"/>
      <c r="S40" s="8" t="s">
        <v>41</v>
      </c>
      <c r="T40" s="333" t="s">
        <v>168</v>
      </c>
      <c r="U40" s="333"/>
      <c r="V40" s="8" t="s">
        <v>41</v>
      </c>
      <c r="W40" s="333" t="s">
        <v>169</v>
      </c>
      <c r="X40" s="333"/>
      <c r="Y40" s="8" t="s">
        <v>41</v>
      </c>
      <c r="Z40" s="333" t="s">
        <v>170</v>
      </c>
      <c r="AA40" s="333"/>
      <c r="AB40" s="8" t="s">
        <v>41</v>
      </c>
      <c r="AC40" s="333" t="s">
        <v>171</v>
      </c>
      <c r="AD40" s="333"/>
      <c r="AE40" s="8" t="s">
        <v>41</v>
      </c>
      <c r="AF40" s="349" t="s">
        <v>433</v>
      </c>
      <c r="AG40" s="333"/>
      <c r="AH40" s="8" t="s">
        <v>41</v>
      </c>
      <c r="AI40" s="333" t="s">
        <v>173</v>
      </c>
      <c r="AJ40" s="333"/>
      <c r="AK40" s="8" t="s">
        <v>41</v>
      </c>
      <c r="AL40" s="310" t="s">
        <v>174</v>
      </c>
      <c r="AM40" s="333"/>
    </row>
    <row r="41" spans="1:51" s="1" customFormat="1" ht="24.75" customHeight="1">
      <c r="A41" s="8" t="s">
        <v>1</v>
      </c>
      <c r="B41" s="8" t="s">
        <v>52</v>
      </c>
      <c r="C41" s="8" t="s">
        <v>53</v>
      </c>
      <c r="D41" s="8" t="s">
        <v>121</v>
      </c>
      <c r="E41" s="8" t="s">
        <v>54</v>
      </c>
      <c r="F41" s="8" t="s">
        <v>122</v>
      </c>
      <c r="G41" s="8" t="s">
        <v>121</v>
      </c>
      <c r="H41" s="8" t="s">
        <v>54</v>
      </c>
      <c r="I41" s="8" t="s">
        <v>122</v>
      </c>
      <c r="J41" s="8" t="s">
        <v>121</v>
      </c>
      <c r="K41" s="8" t="s">
        <v>54</v>
      </c>
      <c r="L41" s="8" t="s">
        <v>122</v>
      </c>
      <c r="M41" s="8" t="s">
        <v>121</v>
      </c>
      <c r="N41" s="8" t="s">
        <v>54</v>
      </c>
      <c r="O41" s="8" t="s">
        <v>122</v>
      </c>
      <c r="P41" s="8" t="s">
        <v>121</v>
      </c>
      <c r="Q41" s="8" t="s">
        <v>54</v>
      </c>
      <c r="R41" s="8" t="s">
        <v>122</v>
      </c>
      <c r="S41" s="8" t="s">
        <v>121</v>
      </c>
      <c r="T41" s="8" t="s">
        <v>54</v>
      </c>
      <c r="U41" s="8" t="s">
        <v>122</v>
      </c>
      <c r="V41" s="8" t="s">
        <v>121</v>
      </c>
      <c r="W41" s="8" t="s">
        <v>54</v>
      </c>
      <c r="X41" s="8" t="s">
        <v>122</v>
      </c>
      <c r="Y41" s="8" t="s">
        <v>121</v>
      </c>
      <c r="Z41" s="8" t="s">
        <v>54</v>
      </c>
      <c r="AA41" s="8" t="s">
        <v>122</v>
      </c>
      <c r="AB41" s="8" t="s">
        <v>121</v>
      </c>
      <c r="AC41" s="8" t="s">
        <v>54</v>
      </c>
      <c r="AD41" s="8" t="s">
        <v>122</v>
      </c>
      <c r="AE41" s="8" t="s">
        <v>121</v>
      </c>
      <c r="AF41" s="8" t="s">
        <v>54</v>
      </c>
      <c r="AG41" s="8" t="s">
        <v>122</v>
      </c>
      <c r="AH41" s="8" t="s">
        <v>121</v>
      </c>
      <c r="AI41" s="8" t="s">
        <v>54</v>
      </c>
      <c r="AJ41" s="8" t="s">
        <v>122</v>
      </c>
      <c r="AK41" s="8" t="s">
        <v>121</v>
      </c>
      <c r="AL41" s="8" t="s">
        <v>54</v>
      </c>
      <c r="AM41" s="8" t="s">
        <v>122</v>
      </c>
    </row>
    <row r="42" spans="1:51" s="1" customFormat="1" ht="43" customHeight="1">
      <c r="A42" s="8">
        <v>2020</v>
      </c>
      <c r="B42" s="16">
        <f>AVERAGE(E42,H42,K42,N42,Z42,AC42,AF42)</f>
        <v>40.380952380952387</v>
      </c>
      <c r="C42" s="16"/>
      <c r="D42" s="8">
        <v>2020</v>
      </c>
      <c r="E42" s="113">
        <v>33</v>
      </c>
      <c r="F42" s="114" t="s">
        <v>482</v>
      </c>
      <c r="G42" s="8">
        <v>2020</v>
      </c>
      <c r="H42" s="80">
        <v>0</v>
      </c>
      <c r="I42" s="106" t="s">
        <v>483</v>
      </c>
      <c r="J42" s="8">
        <v>2020</v>
      </c>
      <c r="K42" s="113">
        <v>50</v>
      </c>
      <c r="L42" s="115" t="s">
        <v>484</v>
      </c>
      <c r="M42" s="8">
        <v>2020</v>
      </c>
      <c r="N42" s="109">
        <f t="shared" ref="N42:N46" si="5">AVERAGE(Q42,T42,W42)</f>
        <v>66.666666666666671</v>
      </c>
      <c r="O42" s="80"/>
      <c r="P42" s="8">
        <v>2020</v>
      </c>
      <c r="Q42" s="116">
        <v>100</v>
      </c>
      <c r="R42" s="100" t="s">
        <v>485</v>
      </c>
      <c r="S42" s="8">
        <v>2020</v>
      </c>
      <c r="T42" s="80">
        <v>100</v>
      </c>
      <c r="U42" s="17" t="s">
        <v>486</v>
      </c>
      <c r="V42" s="8">
        <v>2020</v>
      </c>
      <c r="W42" s="92">
        <v>0</v>
      </c>
      <c r="X42" s="86" t="s">
        <v>487</v>
      </c>
      <c r="Y42" s="8">
        <v>2020</v>
      </c>
      <c r="Z42" s="117">
        <v>50</v>
      </c>
      <c r="AA42" s="20" t="s">
        <v>488</v>
      </c>
      <c r="AB42" s="8">
        <v>2020</v>
      </c>
      <c r="AC42" s="110">
        <v>50</v>
      </c>
      <c r="AD42" s="118" t="s">
        <v>489</v>
      </c>
      <c r="AE42" s="8">
        <v>2020</v>
      </c>
      <c r="AF42" s="80">
        <v>33</v>
      </c>
      <c r="AG42" s="80"/>
      <c r="AH42" s="8">
        <v>2020</v>
      </c>
      <c r="AI42" s="74">
        <v>0</v>
      </c>
      <c r="AJ42" s="17"/>
      <c r="AK42" s="8">
        <v>2020</v>
      </c>
      <c r="AL42" s="18">
        <v>50</v>
      </c>
      <c r="AM42" s="19" t="s">
        <v>490</v>
      </c>
    </row>
    <row r="43" spans="1:51" s="1" customFormat="1" ht="30" customHeight="1">
      <c r="A43" s="8">
        <v>2021</v>
      </c>
      <c r="B43" s="16">
        <f>AVERAGE(E43,H43,K43,N43,Z43,AC43,AF43)</f>
        <v>40.380952380952387</v>
      </c>
      <c r="C43" s="16"/>
      <c r="D43" s="8">
        <v>2021</v>
      </c>
      <c r="E43" s="113">
        <v>33</v>
      </c>
      <c r="F43" s="83"/>
      <c r="G43" s="8">
        <v>2021</v>
      </c>
      <c r="H43" s="80">
        <v>0</v>
      </c>
      <c r="I43" s="17"/>
      <c r="J43" s="8">
        <v>2021</v>
      </c>
      <c r="K43" s="113">
        <v>50</v>
      </c>
      <c r="L43" s="83"/>
      <c r="M43" s="8">
        <v>2021</v>
      </c>
      <c r="N43" s="109">
        <f t="shared" si="5"/>
        <v>66.666666666666671</v>
      </c>
      <c r="O43" s="80"/>
      <c r="P43" s="8">
        <v>2021</v>
      </c>
      <c r="Q43" s="116">
        <v>100</v>
      </c>
      <c r="R43" s="20"/>
      <c r="S43" s="8">
        <v>2021</v>
      </c>
      <c r="T43" s="80">
        <v>100</v>
      </c>
      <c r="U43" s="17"/>
      <c r="V43" s="8">
        <v>2021</v>
      </c>
      <c r="W43" s="92">
        <v>0</v>
      </c>
      <c r="X43" s="83"/>
      <c r="Y43" s="8">
        <v>2021</v>
      </c>
      <c r="Z43" s="117">
        <v>50</v>
      </c>
      <c r="AA43" s="20"/>
      <c r="AB43" s="8">
        <v>2021</v>
      </c>
      <c r="AC43" s="80">
        <v>50</v>
      </c>
      <c r="AD43" s="17"/>
      <c r="AE43" s="8">
        <v>2021</v>
      </c>
      <c r="AF43" s="80">
        <v>33</v>
      </c>
      <c r="AG43" s="80"/>
      <c r="AH43" s="8">
        <v>2021</v>
      </c>
      <c r="AI43" s="74">
        <v>0</v>
      </c>
      <c r="AJ43" s="17"/>
      <c r="AK43" s="8">
        <v>2021</v>
      </c>
      <c r="AL43" s="18">
        <v>50</v>
      </c>
      <c r="AM43" s="19"/>
    </row>
    <row r="44" spans="1:51" s="1" customFormat="1" ht="24.75" customHeight="1">
      <c r="A44" s="8">
        <v>2022</v>
      </c>
      <c r="B44" s="16">
        <f>AVERAGE(E44,H44,K44,N44,Z44,AC44,AF44)</f>
        <v>40.380952380952387</v>
      </c>
      <c r="C44" s="16"/>
      <c r="D44" s="8">
        <v>2022</v>
      </c>
      <c r="E44" s="113">
        <v>33</v>
      </c>
      <c r="F44" s="83"/>
      <c r="G44" s="8">
        <v>2022</v>
      </c>
      <c r="H44" s="80">
        <v>0</v>
      </c>
      <c r="I44" s="17"/>
      <c r="J44" s="8">
        <v>2022</v>
      </c>
      <c r="K44" s="113">
        <v>50</v>
      </c>
      <c r="L44" s="83"/>
      <c r="M44" s="8">
        <v>2022</v>
      </c>
      <c r="N44" s="109">
        <f t="shared" si="5"/>
        <v>66.666666666666671</v>
      </c>
      <c r="O44" s="80"/>
      <c r="P44" s="8">
        <v>2022</v>
      </c>
      <c r="Q44" s="116">
        <v>100</v>
      </c>
      <c r="R44" s="20"/>
      <c r="S44" s="8">
        <v>2022</v>
      </c>
      <c r="T44" s="80">
        <v>100</v>
      </c>
      <c r="U44" s="17"/>
      <c r="V44" s="8">
        <v>2022</v>
      </c>
      <c r="W44" s="92">
        <v>0</v>
      </c>
      <c r="X44" s="83"/>
      <c r="Y44" s="8">
        <v>2022</v>
      </c>
      <c r="Z44" s="117">
        <v>50</v>
      </c>
      <c r="AA44" s="20"/>
      <c r="AB44" s="8">
        <v>2022</v>
      </c>
      <c r="AC44" s="80">
        <v>50</v>
      </c>
      <c r="AD44" s="17"/>
      <c r="AE44" s="8">
        <v>2022</v>
      </c>
      <c r="AF44" s="80">
        <v>33</v>
      </c>
      <c r="AG44" s="80"/>
      <c r="AH44" s="8">
        <v>2022</v>
      </c>
      <c r="AI44" s="74">
        <v>0</v>
      </c>
      <c r="AJ44" s="17"/>
      <c r="AK44" s="8">
        <v>2022</v>
      </c>
      <c r="AL44" s="18">
        <v>50</v>
      </c>
      <c r="AM44" s="19"/>
    </row>
    <row r="45" spans="1:51" s="1" customFormat="1" ht="24.75" customHeight="1">
      <c r="A45" s="8">
        <v>2023</v>
      </c>
      <c r="B45" s="16">
        <f>AVERAGE(E45,H45,K45,N45,Z45,AC45,AF45)</f>
        <v>40.380952380952387</v>
      </c>
      <c r="C45" s="16"/>
      <c r="D45" s="8">
        <v>2023</v>
      </c>
      <c r="E45" s="113">
        <v>33</v>
      </c>
      <c r="F45" s="83"/>
      <c r="G45" s="8">
        <v>2023</v>
      </c>
      <c r="H45" s="80">
        <v>0</v>
      </c>
      <c r="I45" s="17"/>
      <c r="J45" s="8">
        <v>2023</v>
      </c>
      <c r="K45" s="113">
        <v>50</v>
      </c>
      <c r="L45" s="83"/>
      <c r="M45" s="8">
        <v>2023</v>
      </c>
      <c r="N45" s="109">
        <f t="shared" si="5"/>
        <v>66.666666666666671</v>
      </c>
      <c r="O45" s="80"/>
      <c r="P45" s="8">
        <v>2023</v>
      </c>
      <c r="Q45" s="116">
        <v>100</v>
      </c>
      <c r="R45" s="20"/>
      <c r="S45" s="8">
        <v>2023</v>
      </c>
      <c r="T45" s="80">
        <v>100</v>
      </c>
      <c r="U45" s="17"/>
      <c r="V45" s="8">
        <v>2023</v>
      </c>
      <c r="W45" s="92">
        <v>0</v>
      </c>
      <c r="X45" s="83"/>
      <c r="Y45" s="8">
        <v>2023</v>
      </c>
      <c r="Z45" s="117">
        <v>50</v>
      </c>
      <c r="AA45" s="20"/>
      <c r="AB45" s="8">
        <v>2023</v>
      </c>
      <c r="AC45" s="80">
        <v>50</v>
      </c>
      <c r="AD45" s="17"/>
      <c r="AE45" s="8">
        <v>2023</v>
      </c>
      <c r="AF45" s="80">
        <v>33</v>
      </c>
      <c r="AG45" s="80"/>
      <c r="AH45" s="8">
        <v>2023</v>
      </c>
      <c r="AI45" s="74">
        <v>0</v>
      </c>
      <c r="AJ45" s="17"/>
      <c r="AK45" s="8">
        <v>2023</v>
      </c>
      <c r="AL45" s="18">
        <v>50</v>
      </c>
      <c r="AM45" s="19"/>
    </row>
    <row r="46" spans="1:51" s="1" customFormat="1" ht="28.5" customHeight="1">
      <c r="A46" s="8">
        <v>2024</v>
      </c>
      <c r="B46" s="16">
        <f>AVERAGE(E46,H46,K46,N46,Z46,AC46,AF46)</f>
        <v>40.380952380952387</v>
      </c>
      <c r="C46" s="16"/>
      <c r="D46" s="8">
        <v>2024</v>
      </c>
      <c r="E46" s="113">
        <v>33</v>
      </c>
      <c r="F46" s="83"/>
      <c r="G46" s="8">
        <v>2024</v>
      </c>
      <c r="H46" s="80">
        <v>0</v>
      </c>
      <c r="I46" s="17"/>
      <c r="J46" s="8">
        <v>2024</v>
      </c>
      <c r="K46" s="113">
        <v>50</v>
      </c>
      <c r="L46" s="119"/>
      <c r="M46" s="8">
        <v>2024</v>
      </c>
      <c r="N46" s="109">
        <f t="shared" si="5"/>
        <v>66.666666666666671</v>
      </c>
      <c r="O46" s="80"/>
      <c r="P46" s="8">
        <v>2024</v>
      </c>
      <c r="Q46" s="116">
        <v>100</v>
      </c>
      <c r="R46" s="20"/>
      <c r="S46" s="8">
        <v>2024</v>
      </c>
      <c r="T46" s="80">
        <v>100</v>
      </c>
      <c r="U46" s="17"/>
      <c r="V46" s="8">
        <v>2024</v>
      </c>
      <c r="W46" s="92">
        <v>0</v>
      </c>
      <c r="X46" s="120" t="s">
        <v>491</v>
      </c>
      <c r="Y46" s="8">
        <v>2024</v>
      </c>
      <c r="Z46" s="117">
        <v>50</v>
      </c>
      <c r="AA46" s="20"/>
      <c r="AB46" s="8">
        <v>2024</v>
      </c>
      <c r="AC46" s="80">
        <v>50</v>
      </c>
      <c r="AD46" s="17"/>
      <c r="AE46" s="8">
        <v>2024</v>
      </c>
      <c r="AF46" s="80">
        <v>33</v>
      </c>
      <c r="AG46" s="80"/>
      <c r="AH46" s="8">
        <v>2024</v>
      </c>
      <c r="AI46" s="74">
        <v>0</v>
      </c>
      <c r="AJ46" s="17"/>
      <c r="AK46" s="8">
        <v>2024</v>
      </c>
      <c r="AL46" s="18">
        <v>50</v>
      </c>
      <c r="AM46" s="19"/>
    </row>
    <row r="47" spans="1:51" s="1" customFormat="1" ht="24.75" customHeight="1"/>
    <row r="48" spans="1:51" s="1" customFormat="1" ht="24.75" customHeight="1">
      <c r="A48" s="101" t="s">
        <v>5</v>
      </c>
      <c r="B48" s="345" t="s">
        <v>181</v>
      </c>
      <c r="C48" s="345"/>
      <c r="D48" s="345"/>
      <c r="E48" s="345"/>
      <c r="F48" s="345"/>
      <c r="G48" s="345"/>
      <c r="H48" s="345"/>
      <c r="I48" s="345"/>
      <c r="J48" s="345"/>
      <c r="K48" s="345"/>
      <c r="L48" s="345"/>
      <c r="M48" s="345"/>
      <c r="N48" s="345"/>
      <c r="O48" s="345"/>
      <c r="P48" s="345"/>
      <c r="Q48" s="345"/>
      <c r="R48" s="345"/>
    </row>
    <row r="49" spans="1:24" s="1" customFormat="1" ht="24.75" customHeight="1">
      <c r="A49" s="101" t="s">
        <v>7</v>
      </c>
      <c r="B49" s="312" t="s">
        <v>182</v>
      </c>
      <c r="C49" s="312"/>
      <c r="D49" s="101" t="s">
        <v>7</v>
      </c>
      <c r="E49" s="312" t="s">
        <v>183</v>
      </c>
      <c r="F49" s="312"/>
      <c r="G49" s="101" t="s">
        <v>7</v>
      </c>
      <c r="H49" s="312" t="s">
        <v>184</v>
      </c>
      <c r="I49" s="312"/>
      <c r="J49" s="101" t="s">
        <v>7</v>
      </c>
      <c r="K49" s="312" t="s">
        <v>185</v>
      </c>
      <c r="L49" s="312"/>
      <c r="M49" s="101" t="s">
        <v>7</v>
      </c>
      <c r="N49" s="312" t="s">
        <v>186</v>
      </c>
      <c r="O49" s="312"/>
      <c r="P49" s="101" t="s">
        <v>7</v>
      </c>
      <c r="Q49" s="312" t="s">
        <v>187</v>
      </c>
      <c r="R49" s="312"/>
    </row>
    <row r="50" spans="1:24" s="1" customFormat="1" ht="24.75" customHeight="1">
      <c r="A50" s="101" t="s">
        <v>13</v>
      </c>
      <c r="B50" s="8"/>
      <c r="C50" s="8"/>
      <c r="D50" s="101" t="s">
        <v>13</v>
      </c>
      <c r="E50" s="8"/>
      <c r="F50" s="8"/>
      <c r="G50" s="101" t="s">
        <v>13</v>
      </c>
      <c r="H50" s="311"/>
      <c r="I50" s="311"/>
      <c r="J50" s="101" t="s">
        <v>13</v>
      </c>
      <c r="K50" s="311"/>
      <c r="L50" s="311"/>
      <c r="M50" s="101" t="s">
        <v>13</v>
      </c>
      <c r="N50" s="311"/>
      <c r="O50" s="311"/>
      <c r="P50" s="101" t="s">
        <v>13</v>
      </c>
      <c r="Q50" s="311"/>
      <c r="R50" s="311"/>
    </row>
    <row r="51" spans="1:24" s="1" customFormat="1" ht="24.75" customHeight="1">
      <c r="A51" s="8" t="s">
        <v>19</v>
      </c>
      <c r="B51" s="338" t="s">
        <v>188</v>
      </c>
      <c r="C51" s="338"/>
      <c r="D51" s="8" t="s">
        <v>19</v>
      </c>
      <c r="E51" s="338" t="s">
        <v>189</v>
      </c>
      <c r="F51" s="338"/>
      <c r="G51" s="8" t="s">
        <v>19</v>
      </c>
      <c r="H51" s="338" t="s">
        <v>190</v>
      </c>
      <c r="I51" s="338"/>
      <c r="J51" s="8" t="s">
        <v>19</v>
      </c>
      <c r="K51" s="338" t="s">
        <v>191</v>
      </c>
      <c r="L51" s="338"/>
      <c r="M51" s="8" t="s">
        <v>19</v>
      </c>
      <c r="N51" s="338" t="s">
        <v>192</v>
      </c>
      <c r="O51" s="338"/>
      <c r="P51" s="8" t="s">
        <v>19</v>
      </c>
      <c r="Q51" s="338" t="s">
        <v>193</v>
      </c>
      <c r="R51" s="338"/>
    </row>
    <row r="52" spans="1:24" s="1" customFormat="1" ht="24.75" customHeight="1">
      <c r="A52" s="8" t="s">
        <v>30</v>
      </c>
      <c r="B52" s="338" t="s">
        <v>31</v>
      </c>
      <c r="C52" s="338"/>
      <c r="D52" s="8" t="s">
        <v>30</v>
      </c>
      <c r="E52" s="333" t="s">
        <v>194</v>
      </c>
      <c r="F52" s="333"/>
      <c r="G52" s="8" t="s">
        <v>30</v>
      </c>
      <c r="H52" s="333" t="s">
        <v>195</v>
      </c>
      <c r="I52" s="333"/>
      <c r="J52" s="8" t="s">
        <v>30</v>
      </c>
      <c r="K52" s="333" t="s">
        <v>196</v>
      </c>
      <c r="L52" s="333"/>
      <c r="M52" s="8" t="s">
        <v>30</v>
      </c>
      <c r="N52" s="330" t="s">
        <v>197</v>
      </c>
      <c r="O52" s="330"/>
      <c r="P52" s="8" t="s">
        <v>30</v>
      </c>
      <c r="Q52" s="333" t="s">
        <v>198</v>
      </c>
      <c r="R52" s="333"/>
    </row>
    <row r="53" spans="1:24" s="1" customFormat="1" ht="30" customHeight="1">
      <c r="A53" s="8" t="s">
        <v>41</v>
      </c>
      <c r="B53" s="333" t="s">
        <v>42</v>
      </c>
      <c r="C53" s="333"/>
      <c r="D53" s="8" t="s">
        <v>41</v>
      </c>
      <c r="E53" s="330" t="s">
        <v>199</v>
      </c>
      <c r="F53" s="330"/>
      <c r="G53" s="8" t="s">
        <v>41</v>
      </c>
      <c r="H53" s="333" t="s">
        <v>200</v>
      </c>
      <c r="I53" s="333"/>
      <c r="J53" s="8" t="s">
        <v>41</v>
      </c>
      <c r="K53" s="333" t="s">
        <v>201</v>
      </c>
      <c r="L53" s="333"/>
      <c r="M53" s="8" t="s">
        <v>41</v>
      </c>
      <c r="N53" s="327" t="s">
        <v>202</v>
      </c>
      <c r="O53" s="330"/>
      <c r="P53" s="8" t="s">
        <v>41</v>
      </c>
      <c r="Q53" s="330" t="s">
        <v>203</v>
      </c>
      <c r="R53" s="330"/>
    </row>
    <row r="54" spans="1:24" s="1" customFormat="1" ht="24.75" customHeight="1">
      <c r="A54" s="8" t="s">
        <v>1</v>
      </c>
      <c r="B54" s="8" t="s">
        <v>52</v>
      </c>
      <c r="C54" s="8" t="s">
        <v>53</v>
      </c>
      <c r="D54" s="8" t="s">
        <v>121</v>
      </c>
      <c r="E54" s="8" t="s">
        <v>54</v>
      </c>
      <c r="F54" s="8" t="s">
        <v>122</v>
      </c>
      <c r="G54" s="8" t="s">
        <v>121</v>
      </c>
      <c r="H54" s="8" t="s">
        <v>54</v>
      </c>
      <c r="I54" s="8" t="s">
        <v>122</v>
      </c>
      <c r="J54" s="8" t="s">
        <v>121</v>
      </c>
      <c r="K54" s="8" t="s">
        <v>54</v>
      </c>
      <c r="L54" s="8" t="s">
        <v>122</v>
      </c>
      <c r="M54" s="8" t="s">
        <v>121</v>
      </c>
      <c r="N54" s="8" t="s">
        <v>54</v>
      </c>
      <c r="O54" s="8" t="s">
        <v>122</v>
      </c>
      <c r="P54" s="8" t="s">
        <v>121</v>
      </c>
      <c r="Q54" s="8" t="s">
        <v>54</v>
      </c>
      <c r="R54" s="8" t="s">
        <v>122</v>
      </c>
    </row>
    <row r="55" spans="1:24" s="1" customFormat="1" ht="39.5" customHeight="1">
      <c r="A55" s="8">
        <v>2020</v>
      </c>
      <c r="B55" s="16">
        <f t="shared" ref="B55:B59" si="6">AVERAGE(E55,H55,K55,N55,Q55)</f>
        <v>25</v>
      </c>
      <c r="C55" s="16"/>
      <c r="D55" s="8">
        <v>2020</v>
      </c>
      <c r="E55" s="80">
        <v>0</v>
      </c>
      <c r="F55" s="17"/>
      <c r="G55" s="8">
        <v>2020</v>
      </c>
      <c r="H55" s="112">
        <v>100</v>
      </c>
      <c r="I55" s="106" t="s">
        <v>492</v>
      </c>
      <c r="J55" s="8">
        <v>2020</v>
      </c>
      <c r="K55" s="18">
        <v>25</v>
      </c>
      <c r="L55" s="121"/>
      <c r="M55" s="8">
        <v>2020</v>
      </c>
      <c r="N55" s="18">
        <v>0</v>
      </c>
      <c r="O55" s="19" t="s">
        <v>493</v>
      </c>
      <c r="P55" s="8">
        <v>2020</v>
      </c>
      <c r="Q55" s="80">
        <v>0</v>
      </c>
      <c r="R55" s="106" t="s">
        <v>494</v>
      </c>
    </row>
    <row r="56" spans="1:24" s="1" customFormat="1" ht="24.75" customHeight="1">
      <c r="A56" s="8">
        <v>2021</v>
      </c>
      <c r="B56" s="16">
        <f t="shared" si="6"/>
        <v>25</v>
      </c>
      <c r="C56" s="16"/>
      <c r="D56" s="8">
        <v>2021</v>
      </c>
      <c r="E56" s="80">
        <v>0</v>
      </c>
      <c r="F56" s="17"/>
      <c r="G56" s="8">
        <v>2021</v>
      </c>
      <c r="H56" s="112">
        <v>100</v>
      </c>
      <c r="I56" s="17"/>
      <c r="J56" s="8">
        <v>2021</v>
      </c>
      <c r="K56" s="18">
        <v>25</v>
      </c>
      <c r="L56" s="19"/>
      <c r="M56" s="8">
        <v>2021</v>
      </c>
      <c r="N56" s="18">
        <v>0</v>
      </c>
      <c r="O56" s="19"/>
      <c r="P56" s="8">
        <v>2021</v>
      </c>
      <c r="Q56" s="80">
        <v>0</v>
      </c>
      <c r="R56" s="17"/>
    </row>
    <row r="57" spans="1:24" s="1" customFormat="1" ht="24.75" customHeight="1">
      <c r="A57" s="8">
        <v>2022</v>
      </c>
      <c r="B57" s="16">
        <f t="shared" si="6"/>
        <v>25</v>
      </c>
      <c r="C57" s="16"/>
      <c r="D57" s="8">
        <v>2022</v>
      </c>
      <c r="E57" s="80">
        <v>0</v>
      </c>
      <c r="F57" s="17"/>
      <c r="G57" s="8">
        <v>2022</v>
      </c>
      <c r="H57" s="112">
        <v>100</v>
      </c>
      <c r="I57" s="17"/>
      <c r="J57" s="8">
        <v>2022</v>
      </c>
      <c r="K57" s="18">
        <v>25</v>
      </c>
      <c r="L57" s="19"/>
      <c r="M57" s="8">
        <v>2022</v>
      </c>
      <c r="N57" s="18">
        <v>0</v>
      </c>
      <c r="O57" s="19"/>
      <c r="P57" s="8">
        <v>2022</v>
      </c>
      <c r="Q57" s="80">
        <v>0</v>
      </c>
      <c r="R57" s="17"/>
    </row>
    <row r="58" spans="1:24" s="1" customFormat="1" ht="24.75" customHeight="1">
      <c r="A58" s="8">
        <v>2023</v>
      </c>
      <c r="B58" s="16">
        <f t="shared" si="6"/>
        <v>25</v>
      </c>
      <c r="C58" s="16"/>
      <c r="D58" s="8">
        <v>2023</v>
      </c>
      <c r="E58" s="80">
        <v>0</v>
      </c>
      <c r="F58" s="17"/>
      <c r="G58" s="8">
        <v>2023</v>
      </c>
      <c r="H58" s="112">
        <v>100</v>
      </c>
      <c r="I58" s="17"/>
      <c r="J58" s="8">
        <v>2023</v>
      </c>
      <c r="K58" s="18">
        <v>25</v>
      </c>
      <c r="L58" s="19" t="s">
        <v>495</v>
      </c>
      <c r="M58" s="8">
        <v>2023</v>
      </c>
      <c r="N58" s="18">
        <v>0</v>
      </c>
      <c r="O58" s="19"/>
      <c r="P58" s="8">
        <v>2023</v>
      </c>
      <c r="Q58" s="80">
        <v>0</v>
      </c>
      <c r="R58" s="17"/>
    </row>
    <row r="59" spans="1:24" s="1" customFormat="1" ht="24.75" customHeight="1">
      <c r="A59" s="8">
        <v>2024</v>
      </c>
      <c r="B59" s="16">
        <f t="shared" si="6"/>
        <v>25</v>
      </c>
      <c r="C59" s="16"/>
      <c r="D59" s="8">
        <v>2024</v>
      </c>
      <c r="E59" s="80">
        <v>0</v>
      </c>
      <c r="F59" s="17"/>
      <c r="G59" s="8">
        <v>2024</v>
      </c>
      <c r="H59" s="112">
        <v>100</v>
      </c>
      <c r="I59" s="17"/>
      <c r="J59" s="8">
        <v>2024</v>
      </c>
      <c r="K59" s="18">
        <v>25</v>
      </c>
      <c r="L59" s="19" t="s">
        <v>495</v>
      </c>
      <c r="M59" s="8">
        <v>2024</v>
      </c>
      <c r="N59" s="18">
        <v>0</v>
      </c>
      <c r="O59" s="19" t="s">
        <v>493</v>
      </c>
      <c r="P59" s="8">
        <v>2024</v>
      </c>
      <c r="Q59" s="80">
        <v>0</v>
      </c>
      <c r="R59" s="17"/>
    </row>
    <row r="60" spans="1:24" s="1" customFormat="1" ht="24.75" customHeight="1"/>
    <row r="61" spans="1:24" s="1" customFormat="1" ht="24.75" customHeight="1">
      <c r="A61" s="101" t="s">
        <v>5</v>
      </c>
      <c r="B61" s="345" t="s">
        <v>204</v>
      </c>
      <c r="C61" s="345"/>
      <c r="D61" s="345"/>
      <c r="E61" s="345"/>
      <c r="F61" s="345"/>
      <c r="G61" s="345"/>
      <c r="H61" s="345"/>
      <c r="I61" s="345"/>
      <c r="J61" s="345"/>
      <c r="K61" s="345"/>
      <c r="L61" s="345"/>
      <c r="M61" s="345"/>
      <c r="N61" s="345"/>
      <c r="O61" s="345"/>
      <c r="P61" s="345"/>
      <c r="Q61" s="345"/>
      <c r="R61" s="345"/>
      <c r="S61" s="345"/>
      <c r="T61" s="345"/>
      <c r="U61" s="345"/>
      <c r="V61" s="345"/>
      <c r="W61" s="345"/>
      <c r="X61" s="345"/>
    </row>
    <row r="62" spans="1:24" s="1" customFormat="1" ht="24.75" customHeight="1">
      <c r="A62" s="101" t="s">
        <v>7</v>
      </c>
      <c r="B62" s="312" t="s">
        <v>205</v>
      </c>
      <c r="C62" s="312"/>
      <c r="D62" s="101" t="s">
        <v>7</v>
      </c>
      <c r="E62" s="312" t="s">
        <v>206</v>
      </c>
      <c r="F62" s="312"/>
      <c r="G62" s="101" t="s">
        <v>7</v>
      </c>
      <c r="H62" s="312" t="s">
        <v>207</v>
      </c>
      <c r="I62" s="312"/>
      <c r="J62" s="101" t="s">
        <v>7</v>
      </c>
      <c r="K62" s="312" t="s">
        <v>208</v>
      </c>
      <c r="L62" s="312"/>
      <c r="M62" s="101" t="s">
        <v>7</v>
      </c>
      <c r="N62" s="312" t="s">
        <v>209</v>
      </c>
      <c r="O62" s="312"/>
      <c r="P62" s="101" t="s">
        <v>7</v>
      </c>
      <c r="Q62" s="312" t="s">
        <v>210</v>
      </c>
      <c r="R62" s="312"/>
      <c r="S62" s="101" t="s">
        <v>7</v>
      </c>
      <c r="T62" s="312" t="s">
        <v>211</v>
      </c>
      <c r="U62" s="312"/>
      <c r="V62" s="101" t="s">
        <v>7</v>
      </c>
      <c r="W62" s="344" t="s">
        <v>212</v>
      </c>
      <c r="X62" s="344"/>
    </row>
    <row r="63" spans="1:24" s="1" customFormat="1" ht="24.75" customHeight="1">
      <c r="A63" s="101" t="s">
        <v>13</v>
      </c>
      <c r="B63" s="8"/>
      <c r="C63" s="8"/>
      <c r="D63" s="101" t="s">
        <v>13</v>
      </c>
      <c r="E63" s="8"/>
      <c r="F63" s="8"/>
      <c r="G63" s="101" t="s">
        <v>13</v>
      </c>
      <c r="H63" s="311"/>
      <c r="I63" s="311"/>
      <c r="J63" s="101" t="s">
        <v>13</v>
      </c>
      <c r="K63" s="311"/>
      <c r="L63" s="311"/>
      <c r="M63" s="101" t="s">
        <v>13</v>
      </c>
      <c r="N63" s="311"/>
      <c r="O63" s="311"/>
      <c r="P63" s="101" t="s">
        <v>13</v>
      </c>
      <c r="Q63" s="311"/>
      <c r="R63" s="311"/>
      <c r="S63" s="101" t="s">
        <v>13</v>
      </c>
      <c r="T63" s="311"/>
      <c r="U63" s="311"/>
      <c r="V63" s="101" t="s">
        <v>13</v>
      </c>
      <c r="W63" s="348"/>
      <c r="X63" s="348"/>
    </row>
    <row r="64" spans="1:24" s="1" customFormat="1" ht="24.75" customHeight="1">
      <c r="A64" s="8" t="s">
        <v>19</v>
      </c>
      <c r="B64" s="338" t="s">
        <v>213</v>
      </c>
      <c r="C64" s="338"/>
      <c r="D64" s="8" t="s">
        <v>19</v>
      </c>
      <c r="E64" s="338" t="s">
        <v>214</v>
      </c>
      <c r="F64" s="338"/>
      <c r="G64" s="8" t="s">
        <v>19</v>
      </c>
      <c r="H64" s="338" t="s">
        <v>215</v>
      </c>
      <c r="I64" s="338"/>
      <c r="J64" s="8" t="s">
        <v>19</v>
      </c>
      <c r="K64" s="338" t="s">
        <v>88</v>
      </c>
      <c r="L64" s="338"/>
      <c r="M64" s="8" t="s">
        <v>19</v>
      </c>
      <c r="N64" s="338" t="s">
        <v>216</v>
      </c>
      <c r="O64" s="338"/>
      <c r="P64" s="8" t="s">
        <v>19</v>
      </c>
      <c r="Q64" s="338" t="s">
        <v>217</v>
      </c>
      <c r="R64" s="338"/>
      <c r="S64" s="8" t="s">
        <v>19</v>
      </c>
      <c r="T64" s="338" t="s">
        <v>218</v>
      </c>
      <c r="U64" s="338"/>
      <c r="V64" s="8" t="s">
        <v>19</v>
      </c>
      <c r="W64" s="346" t="s">
        <v>219</v>
      </c>
      <c r="X64" s="346"/>
    </row>
    <row r="65" spans="1:27" s="1" customFormat="1" ht="24.75" customHeight="1">
      <c r="A65" s="8" t="s">
        <v>30</v>
      </c>
      <c r="B65" s="338" t="s">
        <v>31</v>
      </c>
      <c r="C65" s="338"/>
      <c r="D65" s="8" t="s">
        <v>30</v>
      </c>
      <c r="E65" s="333" t="s">
        <v>220</v>
      </c>
      <c r="F65" s="333"/>
      <c r="G65" s="8" t="s">
        <v>30</v>
      </c>
      <c r="H65" s="333" t="s">
        <v>221</v>
      </c>
      <c r="I65" s="333"/>
      <c r="J65" s="8" t="s">
        <v>30</v>
      </c>
      <c r="K65" s="333" t="s">
        <v>101</v>
      </c>
      <c r="L65" s="333"/>
      <c r="M65" s="8" t="s">
        <v>30</v>
      </c>
      <c r="N65" s="333" t="s">
        <v>222</v>
      </c>
      <c r="O65" s="333"/>
      <c r="P65" s="8" t="s">
        <v>30</v>
      </c>
      <c r="Q65" s="333" t="s">
        <v>217</v>
      </c>
      <c r="R65" s="333"/>
      <c r="S65" s="8" t="s">
        <v>30</v>
      </c>
      <c r="T65" s="333" t="s">
        <v>223</v>
      </c>
      <c r="U65" s="333"/>
      <c r="V65" s="8" t="s">
        <v>30</v>
      </c>
      <c r="W65" s="347" t="s">
        <v>224</v>
      </c>
      <c r="X65" s="347"/>
    </row>
    <row r="66" spans="1:27" s="1" customFormat="1" ht="96" customHeight="1">
      <c r="A66" s="8" t="s">
        <v>41</v>
      </c>
      <c r="B66" s="333" t="s">
        <v>42</v>
      </c>
      <c r="C66" s="333"/>
      <c r="D66" s="8" t="s">
        <v>41</v>
      </c>
      <c r="E66" s="330" t="s">
        <v>225</v>
      </c>
      <c r="F66" s="330"/>
      <c r="G66" s="8" t="s">
        <v>41</v>
      </c>
      <c r="H66" s="333" t="s">
        <v>226</v>
      </c>
      <c r="I66" s="333"/>
      <c r="J66" s="8" t="s">
        <v>41</v>
      </c>
      <c r="K66" s="333" t="s">
        <v>115</v>
      </c>
      <c r="L66" s="333"/>
      <c r="M66" s="8" t="s">
        <v>41</v>
      </c>
      <c r="N66" s="333" t="s">
        <v>227</v>
      </c>
      <c r="O66" s="333"/>
      <c r="P66" s="8" t="s">
        <v>41</v>
      </c>
      <c r="Q66" s="333" t="s">
        <v>228</v>
      </c>
      <c r="R66" s="333"/>
      <c r="S66" s="8" t="s">
        <v>41</v>
      </c>
      <c r="T66" s="338" t="s">
        <v>229</v>
      </c>
      <c r="U66" s="333"/>
      <c r="V66" s="8" t="s">
        <v>41</v>
      </c>
      <c r="W66" s="344" t="s">
        <v>230</v>
      </c>
      <c r="X66" s="344"/>
    </row>
    <row r="67" spans="1:27" s="1" customFormat="1" ht="24.75" customHeight="1">
      <c r="A67" s="8" t="s">
        <v>1</v>
      </c>
      <c r="B67" s="8" t="s">
        <v>52</v>
      </c>
      <c r="C67" s="8" t="s">
        <v>53</v>
      </c>
      <c r="D67" s="8" t="s">
        <v>121</v>
      </c>
      <c r="E67" s="8" t="s">
        <v>54</v>
      </c>
      <c r="F67" s="8" t="s">
        <v>122</v>
      </c>
      <c r="G67" s="8" t="s">
        <v>121</v>
      </c>
      <c r="H67" s="8" t="s">
        <v>54</v>
      </c>
      <c r="I67" s="8" t="s">
        <v>122</v>
      </c>
      <c r="J67" s="8" t="s">
        <v>121</v>
      </c>
      <c r="K67" s="8" t="s">
        <v>54</v>
      </c>
      <c r="L67" s="8" t="s">
        <v>122</v>
      </c>
      <c r="M67" s="8" t="s">
        <v>121</v>
      </c>
      <c r="N67" s="8" t="s">
        <v>54</v>
      </c>
      <c r="O67" s="8" t="s">
        <v>122</v>
      </c>
      <c r="P67" s="8" t="s">
        <v>121</v>
      </c>
      <c r="Q67" s="8" t="s">
        <v>54</v>
      </c>
      <c r="R67" s="8" t="s">
        <v>122</v>
      </c>
      <c r="S67" s="8" t="s">
        <v>121</v>
      </c>
      <c r="T67" s="8" t="s">
        <v>54</v>
      </c>
      <c r="U67" s="8" t="s">
        <v>122</v>
      </c>
      <c r="V67" s="8" t="s">
        <v>121</v>
      </c>
      <c r="W67" s="90" t="s">
        <v>54</v>
      </c>
      <c r="X67" s="90" t="s">
        <v>122</v>
      </c>
    </row>
    <row r="68" spans="1:27" s="1" customFormat="1" ht="38" customHeight="1">
      <c r="A68" s="8">
        <v>2020</v>
      </c>
      <c r="B68" s="16">
        <f t="shared" ref="B68:B72" si="7">AVERAGE(E68,((H68+K68)/2),((N68+Q68+T68)/3),W68)</f>
        <v>50</v>
      </c>
      <c r="C68" s="16"/>
      <c r="D68" s="8">
        <v>2020</v>
      </c>
      <c r="E68" s="110">
        <v>50</v>
      </c>
      <c r="F68" s="95" t="s">
        <v>496</v>
      </c>
      <c r="G68" s="8">
        <v>2020</v>
      </c>
      <c r="H68" s="110">
        <v>0</v>
      </c>
      <c r="I68" s="106" t="s">
        <v>497</v>
      </c>
      <c r="J68" s="8">
        <v>2020</v>
      </c>
      <c r="K68" s="80">
        <v>0</v>
      </c>
      <c r="L68" s="106" t="s">
        <v>498</v>
      </c>
      <c r="M68" s="8">
        <v>2020</v>
      </c>
      <c r="N68" s="122">
        <v>100</v>
      </c>
      <c r="O68" s="114" t="s">
        <v>499</v>
      </c>
      <c r="P68" s="8">
        <v>2020</v>
      </c>
      <c r="Q68" s="80">
        <v>50</v>
      </c>
      <c r="R68" s="106" t="s">
        <v>500</v>
      </c>
      <c r="S68" s="8">
        <v>2020</v>
      </c>
      <c r="T68" s="80">
        <v>0</v>
      </c>
      <c r="U68" s="111" t="s">
        <v>501</v>
      </c>
      <c r="V68" s="8">
        <v>2020</v>
      </c>
      <c r="W68" s="123">
        <v>100</v>
      </c>
      <c r="X68" s="123" t="s">
        <v>502</v>
      </c>
    </row>
    <row r="69" spans="1:27" s="1" customFormat="1" ht="36.5" customHeight="1">
      <c r="A69" s="8">
        <v>2021</v>
      </c>
      <c r="B69" s="16">
        <f t="shared" si="7"/>
        <v>50</v>
      </c>
      <c r="C69" s="16"/>
      <c r="D69" s="8">
        <v>2021</v>
      </c>
      <c r="E69" s="110">
        <v>50</v>
      </c>
      <c r="F69" s="95" t="s">
        <v>496</v>
      </c>
      <c r="G69" s="8">
        <v>2021</v>
      </c>
      <c r="H69" s="110">
        <v>0</v>
      </c>
      <c r="I69" s="106" t="s">
        <v>497</v>
      </c>
      <c r="J69" s="8">
        <v>2021</v>
      </c>
      <c r="K69" s="80">
        <v>0</v>
      </c>
      <c r="L69" s="17"/>
      <c r="M69" s="8">
        <v>2021</v>
      </c>
      <c r="N69" s="122">
        <v>100</v>
      </c>
      <c r="O69" s="83"/>
      <c r="P69" s="8">
        <v>2021</v>
      </c>
      <c r="Q69" s="80">
        <v>50</v>
      </c>
      <c r="R69" s="106"/>
      <c r="S69" s="8">
        <v>2021</v>
      </c>
      <c r="T69" s="80">
        <v>0</v>
      </c>
      <c r="U69" s="17"/>
      <c r="V69" s="8">
        <v>2021</v>
      </c>
      <c r="W69" s="123">
        <v>100</v>
      </c>
      <c r="X69" s="20"/>
    </row>
    <row r="70" spans="1:27" s="1" customFormat="1" ht="37" customHeight="1">
      <c r="A70" s="8">
        <v>2022</v>
      </c>
      <c r="B70" s="16">
        <f t="shared" si="7"/>
        <v>50</v>
      </c>
      <c r="C70" s="16"/>
      <c r="D70" s="8">
        <v>2022</v>
      </c>
      <c r="E70" s="110">
        <v>50</v>
      </c>
      <c r="F70" s="95" t="s">
        <v>496</v>
      </c>
      <c r="G70" s="8">
        <v>2022</v>
      </c>
      <c r="H70" s="110">
        <v>0</v>
      </c>
      <c r="I70" s="106" t="s">
        <v>497</v>
      </c>
      <c r="J70" s="8">
        <v>2022</v>
      </c>
      <c r="K70" s="80">
        <v>0</v>
      </c>
      <c r="L70" s="17"/>
      <c r="M70" s="8">
        <v>2022</v>
      </c>
      <c r="N70" s="122">
        <v>100</v>
      </c>
      <c r="O70" s="83"/>
      <c r="P70" s="8">
        <v>2022</v>
      </c>
      <c r="Q70" s="80">
        <v>50</v>
      </c>
      <c r="R70" s="17"/>
      <c r="S70" s="8">
        <v>2022</v>
      </c>
      <c r="T70" s="80">
        <v>0</v>
      </c>
      <c r="U70" s="17"/>
      <c r="V70" s="8">
        <v>2022</v>
      </c>
      <c r="W70" s="123">
        <v>100</v>
      </c>
      <c r="X70" s="20"/>
    </row>
    <row r="71" spans="1:27" s="1" customFormat="1" ht="30.5" customHeight="1">
      <c r="A71" s="8">
        <v>2023</v>
      </c>
      <c r="B71" s="16">
        <f t="shared" si="7"/>
        <v>50</v>
      </c>
      <c r="C71" s="16"/>
      <c r="D71" s="8">
        <v>2023</v>
      </c>
      <c r="E71" s="110">
        <v>50</v>
      </c>
      <c r="F71" s="95" t="s">
        <v>496</v>
      </c>
      <c r="G71" s="8">
        <v>2023</v>
      </c>
      <c r="H71" s="110">
        <v>0</v>
      </c>
      <c r="I71" s="106" t="s">
        <v>497</v>
      </c>
      <c r="J71" s="8">
        <v>2023</v>
      </c>
      <c r="K71" s="80">
        <v>0</v>
      </c>
      <c r="L71" s="17"/>
      <c r="M71" s="8">
        <v>2023</v>
      </c>
      <c r="N71" s="122">
        <v>100</v>
      </c>
      <c r="O71" s="83"/>
      <c r="P71" s="8">
        <v>2023</v>
      </c>
      <c r="Q71" s="80">
        <v>50</v>
      </c>
      <c r="R71" s="17"/>
      <c r="S71" s="8">
        <v>2023</v>
      </c>
      <c r="T71" s="80">
        <v>0</v>
      </c>
      <c r="U71" s="17"/>
      <c r="V71" s="8">
        <v>2023</v>
      </c>
      <c r="W71" s="123">
        <v>100</v>
      </c>
      <c r="X71" s="20"/>
    </row>
    <row r="72" spans="1:27" s="1" customFormat="1" ht="27.5" customHeight="1">
      <c r="A72" s="8">
        <v>2024</v>
      </c>
      <c r="B72" s="16">
        <f t="shared" si="7"/>
        <v>50</v>
      </c>
      <c r="C72" s="16"/>
      <c r="D72" s="8">
        <v>2024</v>
      </c>
      <c r="E72" s="97">
        <v>50</v>
      </c>
      <c r="F72" s="95" t="s">
        <v>496</v>
      </c>
      <c r="G72" s="8">
        <v>2024</v>
      </c>
      <c r="H72" s="110">
        <v>0</v>
      </c>
      <c r="I72" s="106" t="s">
        <v>497</v>
      </c>
      <c r="J72" s="8">
        <v>2024</v>
      </c>
      <c r="K72" s="80">
        <v>0</v>
      </c>
      <c r="L72" s="106" t="s">
        <v>503</v>
      </c>
      <c r="M72" s="8">
        <v>2024</v>
      </c>
      <c r="N72" s="122">
        <v>100</v>
      </c>
      <c r="O72" s="83"/>
      <c r="P72" s="8">
        <v>2024</v>
      </c>
      <c r="Q72" s="80">
        <v>50</v>
      </c>
      <c r="R72" s="17"/>
      <c r="S72" s="8">
        <v>2024</v>
      </c>
      <c r="T72" s="80">
        <v>0</v>
      </c>
      <c r="U72" s="17"/>
      <c r="V72" s="8">
        <v>2024</v>
      </c>
      <c r="W72" s="123">
        <v>100</v>
      </c>
      <c r="X72" s="20"/>
    </row>
    <row r="73" spans="1:27" s="1" customFormat="1" ht="24.75" customHeight="1"/>
    <row r="74" spans="1:27" s="1" customFormat="1" ht="24.75" customHeight="1">
      <c r="A74" s="101" t="s">
        <v>5</v>
      </c>
      <c r="B74" s="345" t="s">
        <v>232</v>
      </c>
      <c r="C74" s="345"/>
      <c r="D74" s="345"/>
      <c r="E74" s="345"/>
      <c r="F74" s="345"/>
      <c r="G74" s="345"/>
      <c r="H74" s="345"/>
      <c r="I74" s="345"/>
      <c r="J74" s="345"/>
      <c r="K74" s="345"/>
      <c r="L74" s="345"/>
      <c r="M74" s="345"/>
      <c r="N74" s="345"/>
      <c r="O74" s="345"/>
      <c r="P74" s="345"/>
      <c r="Q74" s="345"/>
      <c r="R74" s="345"/>
      <c r="S74" s="345"/>
      <c r="T74" s="345"/>
      <c r="U74" s="345"/>
      <c r="V74" s="345"/>
      <c r="W74" s="345"/>
      <c r="X74" s="345"/>
      <c r="Y74" s="345"/>
      <c r="Z74" s="345"/>
      <c r="AA74" s="345"/>
    </row>
    <row r="75" spans="1:27" s="1" customFormat="1" ht="24.75" customHeight="1">
      <c r="A75" s="101" t="s">
        <v>7</v>
      </c>
      <c r="B75" s="312" t="s">
        <v>233</v>
      </c>
      <c r="C75" s="312"/>
      <c r="D75" s="101" t="s">
        <v>7</v>
      </c>
      <c r="E75" s="312" t="s">
        <v>234</v>
      </c>
      <c r="F75" s="312"/>
      <c r="G75" s="101" t="s">
        <v>7</v>
      </c>
      <c r="H75" s="312" t="s">
        <v>235</v>
      </c>
      <c r="I75" s="312"/>
      <c r="J75" s="101" t="s">
        <v>7</v>
      </c>
      <c r="K75" s="312" t="s">
        <v>236</v>
      </c>
      <c r="L75" s="312"/>
      <c r="M75" s="101" t="s">
        <v>7</v>
      </c>
      <c r="N75" s="312"/>
      <c r="O75" s="312"/>
      <c r="P75" s="101" t="s">
        <v>7</v>
      </c>
      <c r="Q75" s="312"/>
      <c r="R75" s="312"/>
      <c r="S75" s="101" t="s">
        <v>7</v>
      </c>
      <c r="T75" s="312"/>
      <c r="U75" s="312"/>
      <c r="V75" s="101" t="s">
        <v>7</v>
      </c>
      <c r="W75" s="312"/>
      <c r="X75" s="312"/>
      <c r="Y75" s="101" t="s">
        <v>7</v>
      </c>
      <c r="Z75" s="312" t="s">
        <v>237</v>
      </c>
      <c r="AA75" s="312"/>
    </row>
    <row r="76" spans="1:27" s="1" customFormat="1" ht="24.75" customHeight="1">
      <c r="A76" s="101" t="s">
        <v>13</v>
      </c>
      <c r="B76" s="8"/>
      <c r="C76" s="8"/>
      <c r="D76" s="101" t="s">
        <v>13</v>
      </c>
      <c r="E76" s="8"/>
      <c r="F76" s="8"/>
      <c r="G76" s="101" t="s">
        <v>13</v>
      </c>
      <c r="H76" s="311"/>
      <c r="I76" s="311"/>
      <c r="J76" s="101" t="s">
        <v>13</v>
      </c>
      <c r="K76" s="311"/>
      <c r="L76" s="311"/>
      <c r="M76" s="101" t="s">
        <v>13</v>
      </c>
      <c r="N76" s="311" t="s">
        <v>238</v>
      </c>
      <c r="O76" s="311"/>
      <c r="P76" s="101" t="s">
        <v>13</v>
      </c>
      <c r="Q76" s="311" t="s">
        <v>239</v>
      </c>
      <c r="R76" s="311"/>
      <c r="S76" s="101" t="s">
        <v>13</v>
      </c>
      <c r="T76" s="311" t="s">
        <v>240</v>
      </c>
      <c r="U76" s="311"/>
      <c r="V76" s="101" t="s">
        <v>13</v>
      </c>
      <c r="W76" s="311" t="s">
        <v>241</v>
      </c>
      <c r="X76" s="311"/>
      <c r="Y76" s="101" t="s">
        <v>13</v>
      </c>
      <c r="Z76" s="311"/>
      <c r="AA76" s="311"/>
    </row>
    <row r="77" spans="1:27" s="1" customFormat="1" ht="24.75" customHeight="1">
      <c r="A77" s="8" t="s">
        <v>19</v>
      </c>
      <c r="B77" s="338" t="s">
        <v>242</v>
      </c>
      <c r="C77" s="338"/>
      <c r="D77" s="8" t="s">
        <v>19</v>
      </c>
      <c r="E77" s="338" t="s">
        <v>243</v>
      </c>
      <c r="F77" s="338"/>
      <c r="G77" s="8" t="s">
        <v>19</v>
      </c>
      <c r="H77" s="332" t="s">
        <v>244</v>
      </c>
      <c r="I77" s="332"/>
      <c r="J77" s="8" t="s">
        <v>19</v>
      </c>
      <c r="K77" s="338" t="s">
        <v>245</v>
      </c>
      <c r="L77" s="338"/>
      <c r="M77" s="8" t="s">
        <v>19</v>
      </c>
      <c r="N77" s="338" t="s">
        <v>246</v>
      </c>
      <c r="O77" s="338"/>
      <c r="P77" s="8" t="s">
        <v>19</v>
      </c>
      <c r="Q77" s="338" t="s">
        <v>247</v>
      </c>
      <c r="R77" s="338"/>
      <c r="S77" s="8" t="s">
        <v>19</v>
      </c>
      <c r="T77" s="338" t="s">
        <v>88</v>
      </c>
      <c r="U77" s="338"/>
      <c r="V77" s="8" t="s">
        <v>19</v>
      </c>
      <c r="W77" s="338" t="s">
        <v>248</v>
      </c>
      <c r="X77" s="338"/>
      <c r="Y77" s="8" t="s">
        <v>19</v>
      </c>
      <c r="Z77" s="338" t="s">
        <v>249</v>
      </c>
      <c r="AA77" s="338"/>
    </row>
    <row r="78" spans="1:27" s="1" customFormat="1" ht="28" customHeight="1">
      <c r="A78" s="8" t="s">
        <v>30</v>
      </c>
      <c r="B78" s="338" t="s">
        <v>31</v>
      </c>
      <c r="C78" s="338"/>
      <c r="D78" s="8" t="s">
        <v>30</v>
      </c>
      <c r="E78" s="333" t="s">
        <v>250</v>
      </c>
      <c r="F78" s="333"/>
      <c r="G78" s="8" t="s">
        <v>30</v>
      </c>
      <c r="H78" s="330" t="s">
        <v>251</v>
      </c>
      <c r="I78" s="330"/>
      <c r="J78" s="8" t="s">
        <v>30</v>
      </c>
      <c r="K78" s="333" t="s">
        <v>252</v>
      </c>
      <c r="L78" s="333"/>
      <c r="M78" s="8" t="s">
        <v>30</v>
      </c>
      <c r="N78" s="333" t="s">
        <v>253</v>
      </c>
      <c r="O78" s="333"/>
      <c r="P78" s="8" t="s">
        <v>30</v>
      </c>
      <c r="Q78" s="333" t="s">
        <v>254</v>
      </c>
      <c r="R78" s="333"/>
      <c r="S78" s="8" t="s">
        <v>30</v>
      </c>
      <c r="T78" s="333" t="s">
        <v>255</v>
      </c>
      <c r="U78" s="333"/>
      <c r="V78" s="8" t="s">
        <v>30</v>
      </c>
      <c r="W78" s="333" t="s">
        <v>256</v>
      </c>
      <c r="X78" s="333"/>
      <c r="Y78" s="8" t="s">
        <v>30</v>
      </c>
      <c r="Z78" s="333" t="s">
        <v>257</v>
      </c>
      <c r="AA78" s="333"/>
    </row>
    <row r="79" spans="1:27" s="1" customFormat="1" ht="27.5" customHeight="1">
      <c r="A79" s="8" t="s">
        <v>41</v>
      </c>
      <c r="B79" s="333" t="s">
        <v>42</v>
      </c>
      <c r="C79" s="333"/>
      <c r="D79" s="8" t="s">
        <v>41</v>
      </c>
      <c r="E79" s="338" t="s">
        <v>258</v>
      </c>
      <c r="F79" s="333"/>
      <c r="G79" s="8" t="s">
        <v>41</v>
      </c>
      <c r="H79" s="330" t="s">
        <v>259</v>
      </c>
      <c r="I79" s="330"/>
      <c r="J79" s="8" t="s">
        <v>41</v>
      </c>
      <c r="K79" s="333" t="s">
        <v>42</v>
      </c>
      <c r="L79" s="333"/>
      <c r="M79" s="8" t="s">
        <v>41</v>
      </c>
      <c r="N79" s="333" t="s">
        <v>260</v>
      </c>
      <c r="O79" s="333"/>
      <c r="P79" s="8" t="s">
        <v>41</v>
      </c>
      <c r="Q79" s="333" t="s">
        <v>261</v>
      </c>
      <c r="R79" s="333"/>
      <c r="S79" s="8" t="s">
        <v>41</v>
      </c>
      <c r="T79" s="333" t="s">
        <v>262</v>
      </c>
      <c r="U79" s="333"/>
      <c r="V79" s="8" t="s">
        <v>41</v>
      </c>
      <c r="W79" s="333" t="s">
        <v>263</v>
      </c>
      <c r="X79" s="333"/>
      <c r="Y79" s="8" t="s">
        <v>41</v>
      </c>
      <c r="Z79" s="332" t="s">
        <v>264</v>
      </c>
      <c r="AA79" s="330"/>
    </row>
    <row r="80" spans="1:27" s="1" customFormat="1" ht="24.75" customHeight="1">
      <c r="A80" s="8" t="s">
        <v>121</v>
      </c>
      <c r="B80" s="8" t="s">
        <v>54</v>
      </c>
      <c r="C80" s="8" t="s">
        <v>122</v>
      </c>
      <c r="D80" s="8" t="s">
        <v>121</v>
      </c>
      <c r="E80" s="8" t="s">
        <v>54</v>
      </c>
      <c r="F80" s="8" t="s">
        <v>122</v>
      </c>
      <c r="G80" s="8" t="s">
        <v>121</v>
      </c>
      <c r="H80" s="8" t="s">
        <v>54</v>
      </c>
      <c r="I80" s="8" t="s">
        <v>122</v>
      </c>
      <c r="J80" s="8" t="s">
        <v>121</v>
      </c>
      <c r="K80" s="8" t="s">
        <v>54</v>
      </c>
      <c r="L80" s="8" t="s">
        <v>122</v>
      </c>
      <c r="M80" s="8" t="s">
        <v>121</v>
      </c>
      <c r="N80" s="8" t="s">
        <v>54</v>
      </c>
      <c r="O80" s="8" t="s">
        <v>122</v>
      </c>
      <c r="P80" s="8" t="s">
        <v>121</v>
      </c>
      <c r="Q80" s="8" t="s">
        <v>54</v>
      </c>
      <c r="R80" s="8" t="s">
        <v>122</v>
      </c>
      <c r="S80" s="8" t="s">
        <v>121</v>
      </c>
      <c r="T80" s="8" t="s">
        <v>54</v>
      </c>
      <c r="U80" s="8" t="s">
        <v>122</v>
      </c>
      <c r="V80" s="8" t="s">
        <v>121</v>
      </c>
      <c r="W80" s="8" t="s">
        <v>54</v>
      </c>
      <c r="X80" s="8" t="s">
        <v>122</v>
      </c>
      <c r="Y80" s="8" t="s">
        <v>121</v>
      </c>
      <c r="Z80" s="8" t="s">
        <v>54</v>
      </c>
      <c r="AA80" s="8" t="s">
        <v>122</v>
      </c>
    </row>
    <row r="81" spans="1:33" s="1" customFormat="1" ht="51.5" customHeight="1">
      <c r="A81" s="8">
        <v>2020</v>
      </c>
      <c r="B81" s="16">
        <f t="shared" ref="B81:B85" si="8">AVERAGE(E81,H81,K81,Z81)</f>
        <v>53.125</v>
      </c>
      <c r="C81" s="16"/>
      <c r="D81" s="8">
        <v>2020</v>
      </c>
      <c r="E81" s="80">
        <v>50</v>
      </c>
      <c r="F81" s="95" t="s">
        <v>504</v>
      </c>
      <c r="G81" s="8">
        <v>2020</v>
      </c>
      <c r="H81" s="80">
        <v>0</v>
      </c>
      <c r="I81" s="111" t="s">
        <v>505</v>
      </c>
      <c r="J81" s="8">
        <v>2020</v>
      </c>
      <c r="K81" s="109">
        <f t="shared" ref="K81:K85" si="9">AVERAGE(N81,Q81,T81,W81)</f>
        <v>62.5</v>
      </c>
      <c r="L81" s="80"/>
      <c r="M81" s="8">
        <v>2020</v>
      </c>
      <c r="N81" s="110">
        <v>0</v>
      </c>
      <c r="O81" s="111" t="s">
        <v>506</v>
      </c>
      <c r="P81" s="8">
        <v>2020</v>
      </c>
      <c r="Q81" s="110">
        <v>100</v>
      </c>
      <c r="R81" s="17" t="s">
        <v>507</v>
      </c>
      <c r="S81" s="8">
        <v>2020</v>
      </c>
      <c r="T81" s="45">
        <v>100</v>
      </c>
      <c r="U81" s="19"/>
      <c r="V81" s="8">
        <v>2020</v>
      </c>
      <c r="W81" s="124">
        <v>50</v>
      </c>
      <c r="X81" s="107" t="s">
        <v>508</v>
      </c>
      <c r="Y81" s="8">
        <v>2020</v>
      </c>
      <c r="Z81" s="94">
        <v>100</v>
      </c>
      <c r="AA81" s="125" t="s">
        <v>509</v>
      </c>
    </row>
    <row r="82" spans="1:33" s="1" customFormat="1" ht="24.75" customHeight="1">
      <c r="A82" s="8">
        <v>2021</v>
      </c>
      <c r="B82" s="16">
        <f t="shared" si="8"/>
        <v>53.125</v>
      </c>
      <c r="C82" s="16"/>
      <c r="D82" s="8">
        <v>2021</v>
      </c>
      <c r="E82" s="80">
        <v>50</v>
      </c>
      <c r="F82" s="17"/>
      <c r="G82" s="8">
        <v>2021</v>
      </c>
      <c r="H82" s="80">
        <v>0</v>
      </c>
      <c r="I82" s="17"/>
      <c r="J82" s="8">
        <v>2021</v>
      </c>
      <c r="K82" s="109">
        <f t="shared" si="9"/>
        <v>62.5</v>
      </c>
      <c r="L82" s="80"/>
      <c r="M82" s="8">
        <v>2021</v>
      </c>
      <c r="N82" s="74">
        <v>0</v>
      </c>
      <c r="O82" s="17"/>
      <c r="P82" s="8">
        <v>2021</v>
      </c>
      <c r="Q82" s="74">
        <v>100</v>
      </c>
      <c r="R82" s="17"/>
      <c r="S82" s="8">
        <v>2021</v>
      </c>
      <c r="T82" s="47">
        <v>100</v>
      </c>
      <c r="U82" s="19"/>
      <c r="V82" s="8">
        <v>2021</v>
      </c>
      <c r="W82" s="124">
        <v>50</v>
      </c>
      <c r="X82" s="17"/>
      <c r="Y82" s="8">
        <v>2021</v>
      </c>
      <c r="Z82" s="94">
        <v>100</v>
      </c>
      <c r="AA82" s="17"/>
    </row>
    <row r="83" spans="1:33" s="1" customFormat="1" ht="24.75" customHeight="1">
      <c r="A83" s="8">
        <v>2022</v>
      </c>
      <c r="B83" s="16">
        <f t="shared" si="8"/>
        <v>53.125</v>
      </c>
      <c r="C83" s="16"/>
      <c r="D83" s="8">
        <v>2022</v>
      </c>
      <c r="E83" s="80">
        <v>50</v>
      </c>
      <c r="F83" s="17"/>
      <c r="G83" s="8">
        <v>2022</v>
      </c>
      <c r="H83" s="80">
        <v>0</v>
      </c>
      <c r="I83" s="17"/>
      <c r="J83" s="8">
        <v>2022</v>
      </c>
      <c r="K83" s="109">
        <f t="shared" si="9"/>
        <v>62.5</v>
      </c>
      <c r="L83" s="80"/>
      <c r="M83" s="8">
        <v>2022</v>
      </c>
      <c r="N83" s="74">
        <v>0</v>
      </c>
      <c r="O83" s="17"/>
      <c r="P83" s="8">
        <v>2022</v>
      </c>
      <c r="Q83" s="74">
        <v>100</v>
      </c>
      <c r="R83" s="17"/>
      <c r="S83" s="8">
        <v>2022</v>
      </c>
      <c r="T83" s="47">
        <v>100</v>
      </c>
      <c r="U83" s="19"/>
      <c r="V83" s="8">
        <v>2022</v>
      </c>
      <c r="W83" s="124">
        <v>50</v>
      </c>
      <c r="X83" s="17"/>
      <c r="Y83" s="8">
        <v>2022</v>
      </c>
      <c r="Z83" s="94">
        <v>100</v>
      </c>
      <c r="AA83" s="17"/>
    </row>
    <row r="84" spans="1:33" s="1" customFormat="1" ht="25" customHeight="1">
      <c r="A84" s="8">
        <v>2023</v>
      </c>
      <c r="B84" s="16">
        <f t="shared" si="8"/>
        <v>50</v>
      </c>
      <c r="C84" s="16"/>
      <c r="D84" s="8">
        <v>2023</v>
      </c>
      <c r="E84" s="80">
        <v>50</v>
      </c>
      <c r="F84" s="17"/>
      <c r="G84" s="8">
        <v>2023</v>
      </c>
      <c r="H84" s="80">
        <v>0</v>
      </c>
      <c r="I84" s="17"/>
      <c r="J84" s="8">
        <v>2023</v>
      </c>
      <c r="K84" s="109">
        <f t="shared" si="9"/>
        <v>50</v>
      </c>
      <c r="L84" s="80"/>
      <c r="M84" s="8">
        <v>2023</v>
      </c>
      <c r="N84" s="74">
        <v>0</v>
      </c>
      <c r="O84" s="17" t="s">
        <v>510</v>
      </c>
      <c r="P84" s="8">
        <v>2023</v>
      </c>
      <c r="Q84" s="74">
        <v>100</v>
      </c>
      <c r="R84" s="17"/>
      <c r="S84" s="8">
        <v>2023</v>
      </c>
      <c r="T84" s="45">
        <v>50</v>
      </c>
      <c r="U84" s="83" t="s">
        <v>511</v>
      </c>
      <c r="V84" s="8">
        <v>2023</v>
      </c>
      <c r="W84" s="74">
        <v>50</v>
      </c>
      <c r="X84" s="17" t="s">
        <v>512</v>
      </c>
      <c r="Y84" s="8">
        <v>2023</v>
      </c>
      <c r="Z84" s="94">
        <v>100</v>
      </c>
      <c r="AA84" s="17" t="s">
        <v>513</v>
      </c>
    </row>
    <row r="85" spans="1:33" s="1" customFormat="1" ht="39" customHeight="1">
      <c r="A85" s="8">
        <v>2024</v>
      </c>
      <c r="B85" s="16">
        <f t="shared" si="8"/>
        <v>50</v>
      </c>
      <c r="C85" s="16"/>
      <c r="D85" s="8">
        <v>2024</v>
      </c>
      <c r="E85" s="80">
        <v>50</v>
      </c>
      <c r="F85" s="17"/>
      <c r="G85" s="8">
        <v>2024</v>
      </c>
      <c r="H85" s="80">
        <v>0</v>
      </c>
      <c r="I85" s="17"/>
      <c r="J85" s="8">
        <v>2024</v>
      </c>
      <c r="K85" s="109">
        <f t="shared" si="9"/>
        <v>50</v>
      </c>
      <c r="L85" s="80"/>
      <c r="M85" s="8">
        <v>2024</v>
      </c>
      <c r="N85" s="74">
        <v>0</v>
      </c>
      <c r="O85" s="17"/>
      <c r="P85" s="8">
        <v>2024</v>
      </c>
      <c r="Q85" s="74">
        <v>100</v>
      </c>
      <c r="R85" s="17"/>
      <c r="S85" s="8">
        <v>2024</v>
      </c>
      <c r="T85" s="45">
        <v>50</v>
      </c>
      <c r="U85" s="19" t="s">
        <v>514</v>
      </c>
      <c r="V85" s="8">
        <v>2024</v>
      </c>
      <c r="W85" s="74">
        <v>50</v>
      </c>
      <c r="X85" s="17"/>
      <c r="Y85" s="8">
        <v>2024</v>
      </c>
      <c r="Z85" s="94">
        <v>100</v>
      </c>
      <c r="AA85" s="17"/>
    </row>
    <row r="86" spans="1:33" s="1" customFormat="1" ht="24.75" customHeight="1">
      <c r="W86" s="39"/>
    </row>
    <row r="87" spans="1:33" s="1" customFormat="1" ht="24.75" customHeight="1">
      <c r="A87" s="101" t="s">
        <v>5</v>
      </c>
      <c r="B87" s="341" t="s">
        <v>265</v>
      </c>
      <c r="C87" s="342"/>
      <c r="D87" s="342"/>
      <c r="E87" s="342"/>
      <c r="F87" s="342"/>
      <c r="G87" s="342"/>
      <c r="H87" s="342"/>
      <c r="I87" s="342"/>
      <c r="J87" s="342"/>
      <c r="K87" s="342"/>
      <c r="L87" s="342"/>
      <c r="M87" s="342"/>
      <c r="N87" s="342"/>
      <c r="O87" s="342"/>
      <c r="P87" s="342"/>
      <c r="Q87" s="342"/>
      <c r="R87" s="342"/>
      <c r="S87" s="342"/>
      <c r="T87" s="342"/>
      <c r="U87" s="342"/>
      <c r="V87" s="342"/>
      <c r="W87" s="342"/>
      <c r="X87" s="342"/>
      <c r="Y87" s="342"/>
      <c r="Z87" s="342"/>
      <c r="AA87" s="342"/>
      <c r="AB87" s="342"/>
      <c r="AC87" s="342"/>
      <c r="AD87" s="342"/>
      <c r="AE87" s="342"/>
      <c r="AF87" s="342"/>
      <c r="AG87" s="343"/>
    </row>
    <row r="88" spans="1:33" s="1" customFormat="1" ht="24.75" customHeight="1">
      <c r="A88" s="101" t="s">
        <v>7</v>
      </c>
      <c r="B88" s="312" t="s">
        <v>266</v>
      </c>
      <c r="C88" s="312"/>
      <c r="D88" s="101" t="s">
        <v>7</v>
      </c>
      <c r="E88" s="312" t="s">
        <v>267</v>
      </c>
      <c r="F88" s="312"/>
      <c r="G88" s="101" t="s">
        <v>7</v>
      </c>
      <c r="H88" s="312" t="s">
        <v>268</v>
      </c>
      <c r="I88" s="312"/>
      <c r="J88" s="101" t="s">
        <v>7</v>
      </c>
      <c r="K88" s="312"/>
      <c r="L88" s="312"/>
      <c r="M88" s="101" t="s">
        <v>7</v>
      </c>
      <c r="N88" s="312"/>
      <c r="O88" s="312"/>
      <c r="P88" s="101" t="s">
        <v>7</v>
      </c>
      <c r="Q88" s="312"/>
      <c r="R88" s="312"/>
      <c r="S88" s="101" t="s">
        <v>7</v>
      </c>
      <c r="T88" s="312"/>
      <c r="U88" s="312"/>
      <c r="V88" s="101" t="s">
        <v>7</v>
      </c>
      <c r="W88" s="312" t="s">
        <v>269</v>
      </c>
      <c r="X88" s="312"/>
      <c r="Y88" s="101" t="s">
        <v>7</v>
      </c>
      <c r="Z88" s="312" t="s">
        <v>270</v>
      </c>
      <c r="AA88" s="312"/>
      <c r="AB88" s="101" t="s">
        <v>7</v>
      </c>
      <c r="AC88" s="312" t="s">
        <v>271</v>
      </c>
      <c r="AD88" s="312"/>
      <c r="AE88" s="101" t="s">
        <v>7</v>
      </c>
      <c r="AF88" s="312" t="s">
        <v>272</v>
      </c>
      <c r="AG88" s="312"/>
    </row>
    <row r="89" spans="1:33" s="1" customFormat="1" ht="24.75" customHeight="1">
      <c r="A89" s="101" t="s">
        <v>13</v>
      </c>
      <c r="B89" s="8"/>
      <c r="C89" s="8"/>
      <c r="D89" s="101" t="s">
        <v>13</v>
      </c>
      <c r="E89" s="8"/>
      <c r="F89" s="8"/>
      <c r="G89" s="101" t="s">
        <v>13</v>
      </c>
      <c r="H89" s="311"/>
      <c r="I89" s="311"/>
      <c r="J89" s="101" t="s">
        <v>13</v>
      </c>
      <c r="K89" s="311" t="s">
        <v>273</v>
      </c>
      <c r="L89" s="311"/>
      <c r="M89" s="101" t="s">
        <v>13</v>
      </c>
      <c r="N89" s="311" t="s">
        <v>274</v>
      </c>
      <c r="O89" s="311"/>
      <c r="P89" s="101" t="s">
        <v>13</v>
      </c>
      <c r="Q89" s="311" t="s">
        <v>275</v>
      </c>
      <c r="R89" s="311"/>
      <c r="S89" s="101" t="s">
        <v>13</v>
      </c>
      <c r="T89" s="311" t="s">
        <v>276</v>
      </c>
      <c r="U89" s="311"/>
      <c r="V89" s="101" t="s">
        <v>13</v>
      </c>
      <c r="W89" s="311"/>
      <c r="X89" s="311"/>
      <c r="Y89" s="101" t="s">
        <v>13</v>
      </c>
      <c r="Z89" s="311"/>
      <c r="AA89" s="311"/>
      <c r="AB89" s="101" t="s">
        <v>13</v>
      </c>
      <c r="AC89" s="311"/>
      <c r="AD89" s="311"/>
      <c r="AE89" s="101" t="s">
        <v>13</v>
      </c>
      <c r="AF89" s="311"/>
      <c r="AG89" s="311"/>
    </row>
    <row r="90" spans="1:33" s="1" customFormat="1" ht="24.75" customHeight="1">
      <c r="A90" s="8" t="s">
        <v>19</v>
      </c>
      <c r="B90" s="338" t="s">
        <v>277</v>
      </c>
      <c r="C90" s="338"/>
      <c r="D90" s="8" t="s">
        <v>19</v>
      </c>
      <c r="E90" s="338" t="s">
        <v>278</v>
      </c>
      <c r="F90" s="338"/>
      <c r="G90" s="8" t="s">
        <v>19</v>
      </c>
      <c r="H90" s="338" t="s">
        <v>279</v>
      </c>
      <c r="I90" s="338"/>
      <c r="J90" s="8" t="s">
        <v>19</v>
      </c>
      <c r="K90" s="338" t="s">
        <v>280</v>
      </c>
      <c r="L90" s="338"/>
      <c r="M90" s="8" t="s">
        <v>19</v>
      </c>
      <c r="N90" s="338" t="s">
        <v>141</v>
      </c>
      <c r="O90" s="338"/>
      <c r="P90" s="8" t="s">
        <v>19</v>
      </c>
      <c r="Q90" s="338" t="s">
        <v>281</v>
      </c>
      <c r="R90" s="338"/>
      <c r="S90" s="8" t="s">
        <v>19</v>
      </c>
      <c r="T90" s="340" t="s">
        <v>282</v>
      </c>
      <c r="U90" s="340"/>
      <c r="V90" s="8" t="s">
        <v>19</v>
      </c>
      <c r="W90" s="338" t="s">
        <v>283</v>
      </c>
      <c r="X90" s="338"/>
      <c r="Y90" s="8" t="s">
        <v>19</v>
      </c>
      <c r="Z90" s="338" t="s">
        <v>284</v>
      </c>
      <c r="AA90" s="338"/>
      <c r="AB90" s="8" t="s">
        <v>19</v>
      </c>
      <c r="AC90" s="338" t="s">
        <v>285</v>
      </c>
      <c r="AD90" s="338"/>
      <c r="AE90" s="8" t="s">
        <v>19</v>
      </c>
      <c r="AF90" s="338" t="s">
        <v>286</v>
      </c>
      <c r="AG90" s="338"/>
    </row>
    <row r="91" spans="1:33" s="1" customFormat="1" ht="36" customHeight="1">
      <c r="A91" s="8" t="s">
        <v>30</v>
      </c>
      <c r="B91" s="338" t="s">
        <v>31</v>
      </c>
      <c r="C91" s="338"/>
      <c r="D91" s="8" t="s">
        <v>30</v>
      </c>
      <c r="E91" s="310" t="s">
        <v>287</v>
      </c>
      <c r="F91" s="333"/>
      <c r="G91" s="8" t="s">
        <v>30</v>
      </c>
      <c r="H91" s="333" t="s">
        <v>288</v>
      </c>
      <c r="I91" s="333"/>
      <c r="J91" s="8" t="s">
        <v>30</v>
      </c>
      <c r="K91" s="333" t="s">
        <v>289</v>
      </c>
      <c r="L91" s="333"/>
      <c r="M91" s="8" t="s">
        <v>30</v>
      </c>
      <c r="N91" s="333" t="s">
        <v>290</v>
      </c>
      <c r="O91" s="333"/>
      <c r="P91" s="8" t="s">
        <v>30</v>
      </c>
      <c r="Q91" s="333" t="s">
        <v>291</v>
      </c>
      <c r="R91" s="333"/>
      <c r="S91" s="8" t="s">
        <v>30</v>
      </c>
      <c r="T91" s="339" t="s">
        <v>292</v>
      </c>
      <c r="U91" s="339"/>
      <c r="V91" s="8" t="s">
        <v>30</v>
      </c>
      <c r="W91" s="337" t="s">
        <v>293</v>
      </c>
      <c r="X91" s="337"/>
      <c r="Y91" s="8" t="s">
        <v>30</v>
      </c>
      <c r="Z91" s="333" t="s">
        <v>294</v>
      </c>
      <c r="AA91" s="333"/>
      <c r="AB91" s="8" t="s">
        <v>30</v>
      </c>
      <c r="AC91" s="333" t="s">
        <v>295</v>
      </c>
      <c r="AD91" s="333"/>
      <c r="AE91" s="8" t="s">
        <v>30</v>
      </c>
      <c r="AF91" s="333" t="s">
        <v>296</v>
      </c>
      <c r="AG91" s="333"/>
    </row>
    <row r="92" spans="1:33" s="1" customFormat="1" ht="36" customHeight="1">
      <c r="A92" s="8" t="s">
        <v>41</v>
      </c>
      <c r="B92" s="333" t="s">
        <v>42</v>
      </c>
      <c r="C92" s="333"/>
      <c r="D92" s="8" t="s">
        <v>41</v>
      </c>
      <c r="E92" s="333" t="s">
        <v>297</v>
      </c>
      <c r="F92" s="333"/>
      <c r="G92" s="8" t="s">
        <v>41</v>
      </c>
      <c r="H92" s="333" t="s">
        <v>42</v>
      </c>
      <c r="I92" s="333"/>
      <c r="J92" s="8" t="s">
        <v>41</v>
      </c>
      <c r="K92" s="333" t="s">
        <v>298</v>
      </c>
      <c r="L92" s="333"/>
      <c r="M92" s="8" t="s">
        <v>41</v>
      </c>
      <c r="N92" s="333" t="s">
        <v>298</v>
      </c>
      <c r="O92" s="333"/>
      <c r="P92" s="8" t="s">
        <v>41</v>
      </c>
      <c r="Q92" s="333" t="s">
        <v>298</v>
      </c>
      <c r="R92" s="333"/>
      <c r="S92" s="8" t="s">
        <v>41</v>
      </c>
      <c r="T92" s="333" t="s">
        <v>298</v>
      </c>
      <c r="U92" s="333"/>
      <c r="V92" s="8" t="s">
        <v>41</v>
      </c>
      <c r="W92" s="333" t="s">
        <v>299</v>
      </c>
      <c r="X92" s="333"/>
      <c r="Y92" s="8" t="s">
        <v>41</v>
      </c>
      <c r="Z92" s="333" t="s">
        <v>300</v>
      </c>
      <c r="AA92" s="333"/>
      <c r="AB92" s="8" t="s">
        <v>41</v>
      </c>
      <c r="AC92" s="333" t="s">
        <v>301</v>
      </c>
      <c r="AD92" s="333"/>
      <c r="AE92" s="8" t="s">
        <v>41</v>
      </c>
      <c r="AF92" s="333" t="s">
        <v>302</v>
      </c>
      <c r="AG92" s="333"/>
    </row>
    <row r="93" spans="1:33" s="1" customFormat="1" ht="24.75" customHeight="1">
      <c r="A93" s="8" t="s">
        <v>121</v>
      </c>
      <c r="B93" s="8" t="s">
        <v>54</v>
      </c>
      <c r="C93" s="8" t="s">
        <v>122</v>
      </c>
      <c r="D93" s="8" t="s">
        <v>121</v>
      </c>
      <c r="E93" s="8" t="s">
        <v>54</v>
      </c>
      <c r="F93" s="8" t="s">
        <v>122</v>
      </c>
      <c r="G93" s="8" t="s">
        <v>121</v>
      </c>
      <c r="H93" s="8" t="s">
        <v>54</v>
      </c>
      <c r="I93" s="8" t="s">
        <v>122</v>
      </c>
      <c r="J93" s="8" t="s">
        <v>121</v>
      </c>
      <c r="K93" s="8" t="s">
        <v>54</v>
      </c>
      <c r="L93" s="8" t="s">
        <v>122</v>
      </c>
      <c r="M93" s="8" t="s">
        <v>121</v>
      </c>
      <c r="N93" s="8" t="s">
        <v>54</v>
      </c>
      <c r="O93" s="8" t="s">
        <v>122</v>
      </c>
      <c r="P93" s="8" t="s">
        <v>121</v>
      </c>
      <c r="Q93" s="8" t="s">
        <v>54</v>
      </c>
      <c r="R93" s="8" t="s">
        <v>122</v>
      </c>
      <c r="S93" s="8" t="s">
        <v>121</v>
      </c>
      <c r="T93" s="8" t="s">
        <v>54</v>
      </c>
      <c r="U93" s="8" t="s">
        <v>122</v>
      </c>
      <c r="V93" s="8" t="s">
        <v>121</v>
      </c>
      <c r="W93" s="8" t="s">
        <v>54</v>
      </c>
      <c r="X93" s="8" t="s">
        <v>122</v>
      </c>
      <c r="Y93" s="8" t="s">
        <v>121</v>
      </c>
      <c r="Z93" s="8" t="s">
        <v>54</v>
      </c>
      <c r="AA93" s="8" t="s">
        <v>122</v>
      </c>
      <c r="AB93" s="8" t="s">
        <v>121</v>
      </c>
      <c r="AC93" s="8"/>
      <c r="AD93" s="8"/>
      <c r="AE93" s="8" t="s">
        <v>121</v>
      </c>
      <c r="AF93" s="8"/>
      <c r="AG93" s="8"/>
    </row>
    <row r="94" spans="1:33" s="1" customFormat="1" ht="21" customHeight="1">
      <c r="A94" s="8">
        <v>2020</v>
      </c>
      <c r="B94" s="16">
        <f>AVERAGE(E94,H94, W94,((Z94+AC94+AF94)/3))</f>
        <v>61.833333333333329</v>
      </c>
      <c r="C94" s="16"/>
      <c r="D94" s="8">
        <v>2020</v>
      </c>
      <c r="E94" s="122">
        <v>50</v>
      </c>
      <c r="F94" s="126" t="s">
        <v>515</v>
      </c>
      <c r="G94" s="8">
        <v>2020</v>
      </c>
      <c r="H94" s="109">
        <f t="shared" ref="H94:H98" si="10">AVERAGE(K94,N94,Q94,T94)</f>
        <v>50</v>
      </c>
      <c r="I94" s="80"/>
      <c r="J94" s="8">
        <v>2020</v>
      </c>
      <c r="K94" s="122">
        <v>50</v>
      </c>
      <c r="L94" s="126" t="s">
        <v>516</v>
      </c>
      <c r="M94" s="8">
        <v>2020</v>
      </c>
      <c r="N94" s="122">
        <v>50</v>
      </c>
      <c r="O94" s="126" t="s">
        <v>517</v>
      </c>
      <c r="P94" s="8">
        <v>2020</v>
      </c>
      <c r="Q94" s="122">
        <v>50</v>
      </c>
      <c r="R94" s="126" t="s">
        <v>518</v>
      </c>
      <c r="S94" s="8">
        <v>2020</v>
      </c>
      <c r="T94" s="122">
        <v>50</v>
      </c>
      <c r="U94" s="126" t="s">
        <v>519</v>
      </c>
      <c r="V94" s="8">
        <v>2020</v>
      </c>
      <c r="W94" s="127">
        <v>75</v>
      </c>
      <c r="X94" s="106" t="s">
        <v>520</v>
      </c>
      <c r="Y94" s="8">
        <v>2020</v>
      </c>
      <c r="Z94" s="95">
        <v>100</v>
      </c>
      <c r="AA94" s="111" t="s">
        <v>521</v>
      </c>
      <c r="AB94" s="8">
        <v>2020</v>
      </c>
      <c r="AC94" s="80">
        <v>67</v>
      </c>
      <c r="AD94" s="107" t="s">
        <v>522</v>
      </c>
      <c r="AE94" s="8">
        <v>2020</v>
      </c>
      <c r="AF94" s="95">
        <v>50</v>
      </c>
      <c r="AG94" s="111" t="s">
        <v>523</v>
      </c>
    </row>
    <row r="95" spans="1:33" s="1" customFormat="1" ht="24.75" customHeight="1">
      <c r="A95" s="8">
        <v>2021</v>
      </c>
      <c r="B95" s="16">
        <f>AVERAGE(E95,H95, W95,((Z95+AC95+AF95)/3))</f>
        <v>61.833333333333329</v>
      </c>
      <c r="C95" s="16"/>
      <c r="D95" s="8">
        <v>2021</v>
      </c>
      <c r="E95" s="122">
        <v>50</v>
      </c>
      <c r="F95" s="19"/>
      <c r="G95" s="8">
        <v>2021</v>
      </c>
      <c r="H95" s="109">
        <f t="shared" si="10"/>
        <v>50</v>
      </c>
      <c r="I95" s="80"/>
      <c r="J95" s="8">
        <v>2021</v>
      </c>
      <c r="K95" s="122">
        <v>50</v>
      </c>
      <c r="L95" s="19"/>
      <c r="M95" s="8">
        <v>2021</v>
      </c>
      <c r="N95" s="122">
        <v>50</v>
      </c>
      <c r="O95" s="19"/>
      <c r="P95" s="8">
        <v>2021</v>
      </c>
      <c r="Q95" s="122">
        <v>50</v>
      </c>
      <c r="R95" s="19"/>
      <c r="S95" s="8">
        <v>2021</v>
      </c>
      <c r="T95" s="122">
        <v>50</v>
      </c>
      <c r="U95" s="19"/>
      <c r="V95" s="8">
        <v>2021</v>
      </c>
      <c r="W95" s="80">
        <v>75</v>
      </c>
      <c r="X95" s="17"/>
      <c r="Y95" s="8">
        <v>2021</v>
      </c>
      <c r="Z95" s="80">
        <v>100</v>
      </c>
      <c r="AA95" s="17"/>
      <c r="AB95" s="8">
        <v>2021</v>
      </c>
      <c r="AC95" s="80">
        <v>67</v>
      </c>
      <c r="AD95" s="17"/>
      <c r="AE95" s="8">
        <v>2021</v>
      </c>
      <c r="AF95" s="80">
        <v>50</v>
      </c>
      <c r="AG95" s="17"/>
    </row>
    <row r="96" spans="1:33" s="1" customFormat="1" ht="24.75" customHeight="1">
      <c r="A96" s="8">
        <v>2022</v>
      </c>
      <c r="B96" s="16">
        <f>AVERAGE(E96,H96, W96,((Z96+AC96+AF96)/3))</f>
        <v>61.833333333333329</v>
      </c>
      <c r="C96" s="16"/>
      <c r="D96" s="8">
        <v>2022</v>
      </c>
      <c r="E96" s="122">
        <v>50</v>
      </c>
      <c r="F96" s="19"/>
      <c r="G96" s="8">
        <v>2022</v>
      </c>
      <c r="H96" s="109">
        <f t="shared" si="10"/>
        <v>50</v>
      </c>
      <c r="I96" s="80"/>
      <c r="J96" s="8">
        <v>2022</v>
      </c>
      <c r="K96" s="122">
        <v>50</v>
      </c>
      <c r="L96" s="19"/>
      <c r="M96" s="8">
        <v>2022</v>
      </c>
      <c r="N96" s="122">
        <v>50</v>
      </c>
      <c r="O96" s="19"/>
      <c r="P96" s="8">
        <v>2022</v>
      </c>
      <c r="Q96" s="122">
        <v>50</v>
      </c>
      <c r="R96" s="19"/>
      <c r="S96" s="8">
        <v>2022</v>
      </c>
      <c r="T96" s="122">
        <v>50</v>
      </c>
      <c r="U96" s="19"/>
      <c r="V96" s="8">
        <v>2022</v>
      </c>
      <c r="W96" s="80">
        <v>75</v>
      </c>
      <c r="X96" s="17"/>
      <c r="Y96" s="8">
        <v>2022</v>
      </c>
      <c r="Z96" s="80">
        <v>100</v>
      </c>
      <c r="AA96" s="17"/>
      <c r="AB96" s="8">
        <v>2022</v>
      </c>
      <c r="AC96" s="80">
        <v>67</v>
      </c>
      <c r="AD96" s="17"/>
      <c r="AE96" s="8">
        <v>2022</v>
      </c>
      <c r="AF96" s="80">
        <v>50</v>
      </c>
      <c r="AG96" s="17"/>
    </row>
    <row r="97" spans="1:51" s="1" customFormat="1" ht="24.75" customHeight="1">
      <c r="A97" s="8">
        <v>2023</v>
      </c>
      <c r="B97" s="16">
        <f>AVERAGE(E97,H97, W97,((Z97+AC97+AF97)/3))</f>
        <v>61.833333333333329</v>
      </c>
      <c r="C97" s="16"/>
      <c r="D97" s="8">
        <v>2023</v>
      </c>
      <c r="E97" s="122">
        <v>50</v>
      </c>
      <c r="F97" s="19"/>
      <c r="G97" s="8">
        <v>2023</v>
      </c>
      <c r="H97" s="109">
        <f t="shared" si="10"/>
        <v>50</v>
      </c>
      <c r="I97" s="80"/>
      <c r="J97" s="8">
        <v>2023</v>
      </c>
      <c r="K97" s="122">
        <v>50</v>
      </c>
      <c r="L97" s="19"/>
      <c r="M97" s="8">
        <v>2023</v>
      </c>
      <c r="N97" s="122">
        <v>50</v>
      </c>
      <c r="O97" s="19"/>
      <c r="P97" s="8">
        <v>2023</v>
      </c>
      <c r="Q97" s="122">
        <v>50</v>
      </c>
      <c r="R97" s="19"/>
      <c r="S97" s="8">
        <v>2023</v>
      </c>
      <c r="T97" s="122">
        <v>50</v>
      </c>
      <c r="U97" s="19"/>
      <c r="V97" s="8">
        <v>2023</v>
      </c>
      <c r="W97" s="80">
        <v>75</v>
      </c>
      <c r="X97" s="17"/>
      <c r="Y97" s="8">
        <v>2023</v>
      </c>
      <c r="Z97" s="80">
        <v>100</v>
      </c>
      <c r="AA97" s="17"/>
      <c r="AB97" s="8">
        <v>2023</v>
      </c>
      <c r="AC97" s="80">
        <v>67</v>
      </c>
      <c r="AD97" s="17"/>
      <c r="AE97" s="8">
        <v>2023</v>
      </c>
      <c r="AF97" s="80">
        <v>50</v>
      </c>
      <c r="AG97" s="17"/>
    </row>
    <row r="98" spans="1:51" s="1" customFormat="1" ht="24.75" customHeight="1">
      <c r="A98" s="8">
        <v>2024</v>
      </c>
      <c r="B98" s="16">
        <f>AVERAGE(E98,H98, W98,((Z98+AC98+AF98)/3))</f>
        <v>61.833333333333329</v>
      </c>
      <c r="C98" s="16"/>
      <c r="D98" s="8">
        <v>2024</v>
      </c>
      <c r="E98" s="122">
        <v>50</v>
      </c>
      <c r="F98" s="19"/>
      <c r="G98" s="8">
        <v>2024</v>
      </c>
      <c r="H98" s="109">
        <f t="shared" si="10"/>
        <v>50</v>
      </c>
      <c r="I98" s="80"/>
      <c r="J98" s="8">
        <v>2024</v>
      </c>
      <c r="K98" s="122">
        <v>50</v>
      </c>
      <c r="L98" s="19"/>
      <c r="M98" s="8">
        <v>2024</v>
      </c>
      <c r="N98" s="122">
        <v>50</v>
      </c>
      <c r="O98" s="19"/>
      <c r="P98" s="8">
        <v>2024</v>
      </c>
      <c r="Q98" s="122">
        <v>50</v>
      </c>
      <c r="R98" s="19"/>
      <c r="S98" s="8">
        <v>2024</v>
      </c>
      <c r="T98" s="122">
        <v>50</v>
      </c>
      <c r="U98" s="19"/>
      <c r="V98" s="8">
        <v>2024</v>
      </c>
      <c r="W98" s="80">
        <v>75</v>
      </c>
      <c r="X98" s="17"/>
      <c r="Y98" s="8">
        <v>2024</v>
      </c>
      <c r="Z98" s="80">
        <v>100</v>
      </c>
      <c r="AA98" s="17"/>
      <c r="AB98" s="8">
        <v>2024</v>
      </c>
      <c r="AC98" s="80">
        <v>67</v>
      </c>
      <c r="AD98" s="17"/>
      <c r="AE98" s="8">
        <v>2024</v>
      </c>
      <c r="AF98" s="80">
        <v>50</v>
      </c>
      <c r="AG98" s="17"/>
    </row>
    <row r="99" spans="1:51" s="1" customFormat="1" ht="24.75" customHeight="1"/>
    <row r="100" spans="1:51" s="38" customFormat="1" ht="24.75" customHeight="1">
      <c r="A100" s="102" t="s">
        <v>5</v>
      </c>
      <c r="B100" s="334" t="s">
        <v>305</v>
      </c>
      <c r="C100" s="335"/>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c r="AG100" s="335"/>
      <c r="AH100" s="335"/>
      <c r="AI100" s="335"/>
      <c r="AJ100" s="335"/>
      <c r="AK100" s="335"/>
      <c r="AL100" s="335"/>
      <c r="AM100" s="336"/>
      <c r="AN100" s="40"/>
      <c r="AO100" s="40"/>
      <c r="AP100" s="40"/>
      <c r="AQ100" s="40"/>
      <c r="AR100" s="40"/>
      <c r="AS100" s="40"/>
      <c r="AT100" s="40"/>
      <c r="AU100" s="40"/>
      <c r="AV100" s="40"/>
      <c r="AW100" s="40"/>
      <c r="AX100" s="40"/>
      <c r="AY100" s="40"/>
    </row>
    <row r="101" spans="1:51" s="38" customFormat="1" ht="24.75" customHeight="1">
      <c r="A101" s="102" t="s">
        <v>7</v>
      </c>
      <c r="B101" s="313" t="s">
        <v>306</v>
      </c>
      <c r="C101" s="313"/>
      <c r="D101" s="102" t="s">
        <v>7</v>
      </c>
      <c r="E101" s="313" t="s">
        <v>307</v>
      </c>
      <c r="F101" s="313"/>
      <c r="G101" s="102" t="s">
        <v>7</v>
      </c>
      <c r="H101" s="313">
        <v>148</v>
      </c>
      <c r="I101" s="313"/>
      <c r="J101" s="102" t="s">
        <v>7</v>
      </c>
      <c r="K101" s="313" t="s">
        <v>308</v>
      </c>
      <c r="L101" s="313"/>
      <c r="M101" s="102" t="s">
        <v>7</v>
      </c>
      <c r="N101" s="313">
        <v>149</v>
      </c>
      <c r="O101" s="313"/>
      <c r="P101" s="102" t="s">
        <v>7</v>
      </c>
      <c r="Q101" s="313" t="s">
        <v>309</v>
      </c>
      <c r="R101" s="313"/>
      <c r="S101" s="102" t="s">
        <v>7</v>
      </c>
      <c r="T101" s="313">
        <v>150</v>
      </c>
      <c r="U101" s="313"/>
      <c r="V101" s="102" t="s">
        <v>7</v>
      </c>
      <c r="W101" s="313" t="s">
        <v>310</v>
      </c>
      <c r="X101" s="313"/>
      <c r="Y101" s="102" t="s">
        <v>7</v>
      </c>
      <c r="Z101" s="313" t="s">
        <v>311</v>
      </c>
      <c r="AA101" s="313"/>
      <c r="AB101" s="102" t="s">
        <v>7</v>
      </c>
      <c r="AC101" s="313" t="s">
        <v>312</v>
      </c>
      <c r="AD101" s="313"/>
      <c r="AE101" s="102" t="s">
        <v>7</v>
      </c>
      <c r="AF101" s="313">
        <v>159</v>
      </c>
      <c r="AG101" s="313"/>
      <c r="AH101" s="102" t="s">
        <v>7</v>
      </c>
      <c r="AI101" s="313">
        <v>163</v>
      </c>
      <c r="AJ101" s="313"/>
      <c r="AK101" s="102" t="s">
        <v>7</v>
      </c>
      <c r="AL101" s="313">
        <v>165</v>
      </c>
      <c r="AM101" s="313"/>
      <c r="AN101" s="40"/>
      <c r="AO101" s="40"/>
      <c r="AP101" s="40"/>
      <c r="AQ101" s="40"/>
      <c r="AR101" s="40"/>
      <c r="AS101" s="40"/>
      <c r="AT101" s="40"/>
      <c r="AU101" s="40"/>
      <c r="AV101" s="40"/>
      <c r="AW101" s="40"/>
      <c r="AX101" s="40"/>
      <c r="AY101" s="40"/>
    </row>
    <row r="102" spans="1:51" s="38" customFormat="1" ht="24.75" customHeight="1">
      <c r="A102" s="102" t="s">
        <v>13</v>
      </c>
      <c r="B102" s="25"/>
      <c r="C102" s="25"/>
      <c r="D102" s="102" t="s">
        <v>13</v>
      </c>
      <c r="E102" s="307"/>
      <c r="F102" s="307"/>
      <c r="G102" s="102" t="s">
        <v>13</v>
      </c>
      <c r="H102" s="307"/>
      <c r="I102" s="307"/>
      <c r="J102" s="102" t="s">
        <v>13</v>
      </c>
      <c r="K102" s="307"/>
      <c r="L102" s="307"/>
      <c r="M102" s="102" t="s">
        <v>13</v>
      </c>
      <c r="N102" s="307"/>
      <c r="O102" s="307"/>
      <c r="P102" s="102" t="s">
        <v>13</v>
      </c>
      <c r="Q102" s="307"/>
      <c r="R102" s="307"/>
      <c r="S102" s="102" t="s">
        <v>13</v>
      </c>
      <c r="T102" s="307"/>
      <c r="U102" s="307"/>
      <c r="V102" s="102" t="s">
        <v>13</v>
      </c>
      <c r="W102" s="307"/>
      <c r="X102" s="307"/>
      <c r="Y102" s="102" t="s">
        <v>13</v>
      </c>
      <c r="Z102" s="307"/>
      <c r="AA102" s="307"/>
      <c r="AB102" s="102" t="s">
        <v>13</v>
      </c>
      <c r="AC102" s="307"/>
      <c r="AD102" s="307"/>
      <c r="AE102" s="102" t="s">
        <v>13</v>
      </c>
      <c r="AF102" s="307"/>
      <c r="AG102" s="307"/>
      <c r="AH102" s="102" t="s">
        <v>13</v>
      </c>
      <c r="AI102" s="307"/>
      <c r="AJ102" s="307"/>
      <c r="AK102" s="102" t="s">
        <v>13</v>
      </c>
      <c r="AL102" s="307"/>
      <c r="AM102" s="307"/>
      <c r="AN102" s="40"/>
      <c r="AO102" s="40"/>
      <c r="AP102" s="40"/>
      <c r="AQ102" s="40"/>
      <c r="AR102" s="40"/>
      <c r="AS102" s="40"/>
      <c r="AT102" s="40"/>
      <c r="AU102" s="40"/>
      <c r="AV102" s="40"/>
      <c r="AW102" s="40"/>
      <c r="AX102" s="40"/>
      <c r="AY102" s="40"/>
    </row>
    <row r="103" spans="1:51" s="38" customFormat="1" ht="24.5" customHeight="1">
      <c r="A103" s="25" t="s">
        <v>19</v>
      </c>
      <c r="B103" s="332" t="s">
        <v>313</v>
      </c>
      <c r="C103" s="332"/>
      <c r="D103" s="25" t="s">
        <v>19</v>
      </c>
      <c r="E103" s="332" t="s">
        <v>314</v>
      </c>
      <c r="F103" s="332"/>
      <c r="G103" s="25" t="s">
        <v>19</v>
      </c>
      <c r="H103" s="332" t="s">
        <v>315</v>
      </c>
      <c r="I103" s="332"/>
      <c r="J103" s="25" t="s">
        <v>19</v>
      </c>
      <c r="K103" s="332" t="s">
        <v>316</v>
      </c>
      <c r="L103" s="332"/>
      <c r="M103" s="25" t="s">
        <v>19</v>
      </c>
      <c r="N103" s="332" t="s">
        <v>317</v>
      </c>
      <c r="O103" s="332"/>
      <c r="P103" s="25" t="s">
        <v>19</v>
      </c>
      <c r="Q103" s="332" t="s">
        <v>318</v>
      </c>
      <c r="R103" s="332"/>
      <c r="S103" s="25" t="s">
        <v>19</v>
      </c>
      <c r="T103" s="332" t="s">
        <v>319</v>
      </c>
      <c r="U103" s="332"/>
      <c r="V103" s="25" t="s">
        <v>19</v>
      </c>
      <c r="W103" s="332" t="s">
        <v>320</v>
      </c>
      <c r="X103" s="332"/>
      <c r="Y103" s="25" t="s">
        <v>19</v>
      </c>
      <c r="Z103" s="332" t="s">
        <v>321</v>
      </c>
      <c r="AA103" s="332"/>
      <c r="AB103" s="25" t="s">
        <v>19</v>
      </c>
      <c r="AC103" s="332" t="s">
        <v>322</v>
      </c>
      <c r="AD103" s="332"/>
      <c r="AE103" s="25" t="s">
        <v>19</v>
      </c>
      <c r="AF103" s="332" t="s">
        <v>323</v>
      </c>
      <c r="AG103" s="332"/>
      <c r="AH103" s="25" t="s">
        <v>19</v>
      </c>
      <c r="AI103" s="332" t="s">
        <v>324</v>
      </c>
      <c r="AJ103" s="332"/>
      <c r="AK103" s="25" t="s">
        <v>19</v>
      </c>
      <c r="AL103" s="332" t="s">
        <v>325</v>
      </c>
      <c r="AM103" s="332"/>
      <c r="AN103" s="40"/>
      <c r="AO103" s="40"/>
      <c r="AP103" s="40"/>
      <c r="AQ103" s="40"/>
      <c r="AR103" s="40"/>
      <c r="AS103" s="40"/>
      <c r="AT103" s="40"/>
      <c r="AU103" s="40"/>
      <c r="AV103" s="40"/>
      <c r="AW103" s="40"/>
      <c r="AX103" s="40"/>
      <c r="AY103" s="40"/>
    </row>
    <row r="104" spans="1:51" s="38" customFormat="1" ht="28" customHeight="1">
      <c r="A104" s="25" t="s">
        <v>30</v>
      </c>
      <c r="B104" s="332" t="s">
        <v>31</v>
      </c>
      <c r="C104" s="332"/>
      <c r="D104" s="25" t="s">
        <v>30</v>
      </c>
      <c r="E104" s="331" t="s">
        <v>326</v>
      </c>
      <c r="F104" s="331"/>
      <c r="G104" s="25" t="s">
        <v>30</v>
      </c>
      <c r="H104" s="331" t="s">
        <v>327</v>
      </c>
      <c r="I104" s="331"/>
      <c r="J104" s="25" t="s">
        <v>30</v>
      </c>
      <c r="K104" s="326" t="s">
        <v>328</v>
      </c>
      <c r="L104" s="331"/>
      <c r="M104" s="25" t="s">
        <v>30</v>
      </c>
      <c r="N104" s="331" t="s">
        <v>327</v>
      </c>
      <c r="O104" s="331"/>
      <c r="P104" s="25" t="s">
        <v>30</v>
      </c>
      <c r="Q104" s="331" t="s">
        <v>329</v>
      </c>
      <c r="R104" s="331"/>
      <c r="S104" s="25" t="s">
        <v>30</v>
      </c>
      <c r="T104" s="331" t="s">
        <v>327</v>
      </c>
      <c r="U104" s="331"/>
      <c r="V104" s="25" t="s">
        <v>30</v>
      </c>
      <c r="W104" s="330" t="s">
        <v>330</v>
      </c>
      <c r="X104" s="330"/>
      <c r="Y104" s="25" t="s">
        <v>30</v>
      </c>
      <c r="Z104" s="325" t="s">
        <v>331</v>
      </c>
      <c r="AA104" s="330"/>
      <c r="AB104" s="25" t="s">
        <v>30</v>
      </c>
      <c r="AC104" s="330" t="s">
        <v>332</v>
      </c>
      <c r="AD104" s="330"/>
      <c r="AE104" s="25" t="s">
        <v>30</v>
      </c>
      <c r="AF104" s="325" t="s">
        <v>333</v>
      </c>
      <c r="AG104" s="330"/>
      <c r="AH104" s="25" t="s">
        <v>30</v>
      </c>
      <c r="AI104" s="325" t="s">
        <v>334</v>
      </c>
      <c r="AJ104" s="330"/>
      <c r="AK104" s="25" t="s">
        <v>30</v>
      </c>
      <c r="AL104" s="330" t="s">
        <v>335</v>
      </c>
      <c r="AM104" s="330"/>
      <c r="AN104" s="40"/>
      <c r="AO104" s="40"/>
      <c r="AP104" s="40"/>
      <c r="AQ104" s="40"/>
      <c r="AR104" s="40"/>
      <c r="AS104" s="40"/>
      <c r="AT104" s="40"/>
      <c r="AU104" s="40"/>
      <c r="AV104" s="40"/>
      <c r="AW104" s="40"/>
      <c r="AX104" s="40"/>
      <c r="AY104" s="40"/>
    </row>
    <row r="105" spans="1:51" s="38" customFormat="1" ht="26.5" customHeight="1">
      <c r="A105" s="25" t="s">
        <v>41</v>
      </c>
      <c r="B105" s="330" t="s">
        <v>42</v>
      </c>
      <c r="C105" s="330"/>
      <c r="D105" s="25" t="s">
        <v>41</v>
      </c>
      <c r="E105" s="330" t="s">
        <v>336</v>
      </c>
      <c r="F105" s="330"/>
      <c r="G105" s="25" t="s">
        <v>41</v>
      </c>
      <c r="H105" s="330" t="s">
        <v>337</v>
      </c>
      <c r="I105" s="330"/>
      <c r="J105" s="25" t="s">
        <v>41</v>
      </c>
      <c r="K105" s="330" t="s">
        <v>338</v>
      </c>
      <c r="L105" s="330"/>
      <c r="M105" s="25" t="s">
        <v>41</v>
      </c>
      <c r="N105" s="330" t="s">
        <v>337</v>
      </c>
      <c r="O105" s="330"/>
      <c r="P105" s="25" t="s">
        <v>41</v>
      </c>
      <c r="Q105" s="330" t="s">
        <v>338</v>
      </c>
      <c r="R105" s="330"/>
      <c r="S105" s="25" t="s">
        <v>41</v>
      </c>
      <c r="T105" s="330" t="s">
        <v>337</v>
      </c>
      <c r="U105" s="330"/>
      <c r="V105" s="25" t="s">
        <v>41</v>
      </c>
      <c r="W105" s="330" t="s">
        <v>339</v>
      </c>
      <c r="X105" s="330"/>
      <c r="Y105" s="25" t="s">
        <v>41</v>
      </c>
      <c r="Z105" s="330" t="s">
        <v>339</v>
      </c>
      <c r="AA105" s="330"/>
      <c r="AB105" s="25" t="s">
        <v>41</v>
      </c>
      <c r="AC105" s="330" t="s">
        <v>340</v>
      </c>
      <c r="AD105" s="330"/>
      <c r="AE105" s="25" t="s">
        <v>41</v>
      </c>
      <c r="AF105" s="330" t="s">
        <v>341</v>
      </c>
      <c r="AG105" s="330"/>
      <c r="AH105" s="25" t="s">
        <v>41</v>
      </c>
      <c r="AI105" s="330" t="s">
        <v>342</v>
      </c>
      <c r="AJ105" s="330"/>
      <c r="AK105" s="25" t="s">
        <v>41</v>
      </c>
      <c r="AL105" s="330" t="s">
        <v>343</v>
      </c>
      <c r="AM105" s="330"/>
      <c r="AN105" s="40"/>
      <c r="AO105" s="40"/>
      <c r="AP105" s="40"/>
      <c r="AQ105" s="40"/>
      <c r="AR105" s="40"/>
      <c r="AS105" s="40"/>
      <c r="AT105" s="40"/>
      <c r="AU105" s="40"/>
      <c r="AV105" s="40"/>
      <c r="AW105" s="40"/>
      <c r="AX105" s="40"/>
      <c r="AY105" s="40"/>
    </row>
    <row r="106" spans="1:51" s="38" customFormat="1" ht="24.75" customHeight="1">
      <c r="A106" s="25" t="s">
        <v>1</v>
      </c>
      <c r="B106" s="25" t="s">
        <v>52</v>
      </c>
      <c r="C106" s="25" t="s">
        <v>53</v>
      </c>
      <c r="D106" s="25" t="s">
        <v>121</v>
      </c>
      <c r="E106" s="25" t="s">
        <v>54</v>
      </c>
      <c r="F106" s="25" t="s">
        <v>122</v>
      </c>
      <c r="G106" s="25" t="s">
        <v>121</v>
      </c>
      <c r="H106" s="25" t="s">
        <v>54</v>
      </c>
      <c r="I106" s="25" t="s">
        <v>122</v>
      </c>
      <c r="J106" s="25" t="s">
        <v>121</v>
      </c>
      <c r="K106" s="25" t="s">
        <v>54</v>
      </c>
      <c r="L106" s="25" t="s">
        <v>122</v>
      </c>
      <c r="M106" s="25" t="s">
        <v>121</v>
      </c>
      <c r="N106" s="25" t="s">
        <v>54</v>
      </c>
      <c r="O106" s="25" t="s">
        <v>122</v>
      </c>
      <c r="P106" s="25" t="s">
        <v>121</v>
      </c>
      <c r="Q106" s="25" t="s">
        <v>54</v>
      </c>
      <c r="R106" s="25" t="s">
        <v>122</v>
      </c>
      <c r="S106" s="25" t="s">
        <v>121</v>
      </c>
      <c r="T106" s="25" t="s">
        <v>54</v>
      </c>
      <c r="U106" s="25" t="s">
        <v>122</v>
      </c>
      <c r="V106" s="25" t="s">
        <v>121</v>
      </c>
      <c r="W106" s="25" t="s">
        <v>54</v>
      </c>
      <c r="X106" s="25" t="s">
        <v>122</v>
      </c>
      <c r="Y106" s="25" t="s">
        <v>121</v>
      </c>
      <c r="Z106" s="25" t="s">
        <v>54</v>
      </c>
      <c r="AA106" s="25" t="s">
        <v>122</v>
      </c>
      <c r="AB106" s="25" t="s">
        <v>121</v>
      </c>
      <c r="AC106" s="25" t="s">
        <v>54</v>
      </c>
      <c r="AD106" s="25" t="s">
        <v>122</v>
      </c>
      <c r="AE106" s="25" t="s">
        <v>121</v>
      </c>
      <c r="AF106" s="25" t="s">
        <v>54</v>
      </c>
      <c r="AG106" s="25" t="s">
        <v>122</v>
      </c>
      <c r="AH106" s="25" t="s">
        <v>121</v>
      </c>
      <c r="AI106" s="25" t="s">
        <v>54</v>
      </c>
      <c r="AJ106" s="25" t="s">
        <v>122</v>
      </c>
      <c r="AK106" s="25" t="s">
        <v>121</v>
      </c>
      <c r="AL106" s="25" t="s">
        <v>54</v>
      </c>
      <c r="AM106" s="25" t="s">
        <v>122</v>
      </c>
      <c r="AN106" s="40"/>
      <c r="AO106" s="40"/>
      <c r="AP106" s="40"/>
      <c r="AQ106" s="40"/>
      <c r="AR106" s="40"/>
      <c r="AS106" s="40"/>
      <c r="AT106" s="40"/>
      <c r="AU106" s="40"/>
      <c r="AV106" s="40"/>
      <c r="AW106" s="40"/>
      <c r="AX106" s="40"/>
      <c r="AY106" s="40"/>
    </row>
    <row r="107" spans="1:51" s="38" customFormat="1" ht="22.5" customHeight="1">
      <c r="A107" s="25">
        <v>2020</v>
      </c>
      <c r="B107" s="128">
        <f>AVERAGE((E107+K107+Q107)/3+(H107+N107+T107)/3+W107+Z107+AC107+AF107+AI107+AL107)/8</f>
        <v>35.5</v>
      </c>
      <c r="C107" s="43"/>
      <c r="D107" s="25">
        <v>2020</v>
      </c>
      <c r="E107" s="92">
        <v>50</v>
      </c>
      <c r="F107" s="83" t="s">
        <v>524</v>
      </c>
      <c r="G107" s="8">
        <v>2020</v>
      </c>
      <c r="H107" s="129">
        <v>50</v>
      </c>
      <c r="I107" s="83" t="s">
        <v>525</v>
      </c>
      <c r="J107" s="25">
        <v>2020</v>
      </c>
      <c r="K107" s="85">
        <v>50</v>
      </c>
      <c r="L107" s="86" t="s">
        <v>526</v>
      </c>
      <c r="M107" s="8">
        <v>2020</v>
      </c>
      <c r="N107" s="85">
        <v>50</v>
      </c>
      <c r="O107" s="83" t="s">
        <v>527</v>
      </c>
      <c r="P107" s="25">
        <v>2020</v>
      </c>
      <c r="Q107" s="92">
        <v>50</v>
      </c>
      <c r="R107" s="83" t="s">
        <v>528</v>
      </c>
      <c r="S107" s="8">
        <v>2020</v>
      </c>
      <c r="T107" s="85">
        <v>50</v>
      </c>
      <c r="U107" s="83" t="s">
        <v>529</v>
      </c>
      <c r="V107" s="8">
        <v>2020</v>
      </c>
      <c r="W107" s="80">
        <v>67</v>
      </c>
      <c r="X107" s="17" t="s">
        <v>530</v>
      </c>
      <c r="Y107" s="8">
        <v>2020</v>
      </c>
      <c r="Z107" s="92">
        <v>67</v>
      </c>
      <c r="AA107" s="83" t="s">
        <v>531</v>
      </c>
      <c r="AB107" s="8">
        <v>2020</v>
      </c>
      <c r="AC107" s="74">
        <v>0</v>
      </c>
      <c r="AD107" s="107" t="s">
        <v>532</v>
      </c>
      <c r="AE107" s="8">
        <v>2020</v>
      </c>
      <c r="AF107" s="18">
        <v>0</v>
      </c>
      <c r="AG107" s="83" t="s">
        <v>533</v>
      </c>
      <c r="AH107" s="8">
        <v>2020</v>
      </c>
      <c r="AI107" s="85">
        <v>50</v>
      </c>
      <c r="AJ107" s="83" t="s">
        <v>534</v>
      </c>
      <c r="AK107" s="8">
        <v>2020</v>
      </c>
      <c r="AL107" s="74">
        <v>0</v>
      </c>
      <c r="AM107" s="17"/>
      <c r="AN107" s="40"/>
      <c r="AO107" s="40"/>
      <c r="AP107" s="40"/>
      <c r="AQ107" s="40"/>
      <c r="AR107" s="40"/>
      <c r="AS107" s="40"/>
      <c r="AT107" s="40"/>
      <c r="AU107" s="40"/>
      <c r="AV107" s="40"/>
      <c r="AW107" s="40"/>
      <c r="AX107" s="40"/>
      <c r="AY107" s="40"/>
    </row>
    <row r="108" spans="1:51" s="38" customFormat="1" ht="24.75" customHeight="1">
      <c r="A108" s="25">
        <v>2021</v>
      </c>
      <c r="B108" s="128">
        <f>AVERAGE((E108+K108+Q108)/3+(H108+N108+T108)/3+W108+Z108+AC108+AF108+AI108+AL108)/8</f>
        <v>35.5</v>
      </c>
      <c r="C108" s="43"/>
      <c r="D108" s="25">
        <v>2021</v>
      </c>
      <c r="E108" s="92">
        <v>50</v>
      </c>
      <c r="F108" s="83"/>
      <c r="G108" s="8">
        <v>2021</v>
      </c>
      <c r="H108" s="129">
        <v>50</v>
      </c>
      <c r="I108" s="83"/>
      <c r="J108" s="25">
        <v>2021</v>
      </c>
      <c r="K108" s="85">
        <v>50</v>
      </c>
      <c r="L108" s="83"/>
      <c r="M108" s="8">
        <v>2021</v>
      </c>
      <c r="N108" s="85">
        <v>50</v>
      </c>
      <c r="O108" s="83"/>
      <c r="P108" s="25">
        <v>2021</v>
      </c>
      <c r="Q108" s="92">
        <v>50</v>
      </c>
      <c r="R108" s="83"/>
      <c r="S108" s="8">
        <v>2021</v>
      </c>
      <c r="T108" s="85">
        <v>50</v>
      </c>
      <c r="U108" s="83"/>
      <c r="V108" s="8">
        <v>2021</v>
      </c>
      <c r="W108" s="80">
        <v>67</v>
      </c>
      <c r="X108" s="17"/>
      <c r="Y108" s="8">
        <v>2021</v>
      </c>
      <c r="Z108" s="92">
        <v>67</v>
      </c>
      <c r="AA108" s="83"/>
      <c r="AB108" s="8">
        <v>2021</v>
      </c>
      <c r="AC108" s="74">
        <v>0</v>
      </c>
      <c r="AD108" s="130"/>
      <c r="AE108" s="8">
        <v>2021</v>
      </c>
      <c r="AF108" s="18">
        <v>0</v>
      </c>
      <c r="AG108" s="83"/>
      <c r="AH108" s="8">
        <v>2021</v>
      </c>
      <c r="AI108" s="85">
        <v>50</v>
      </c>
      <c r="AJ108" s="83"/>
      <c r="AK108" s="8">
        <v>2021</v>
      </c>
      <c r="AL108" s="74">
        <v>0</v>
      </c>
      <c r="AM108" s="17"/>
      <c r="AN108" s="40"/>
      <c r="AO108" s="40"/>
      <c r="AP108" s="40"/>
      <c r="AQ108" s="40"/>
      <c r="AR108" s="40"/>
      <c r="AS108" s="40"/>
      <c r="AT108" s="40"/>
      <c r="AU108" s="40"/>
      <c r="AV108" s="40"/>
      <c r="AW108" s="40"/>
      <c r="AX108" s="40"/>
      <c r="AY108" s="40"/>
    </row>
    <row r="109" spans="1:51" s="38" customFormat="1" ht="35.5" customHeight="1">
      <c r="A109" s="25">
        <v>2022</v>
      </c>
      <c r="B109" s="128">
        <f>AVERAGE((E109+K109+Q109)/3+(H109+N109+T109)/3+W109+Z109+AC109+AF109+AI109+AL109)/8</f>
        <v>35.5</v>
      </c>
      <c r="C109" s="43"/>
      <c r="D109" s="25">
        <v>2022</v>
      </c>
      <c r="E109" s="92">
        <v>50</v>
      </c>
      <c r="F109" s="83"/>
      <c r="G109" s="25">
        <v>2022</v>
      </c>
      <c r="H109" s="129">
        <v>50</v>
      </c>
      <c r="I109" s="83"/>
      <c r="J109" s="25">
        <v>2022</v>
      </c>
      <c r="K109" s="85">
        <v>50</v>
      </c>
      <c r="L109" s="83"/>
      <c r="M109" s="25">
        <v>2022</v>
      </c>
      <c r="N109" s="85">
        <v>50</v>
      </c>
      <c r="O109" s="83" t="s">
        <v>535</v>
      </c>
      <c r="P109" s="25">
        <v>2022</v>
      </c>
      <c r="Q109" s="92">
        <v>50</v>
      </c>
      <c r="R109" s="83"/>
      <c r="S109" s="25">
        <v>2022</v>
      </c>
      <c r="T109" s="85">
        <v>50</v>
      </c>
      <c r="U109" s="83"/>
      <c r="V109" s="25">
        <v>2022</v>
      </c>
      <c r="W109" s="80">
        <v>67</v>
      </c>
      <c r="X109" s="17"/>
      <c r="Y109" s="25">
        <v>2022</v>
      </c>
      <c r="Z109" s="92">
        <v>67</v>
      </c>
      <c r="AA109" s="83"/>
      <c r="AB109" s="25">
        <v>2022</v>
      </c>
      <c r="AC109" s="74">
        <v>0</v>
      </c>
      <c r="AD109" s="130"/>
      <c r="AE109" s="25">
        <v>2022</v>
      </c>
      <c r="AF109" s="18">
        <v>0</v>
      </c>
      <c r="AG109" s="83"/>
      <c r="AH109" s="25">
        <v>2022</v>
      </c>
      <c r="AI109" s="85">
        <v>50</v>
      </c>
      <c r="AJ109" s="83"/>
      <c r="AK109" s="25">
        <v>2022</v>
      </c>
      <c r="AL109" s="74">
        <v>0</v>
      </c>
      <c r="AM109" s="17"/>
      <c r="AN109" s="40"/>
      <c r="AO109" s="40"/>
      <c r="AP109" s="40"/>
      <c r="AQ109" s="40"/>
      <c r="AR109" s="40"/>
      <c r="AS109" s="40"/>
      <c r="AT109" s="40"/>
      <c r="AU109" s="40"/>
      <c r="AV109" s="40"/>
      <c r="AW109" s="40"/>
      <c r="AX109" s="40"/>
      <c r="AY109" s="40"/>
    </row>
    <row r="110" spans="1:51" s="1" customFormat="1" ht="24" customHeight="1">
      <c r="A110" s="25">
        <v>2023</v>
      </c>
      <c r="B110" s="128">
        <f>AVERAGE((E110+K110+Q110)/3+(H110+N110+T110)/3+W110+Z110+AC110+AF110+AI110+AL110)/8</f>
        <v>35.5</v>
      </c>
      <c r="C110" s="43"/>
      <c r="D110" s="25">
        <v>2023</v>
      </c>
      <c r="E110" s="92">
        <v>50</v>
      </c>
      <c r="F110" s="83"/>
      <c r="G110" s="25">
        <v>2023</v>
      </c>
      <c r="H110" s="129">
        <v>50</v>
      </c>
      <c r="I110" s="83"/>
      <c r="J110" s="25">
        <v>2023</v>
      </c>
      <c r="K110" s="85">
        <v>50</v>
      </c>
      <c r="L110" s="83"/>
      <c r="M110" s="25">
        <v>2023</v>
      </c>
      <c r="N110" s="85">
        <v>50</v>
      </c>
      <c r="O110" s="83"/>
      <c r="P110" s="25">
        <v>2023</v>
      </c>
      <c r="Q110" s="92">
        <v>50</v>
      </c>
      <c r="R110" s="83"/>
      <c r="S110" s="25">
        <v>2023</v>
      </c>
      <c r="T110" s="85">
        <v>50</v>
      </c>
      <c r="U110" s="83"/>
      <c r="V110" s="25">
        <v>2023</v>
      </c>
      <c r="W110" s="80">
        <v>67</v>
      </c>
      <c r="X110" s="17"/>
      <c r="Y110" s="25">
        <v>2023</v>
      </c>
      <c r="Z110" s="92">
        <v>67</v>
      </c>
      <c r="AA110" s="83"/>
      <c r="AB110" s="25">
        <v>2023</v>
      </c>
      <c r="AC110" s="74">
        <v>0</v>
      </c>
      <c r="AD110" s="130"/>
      <c r="AE110" s="25">
        <v>2023</v>
      </c>
      <c r="AF110" s="18">
        <v>0</v>
      </c>
      <c r="AG110" s="83"/>
      <c r="AH110" s="25">
        <v>2023</v>
      </c>
      <c r="AI110" s="85">
        <v>50</v>
      </c>
      <c r="AJ110" s="83"/>
      <c r="AK110" s="25">
        <v>2023</v>
      </c>
      <c r="AL110" s="74">
        <v>0</v>
      </c>
      <c r="AM110" s="17"/>
    </row>
    <row r="111" spans="1:51" s="1" customFormat="1" ht="22.5" customHeight="1">
      <c r="A111" s="25">
        <v>2024</v>
      </c>
      <c r="B111" s="128">
        <f>AVERAGE((E111+K111+Q111)/3+(H111+N111+T111)/3+W111+Z111+AC111+AF111+AI111+AL111)/8</f>
        <v>35.5</v>
      </c>
      <c r="C111" s="43"/>
      <c r="D111" s="25">
        <v>2024</v>
      </c>
      <c r="E111" s="92">
        <v>50</v>
      </c>
      <c r="F111" s="83"/>
      <c r="G111" s="25">
        <v>2024</v>
      </c>
      <c r="H111" s="129">
        <v>50</v>
      </c>
      <c r="I111" s="83"/>
      <c r="J111" s="25">
        <v>2024</v>
      </c>
      <c r="K111" s="85">
        <v>50</v>
      </c>
      <c r="L111" s="83"/>
      <c r="M111" s="25">
        <v>2024</v>
      </c>
      <c r="N111" s="85">
        <v>50</v>
      </c>
      <c r="O111" s="83"/>
      <c r="P111" s="25">
        <v>2024</v>
      </c>
      <c r="Q111" s="92">
        <v>50</v>
      </c>
      <c r="R111" s="83"/>
      <c r="S111" s="25">
        <v>2024</v>
      </c>
      <c r="T111" s="85">
        <v>50</v>
      </c>
      <c r="U111" s="83"/>
      <c r="V111" s="25">
        <v>2024</v>
      </c>
      <c r="W111" s="80">
        <v>67</v>
      </c>
      <c r="X111" s="17"/>
      <c r="Y111" s="25">
        <v>2024</v>
      </c>
      <c r="Z111" s="92">
        <v>67</v>
      </c>
      <c r="AA111" s="83"/>
      <c r="AB111" s="25">
        <v>2024</v>
      </c>
      <c r="AC111" s="74">
        <v>0</v>
      </c>
      <c r="AD111" s="17"/>
      <c r="AE111" s="25">
        <v>2024</v>
      </c>
      <c r="AF111" s="18">
        <v>0</v>
      </c>
      <c r="AG111" s="83"/>
      <c r="AH111" s="25">
        <v>2024</v>
      </c>
      <c r="AI111" s="85">
        <v>50</v>
      </c>
      <c r="AJ111" s="83"/>
      <c r="AK111" s="25">
        <v>2024</v>
      </c>
      <c r="AL111" s="74">
        <v>0</v>
      </c>
      <c r="AM111" s="17"/>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D030-ED9A-4AE6-B811-3DF9372409D8}">
  <dimension ref="A1:CC112"/>
  <sheetViews>
    <sheetView topLeftCell="U13" zoomScale="105" zoomScaleNormal="85" workbookViewId="0">
      <selection activeCell="X108" sqref="X108"/>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1.75" customHeight="1">
      <c r="A1" s="323" t="s">
        <v>0</v>
      </c>
      <c r="B1" s="323"/>
      <c r="C1" s="323"/>
      <c r="D1" s="323"/>
    </row>
    <row r="2" spans="1:81" ht="38.4" customHeight="1">
      <c r="A2" s="2" t="s">
        <v>1</v>
      </c>
      <c r="B2" s="2" t="s">
        <v>2</v>
      </c>
      <c r="C2" s="2" t="s">
        <v>3</v>
      </c>
      <c r="D2" s="2" t="s">
        <v>4</v>
      </c>
    </row>
    <row r="3" spans="1:81" ht="15" customHeight="1">
      <c r="A3" s="3">
        <v>2020</v>
      </c>
      <c r="B3" s="16">
        <f>AVERAGE(B16,B29,B42,B55,B68,B81,B94,B107)</f>
        <v>47.712549603174601</v>
      </c>
      <c r="C3" s="16">
        <f>AVERAGE(B16,B29,B42,B55,B68,B81,B94)</f>
        <v>47.082199546485256</v>
      </c>
      <c r="D3" s="16">
        <f>AVERAGE(B16,B29,B55,B68,B81,B94)</f>
        <v>46.199074074074076</v>
      </c>
    </row>
    <row r="4" spans="1:81" ht="15" customHeight="1">
      <c r="A4" s="3">
        <v>2021</v>
      </c>
      <c r="B4" s="16">
        <f t="shared" ref="B4:B7" si="0">AVERAGE(B17,B30,B43,B56,B69,B82,B95,B108)</f>
        <v>48.010168650793652</v>
      </c>
      <c r="C4" s="16">
        <f t="shared" ref="C4:C7" si="1">AVERAGE(B17,B30,B43,B56,B69,B82,B95)</f>
        <v>47.422335600907033</v>
      </c>
      <c r="D4" s="16">
        <f t="shared" ref="D4:D7" si="2">AVERAGE(B17,B30,B56,B69,B82,B95)</f>
        <v>46.199074074074076</v>
      </c>
    </row>
    <row r="5" spans="1:81" ht="15" customHeight="1">
      <c r="A5" s="3">
        <v>2022</v>
      </c>
      <c r="B5" s="16">
        <f t="shared" si="0"/>
        <v>48.903025793650791</v>
      </c>
      <c r="C5" s="16">
        <f>AVERAGE(B18,B31,B44,B57,B70,B83,B96)</f>
        <v>48.442743764172334</v>
      </c>
      <c r="D5" s="16">
        <f t="shared" si="2"/>
        <v>46.199074074074076</v>
      </c>
    </row>
    <row r="6" spans="1:81" ht="15" customHeight="1">
      <c r="A6" s="3">
        <v>2023</v>
      </c>
      <c r="B6" s="16">
        <f t="shared" si="0"/>
        <v>48.903025793650791</v>
      </c>
      <c r="C6" s="16">
        <f t="shared" si="1"/>
        <v>48.442743764172334</v>
      </c>
      <c r="D6" s="16">
        <f t="shared" si="2"/>
        <v>46.199074074074076</v>
      </c>
    </row>
    <row r="7" spans="1:81" ht="15" customHeight="1">
      <c r="A7" s="3">
        <v>2024</v>
      </c>
      <c r="B7" s="16">
        <f t="shared" si="0"/>
        <v>48.903025793650791</v>
      </c>
      <c r="C7" s="16">
        <f t="shared" si="1"/>
        <v>48.442743764172334</v>
      </c>
      <c r="D7" s="16">
        <f t="shared" si="2"/>
        <v>46.199074074074076</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12" t="s">
        <v>52</v>
      </c>
      <c r="F15" s="12" t="s">
        <v>53</v>
      </c>
      <c r="G15" s="7" t="s">
        <v>1</v>
      </c>
      <c r="H15" s="135" t="s">
        <v>52</v>
      </c>
      <c r="I15" s="135" t="s">
        <v>53</v>
      </c>
      <c r="J15" s="7" t="s">
        <v>1</v>
      </c>
      <c r="K15" s="89" t="s">
        <v>52</v>
      </c>
      <c r="L15" s="89" t="s">
        <v>53</v>
      </c>
      <c r="M15" s="7" t="s">
        <v>1</v>
      </c>
      <c r="N15" s="12" t="s">
        <v>52</v>
      </c>
      <c r="O15" s="12" t="s">
        <v>53</v>
      </c>
      <c r="P15" s="7" t="s">
        <v>1</v>
      </c>
      <c r="Q15" s="12" t="s">
        <v>52</v>
      </c>
      <c r="R15" s="12" t="s">
        <v>53</v>
      </c>
      <c r="S15" s="7" t="s">
        <v>1</v>
      </c>
      <c r="T15" s="12" t="s">
        <v>54</v>
      </c>
      <c r="U15" s="12" t="s">
        <v>53</v>
      </c>
      <c r="V15" s="7"/>
      <c r="W15" s="89" t="s">
        <v>52</v>
      </c>
      <c r="X15" s="89" t="s">
        <v>53</v>
      </c>
      <c r="Y15" s="7" t="s">
        <v>1</v>
      </c>
      <c r="Z15" s="89" t="s">
        <v>52</v>
      </c>
      <c r="AA15" s="89" t="s">
        <v>53</v>
      </c>
      <c r="AB15" s="7" t="s">
        <v>1</v>
      </c>
      <c r="AC15" s="12" t="s">
        <v>52</v>
      </c>
      <c r="AD15" s="12"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53.666666666666664</v>
      </c>
      <c r="C16" s="16"/>
      <c r="D16" s="7">
        <v>2020</v>
      </c>
      <c r="E16" s="14">
        <v>50</v>
      </c>
      <c r="F16" s="17"/>
      <c r="G16" s="7">
        <v>2020</v>
      </c>
      <c r="H16" s="82">
        <v>100</v>
      </c>
      <c r="I16" s="83"/>
      <c r="J16" s="7">
        <v>2020</v>
      </c>
      <c r="K16" s="33">
        <v>100</v>
      </c>
      <c r="L16" s="20"/>
      <c r="M16" s="7">
        <v>2020</v>
      </c>
      <c r="N16" s="82">
        <v>50</v>
      </c>
      <c r="O16" s="83"/>
      <c r="P16" s="7">
        <v>2020</v>
      </c>
      <c r="Q16" s="82">
        <v>33</v>
      </c>
      <c r="R16" s="83"/>
      <c r="S16" s="7">
        <v>2020</v>
      </c>
      <c r="T16" s="80">
        <v>100</v>
      </c>
      <c r="U16" s="17"/>
      <c r="V16" s="7">
        <v>2020</v>
      </c>
      <c r="W16" s="14">
        <v>0</v>
      </c>
      <c r="X16" s="17"/>
      <c r="Y16" s="7">
        <v>2020</v>
      </c>
      <c r="Z16" s="33">
        <v>0</v>
      </c>
      <c r="AA16" s="20"/>
      <c r="AB16" s="7">
        <v>2020</v>
      </c>
      <c r="AC16" s="84">
        <v>50</v>
      </c>
      <c r="AD16" s="86"/>
    </row>
    <row r="17" spans="1:51" ht="24.75" customHeight="1">
      <c r="A17" s="7">
        <v>2021</v>
      </c>
      <c r="B17" s="15">
        <f t="shared" si="3"/>
        <v>53.666666666666664</v>
      </c>
      <c r="C17" s="16"/>
      <c r="D17" s="7">
        <v>2021</v>
      </c>
      <c r="E17" s="14">
        <v>50</v>
      </c>
      <c r="F17" s="17"/>
      <c r="G17" s="7">
        <v>2021</v>
      </c>
      <c r="H17" s="82">
        <v>100</v>
      </c>
      <c r="I17" s="83"/>
      <c r="J17" s="7">
        <v>2021</v>
      </c>
      <c r="K17" s="33">
        <v>100</v>
      </c>
      <c r="L17" s="20"/>
      <c r="M17" s="7">
        <v>2021</v>
      </c>
      <c r="N17" s="82">
        <v>50</v>
      </c>
      <c r="O17" s="83"/>
      <c r="P17" s="7">
        <v>2021</v>
      </c>
      <c r="Q17" s="82">
        <v>33</v>
      </c>
      <c r="R17" s="83"/>
      <c r="S17" s="7">
        <v>2021</v>
      </c>
      <c r="T17" s="80">
        <v>100</v>
      </c>
      <c r="U17" s="17"/>
      <c r="V17" s="7">
        <v>2021</v>
      </c>
      <c r="W17" s="14">
        <v>0</v>
      </c>
      <c r="X17" s="17"/>
      <c r="Y17" s="7">
        <v>2021</v>
      </c>
      <c r="Z17" s="33">
        <v>0</v>
      </c>
      <c r="AA17" s="20"/>
      <c r="AB17" s="7">
        <v>2021</v>
      </c>
      <c r="AC17" s="84">
        <v>50</v>
      </c>
      <c r="AD17" s="86"/>
    </row>
    <row r="18" spans="1:51" ht="24.75" customHeight="1">
      <c r="A18" s="7">
        <v>2022</v>
      </c>
      <c r="B18" s="15">
        <f t="shared" si="3"/>
        <v>53.666666666666664</v>
      </c>
      <c r="C18" s="16"/>
      <c r="D18" s="7">
        <v>2022</v>
      </c>
      <c r="E18" s="14">
        <v>50</v>
      </c>
      <c r="F18" s="17"/>
      <c r="G18" s="7">
        <v>2022</v>
      </c>
      <c r="H18" s="82">
        <v>100</v>
      </c>
      <c r="I18" s="83"/>
      <c r="J18" s="7">
        <v>2022</v>
      </c>
      <c r="K18" s="33">
        <v>100</v>
      </c>
      <c r="L18" s="20"/>
      <c r="M18" s="7">
        <v>2022</v>
      </c>
      <c r="N18" s="82">
        <v>50</v>
      </c>
      <c r="O18" s="83"/>
      <c r="P18" s="7">
        <v>2022</v>
      </c>
      <c r="Q18" s="82">
        <v>33</v>
      </c>
      <c r="R18" s="83"/>
      <c r="S18" s="7">
        <v>2022</v>
      </c>
      <c r="T18" s="80">
        <v>100</v>
      </c>
      <c r="U18" s="17"/>
      <c r="V18" s="7">
        <v>2022</v>
      </c>
      <c r="W18" s="14">
        <v>0</v>
      </c>
      <c r="X18" s="17"/>
      <c r="Y18" s="7">
        <v>2022</v>
      </c>
      <c r="Z18" s="33">
        <v>0</v>
      </c>
      <c r="AA18" s="20"/>
      <c r="AB18" s="7">
        <v>2022</v>
      </c>
      <c r="AC18" s="84">
        <v>50</v>
      </c>
      <c r="AD18" s="86"/>
    </row>
    <row r="19" spans="1:51" ht="24.75" customHeight="1">
      <c r="A19" s="7">
        <v>2023</v>
      </c>
      <c r="B19" s="15">
        <f t="shared" si="3"/>
        <v>53.666666666666664</v>
      </c>
      <c r="C19" s="16"/>
      <c r="D19" s="7">
        <v>2023</v>
      </c>
      <c r="E19" s="14">
        <v>50</v>
      </c>
      <c r="F19" s="17"/>
      <c r="G19" s="7">
        <v>2023</v>
      </c>
      <c r="H19" s="82">
        <v>100</v>
      </c>
      <c r="I19" s="83"/>
      <c r="J19" s="7">
        <v>2023</v>
      </c>
      <c r="K19" s="33">
        <v>100</v>
      </c>
      <c r="L19" s="20"/>
      <c r="M19" s="7">
        <v>2023</v>
      </c>
      <c r="N19" s="82">
        <v>50</v>
      </c>
      <c r="O19" s="83"/>
      <c r="P19" s="7">
        <v>2023</v>
      </c>
      <c r="Q19" s="82">
        <v>33</v>
      </c>
      <c r="R19" s="83"/>
      <c r="S19" s="7">
        <v>2023</v>
      </c>
      <c r="T19" s="80">
        <v>100</v>
      </c>
      <c r="U19" s="17"/>
      <c r="V19" s="7">
        <v>2023</v>
      </c>
      <c r="W19" s="14">
        <v>0</v>
      </c>
      <c r="X19" s="17"/>
      <c r="Y19" s="7">
        <v>2023</v>
      </c>
      <c r="Z19" s="33">
        <v>0</v>
      </c>
      <c r="AA19" s="20"/>
      <c r="AB19" s="7">
        <v>2023</v>
      </c>
      <c r="AC19" s="84">
        <v>50</v>
      </c>
      <c r="AD19" s="86"/>
    </row>
    <row r="20" spans="1:51" ht="24.75" customHeight="1">
      <c r="A20" s="7">
        <v>2024</v>
      </c>
      <c r="B20" s="15">
        <f t="shared" si="3"/>
        <v>53.666666666666664</v>
      </c>
      <c r="C20" s="16"/>
      <c r="D20" s="7">
        <v>2024</v>
      </c>
      <c r="E20" s="14">
        <v>50</v>
      </c>
      <c r="F20" s="17"/>
      <c r="G20" s="7">
        <v>2024</v>
      </c>
      <c r="H20" s="82">
        <v>100</v>
      </c>
      <c r="I20" s="136" t="s">
        <v>611</v>
      </c>
      <c r="J20" s="7">
        <v>2024</v>
      </c>
      <c r="K20" s="33">
        <v>100</v>
      </c>
      <c r="L20" s="20" t="s">
        <v>612</v>
      </c>
      <c r="M20" s="7">
        <v>2024</v>
      </c>
      <c r="N20" s="82">
        <v>50</v>
      </c>
      <c r="O20" s="136" t="s">
        <v>613</v>
      </c>
      <c r="P20" s="7">
        <v>2024</v>
      </c>
      <c r="Q20" s="82">
        <v>33</v>
      </c>
      <c r="R20" s="83" t="s">
        <v>614</v>
      </c>
      <c r="S20" s="7">
        <v>2024</v>
      </c>
      <c r="T20" s="80">
        <v>100</v>
      </c>
      <c r="U20" s="17"/>
      <c r="V20" s="7">
        <v>2024</v>
      </c>
      <c r="W20" s="14">
        <v>0</v>
      </c>
      <c r="X20" s="17"/>
      <c r="Y20" s="7">
        <v>2024</v>
      </c>
      <c r="Z20" s="33">
        <v>0</v>
      </c>
      <c r="AA20" s="20"/>
      <c r="AB20" s="7">
        <v>2024</v>
      </c>
      <c r="AC20" s="84">
        <v>50</v>
      </c>
      <c r="AD20" s="86" t="s">
        <v>615</v>
      </c>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v>100</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t="s">
        <v>427</v>
      </c>
      <c r="L26" s="325"/>
      <c r="M26" s="27" t="s">
        <v>30</v>
      </c>
      <c r="N26" s="325" t="s">
        <v>96</v>
      </c>
      <c r="O26" s="325"/>
      <c r="P26" s="27" t="s">
        <v>30</v>
      </c>
      <c r="Q26" s="325" t="s">
        <v>97</v>
      </c>
      <c r="R26" s="325"/>
      <c r="S26" s="27" t="s">
        <v>30</v>
      </c>
      <c r="T26" s="325" t="s">
        <v>616</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429</v>
      </c>
      <c r="L27" s="325"/>
      <c r="M27" s="27" t="s">
        <v>41</v>
      </c>
      <c r="N27" s="325" t="s">
        <v>109</v>
      </c>
      <c r="O27" s="325"/>
      <c r="P27" s="27" t="s">
        <v>41</v>
      </c>
      <c r="Q27" s="325" t="s">
        <v>110</v>
      </c>
      <c r="R27" s="325"/>
      <c r="S27" s="27" t="s">
        <v>41</v>
      </c>
      <c r="T27" s="329" t="s">
        <v>429</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12" t="s">
        <v>54</v>
      </c>
      <c r="F28" s="104" t="s">
        <v>122</v>
      </c>
      <c r="G28" s="7" t="s">
        <v>1</v>
      </c>
      <c r="H28" s="12" t="s">
        <v>52</v>
      </c>
      <c r="I28" s="12" t="s">
        <v>123</v>
      </c>
      <c r="J28" s="7" t="s">
        <v>1</v>
      </c>
      <c r="K28" s="12" t="s">
        <v>52</v>
      </c>
      <c r="L28" s="12" t="s">
        <v>123</v>
      </c>
      <c r="M28" s="7" t="s">
        <v>1</v>
      </c>
      <c r="N28" s="12" t="s">
        <v>52</v>
      </c>
      <c r="O28" s="12" t="s">
        <v>123</v>
      </c>
      <c r="P28" s="7" t="s">
        <v>1</v>
      </c>
      <c r="Q28" s="12" t="s">
        <v>52</v>
      </c>
      <c r="R28" s="12" t="s">
        <v>123</v>
      </c>
      <c r="S28" s="7" t="s">
        <v>121</v>
      </c>
      <c r="T28" s="12" t="s">
        <v>54</v>
      </c>
      <c r="U28" s="12" t="s">
        <v>124</v>
      </c>
      <c r="V28" s="7" t="s">
        <v>121</v>
      </c>
      <c r="W28" s="12" t="s">
        <v>54</v>
      </c>
      <c r="X28" s="12" t="s">
        <v>124</v>
      </c>
      <c r="Y28" s="7" t="s">
        <v>121</v>
      </c>
      <c r="Z28" s="12" t="s">
        <v>54</v>
      </c>
      <c r="AA28" s="12" t="s">
        <v>124</v>
      </c>
      <c r="AB28" s="7" t="s">
        <v>121</v>
      </c>
      <c r="AC28" s="12" t="s">
        <v>54</v>
      </c>
      <c r="AD28" s="12" t="s">
        <v>124</v>
      </c>
      <c r="AE28" s="7" t="s">
        <v>121</v>
      </c>
      <c r="AF28" s="12" t="s">
        <v>54</v>
      </c>
      <c r="AG28" s="12" t="s">
        <v>124</v>
      </c>
      <c r="AH28" s="7" t="s">
        <v>121</v>
      </c>
      <c r="AI28" s="12" t="s">
        <v>54</v>
      </c>
      <c r="AJ28" s="12" t="s">
        <v>124</v>
      </c>
      <c r="AK28" s="7" t="s">
        <v>1</v>
      </c>
      <c r="AL28" s="12" t="s">
        <v>54</v>
      </c>
      <c r="AM28" s="12" t="s">
        <v>123</v>
      </c>
      <c r="AN28" s="7" t="s">
        <v>1</v>
      </c>
      <c r="AO28" s="12" t="s">
        <v>52</v>
      </c>
      <c r="AP28" s="12" t="s">
        <v>123</v>
      </c>
      <c r="AQ28" s="7" t="s">
        <v>1</v>
      </c>
      <c r="AR28" s="12" t="s">
        <v>52</v>
      </c>
      <c r="AS28" s="12" t="s">
        <v>123</v>
      </c>
      <c r="AT28" s="7" t="s">
        <v>1</v>
      </c>
      <c r="AU28" s="12" t="s">
        <v>52</v>
      </c>
      <c r="AV28" s="12" t="s">
        <v>123</v>
      </c>
      <c r="AW28" s="7" t="s">
        <v>1</v>
      </c>
      <c r="AX28" s="12" t="s">
        <v>52</v>
      </c>
      <c r="AY28" s="12" t="s">
        <v>123</v>
      </c>
    </row>
    <row r="29" spans="1:51" ht="24.75" customHeight="1">
      <c r="A29" s="7">
        <v>2020</v>
      </c>
      <c r="B29" s="15">
        <f>AVERAGE(E29,H29,K29,T29,AF29,AO29,AU29,AX29,AR29)</f>
        <v>62.944444444444443</v>
      </c>
      <c r="C29" s="16"/>
      <c r="D29" s="7">
        <v>2020</v>
      </c>
      <c r="E29" s="21">
        <v>0</v>
      </c>
      <c r="F29" s="17"/>
      <c r="G29" s="7">
        <v>2020</v>
      </c>
      <c r="H29" s="82">
        <v>100</v>
      </c>
      <c r="I29" s="83"/>
      <c r="J29" s="7">
        <v>2020</v>
      </c>
      <c r="K29" s="14">
        <v>100</v>
      </c>
      <c r="L29" s="17"/>
      <c r="M29" s="7">
        <v>2020</v>
      </c>
      <c r="N29" s="14">
        <v>100</v>
      </c>
      <c r="O29" s="17"/>
      <c r="P29" s="7">
        <v>2020</v>
      </c>
      <c r="Q29" s="14">
        <v>100</v>
      </c>
      <c r="R29" s="17"/>
      <c r="S29" s="7">
        <v>2020</v>
      </c>
      <c r="T29" s="14">
        <v>100</v>
      </c>
      <c r="U29" s="17"/>
      <c r="V29" s="7">
        <v>2020</v>
      </c>
      <c r="W29" s="14">
        <v>100</v>
      </c>
      <c r="X29" s="17"/>
      <c r="Y29" s="7">
        <v>2020</v>
      </c>
      <c r="Z29" s="14">
        <v>100</v>
      </c>
      <c r="AA29" s="17"/>
      <c r="AB29" s="7">
        <v>2020</v>
      </c>
      <c r="AC29" s="82">
        <v>50</v>
      </c>
      <c r="AD29" s="86" t="s">
        <v>617</v>
      </c>
      <c r="AE29" s="7">
        <v>2020</v>
      </c>
      <c r="AF29" s="31">
        <f t="shared" ref="AF29:AF33" si="4">0.67*AI29+0.33*AL29</f>
        <v>16.5</v>
      </c>
      <c r="AG29" s="17"/>
      <c r="AH29" s="7">
        <v>2020</v>
      </c>
      <c r="AI29" s="14">
        <v>0</v>
      </c>
      <c r="AJ29" s="23" t="s">
        <v>618</v>
      </c>
      <c r="AK29" s="7">
        <v>2020</v>
      </c>
      <c r="AL29" s="14">
        <v>50</v>
      </c>
      <c r="AM29" s="23" t="s">
        <v>619</v>
      </c>
      <c r="AN29" s="7">
        <v>2020</v>
      </c>
      <c r="AO29" s="14">
        <v>100</v>
      </c>
      <c r="AP29" s="23" t="s">
        <v>620</v>
      </c>
      <c r="AQ29" s="7">
        <v>2020</v>
      </c>
      <c r="AR29" s="82">
        <v>0</v>
      </c>
      <c r="AS29" s="83" t="s">
        <v>621</v>
      </c>
      <c r="AT29" s="7">
        <v>2020</v>
      </c>
      <c r="AU29" s="14">
        <v>50</v>
      </c>
      <c r="AV29" s="23" t="s">
        <v>622</v>
      </c>
      <c r="AW29" s="7">
        <v>2020</v>
      </c>
      <c r="AX29" s="82">
        <v>100</v>
      </c>
      <c r="AY29" s="86" t="s">
        <v>623</v>
      </c>
    </row>
    <row r="30" spans="1:51" ht="24.75" customHeight="1">
      <c r="A30" s="7">
        <v>2021</v>
      </c>
      <c r="B30" s="15">
        <f>AVERAGE(E30,H30,K30,T30,AF30,AO30,AU30,AX30,AR30)</f>
        <v>62.944444444444443</v>
      </c>
      <c r="C30" s="15"/>
      <c r="D30" s="7">
        <v>2021</v>
      </c>
      <c r="E30" s="21">
        <v>0</v>
      </c>
      <c r="F30" s="17"/>
      <c r="G30" s="7">
        <v>2021</v>
      </c>
      <c r="H30" s="82">
        <v>100</v>
      </c>
      <c r="I30" s="83"/>
      <c r="J30" s="7">
        <v>2021</v>
      </c>
      <c r="K30" s="14">
        <v>100</v>
      </c>
      <c r="L30" s="17"/>
      <c r="M30" s="7">
        <v>2021</v>
      </c>
      <c r="N30" s="14">
        <v>100</v>
      </c>
      <c r="O30" s="17"/>
      <c r="P30" s="7">
        <v>2021</v>
      </c>
      <c r="Q30" s="14">
        <v>100</v>
      </c>
      <c r="R30" s="17"/>
      <c r="S30" s="7">
        <v>2021</v>
      </c>
      <c r="T30" s="14">
        <v>100</v>
      </c>
      <c r="U30" s="17"/>
      <c r="V30" s="7">
        <v>2021</v>
      </c>
      <c r="W30" s="14">
        <v>100</v>
      </c>
      <c r="X30" s="17"/>
      <c r="Y30" s="7">
        <v>2021</v>
      </c>
      <c r="Z30" s="14">
        <v>100</v>
      </c>
      <c r="AA30" s="17"/>
      <c r="AB30" s="7">
        <v>2021</v>
      </c>
      <c r="AC30" s="82">
        <v>50</v>
      </c>
      <c r="AD30" s="86" t="s">
        <v>617</v>
      </c>
      <c r="AE30" s="7">
        <v>2021</v>
      </c>
      <c r="AF30" s="31">
        <f t="shared" si="4"/>
        <v>16.5</v>
      </c>
      <c r="AG30" s="17"/>
      <c r="AH30" s="7">
        <v>2021</v>
      </c>
      <c r="AI30" s="14">
        <v>0</v>
      </c>
      <c r="AJ30" s="23" t="s">
        <v>618</v>
      </c>
      <c r="AK30" s="7">
        <v>2021</v>
      </c>
      <c r="AL30" s="14">
        <v>50</v>
      </c>
      <c r="AM30" s="23" t="s">
        <v>619</v>
      </c>
      <c r="AN30" s="7">
        <v>2021</v>
      </c>
      <c r="AO30" s="14">
        <v>100</v>
      </c>
      <c r="AP30" s="23" t="s">
        <v>620</v>
      </c>
      <c r="AQ30" s="7">
        <v>2021</v>
      </c>
      <c r="AR30" s="82">
        <v>0</v>
      </c>
      <c r="AS30" s="83" t="s">
        <v>621</v>
      </c>
      <c r="AT30" s="7">
        <v>2021</v>
      </c>
      <c r="AU30" s="14">
        <v>50</v>
      </c>
      <c r="AV30" s="23" t="s">
        <v>622</v>
      </c>
      <c r="AW30" s="7">
        <v>2021</v>
      </c>
      <c r="AX30" s="82">
        <v>100</v>
      </c>
      <c r="AY30" s="86" t="s">
        <v>623</v>
      </c>
    </row>
    <row r="31" spans="1:51" ht="24.75" customHeight="1">
      <c r="A31" s="7">
        <v>2022</v>
      </c>
      <c r="B31" s="15">
        <f>AVERAGE(E31,H31,K31,T31,AF31,AO31,AU31,AX31,AR31)</f>
        <v>62.944444444444443</v>
      </c>
      <c r="C31" s="15"/>
      <c r="D31" s="7">
        <v>2022</v>
      </c>
      <c r="E31" s="21">
        <v>0</v>
      </c>
      <c r="F31" s="17"/>
      <c r="G31" s="7">
        <v>2022</v>
      </c>
      <c r="H31" s="82">
        <v>100</v>
      </c>
      <c r="I31" s="83"/>
      <c r="J31" s="7">
        <v>2022</v>
      </c>
      <c r="K31" s="14">
        <v>100</v>
      </c>
      <c r="L31" s="17"/>
      <c r="M31" s="7">
        <v>2022</v>
      </c>
      <c r="N31" s="14">
        <v>100</v>
      </c>
      <c r="O31" s="17"/>
      <c r="P31" s="7">
        <v>2022</v>
      </c>
      <c r="Q31" s="14">
        <v>100</v>
      </c>
      <c r="R31" s="17"/>
      <c r="S31" s="7">
        <v>2022</v>
      </c>
      <c r="T31" s="14">
        <v>100</v>
      </c>
      <c r="U31" s="17"/>
      <c r="V31" s="7">
        <v>2022</v>
      </c>
      <c r="W31" s="14">
        <v>100</v>
      </c>
      <c r="X31" s="17"/>
      <c r="Y31" s="7">
        <v>2022</v>
      </c>
      <c r="Z31" s="14">
        <v>100</v>
      </c>
      <c r="AA31" s="17"/>
      <c r="AB31" s="7">
        <v>2022</v>
      </c>
      <c r="AC31" s="82">
        <v>50</v>
      </c>
      <c r="AD31" s="86" t="s">
        <v>617</v>
      </c>
      <c r="AE31" s="7">
        <v>2022</v>
      </c>
      <c r="AF31" s="31">
        <f t="shared" si="4"/>
        <v>16.5</v>
      </c>
      <c r="AG31" s="17"/>
      <c r="AH31" s="7">
        <v>2022</v>
      </c>
      <c r="AI31" s="14">
        <v>0</v>
      </c>
      <c r="AJ31" s="23" t="s">
        <v>618</v>
      </c>
      <c r="AK31" s="7">
        <v>2022</v>
      </c>
      <c r="AL31" s="14">
        <v>50</v>
      </c>
      <c r="AM31" s="23" t="s">
        <v>619</v>
      </c>
      <c r="AN31" s="7">
        <v>2022</v>
      </c>
      <c r="AO31" s="14">
        <v>100</v>
      </c>
      <c r="AP31" s="23" t="s">
        <v>620</v>
      </c>
      <c r="AQ31" s="7">
        <v>2022</v>
      </c>
      <c r="AR31" s="82">
        <v>0</v>
      </c>
      <c r="AS31" s="83" t="s">
        <v>621</v>
      </c>
      <c r="AT31" s="7">
        <v>2022</v>
      </c>
      <c r="AU31" s="14">
        <v>50</v>
      </c>
      <c r="AV31" s="23" t="s">
        <v>622</v>
      </c>
      <c r="AW31" s="7">
        <v>2022</v>
      </c>
      <c r="AX31" s="82">
        <v>100</v>
      </c>
      <c r="AY31" s="86" t="s">
        <v>623</v>
      </c>
    </row>
    <row r="32" spans="1:51" ht="24.75" customHeight="1">
      <c r="A32" s="7">
        <v>2023</v>
      </c>
      <c r="B32" s="15">
        <f>AVERAGE(E32,H32,K32,T32,AF32,AO32,AU32,AX32,AR32)</f>
        <v>62.944444444444443</v>
      </c>
      <c r="C32" s="15"/>
      <c r="D32" s="7">
        <v>2023</v>
      </c>
      <c r="E32" s="21">
        <v>0</v>
      </c>
      <c r="F32" s="17"/>
      <c r="G32" s="7">
        <v>2023</v>
      </c>
      <c r="H32" s="82">
        <v>100</v>
      </c>
      <c r="I32" s="83"/>
      <c r="J32" s="7">
        <v>2023</v>
      </c>
      <c r="K32" s="14">
        <v>100</v>
      </c>
      <c r="L32" s="17"/>
      <c r="M32" s="7">
        <v>2023</v>
      </c>
      <c r="N32" s="14">
        <v>100</v>
      </c>
      <c r="O32" s="17"/>
      <c r="P32" s="7">
        <v>2023</v>
      </c>
      <c r="Q32" s="14">
        <v>100</v>
      </c>
      <c r="R32" s="17"/>
      <c r="S32" s="7">
        <v>2023</v>
      </c>
      <c r="T32" s="14">
        <v>100</v>
      </c>
      <c r="U32" s="17"/>
      <c r="V32" s="7">
        <v>2023</v>
      </c>
      <c r="W32" s="14">
        <v>100</v>
      </c>
      <c r="X32" s="17"/>
      <c r="Y32" s="7">
        <v>2023</v>
      </c>
      <c r="Z32" s="14">
        <v>100</v>
      </c>
      <c r="AA32" s="17"/>
      <c r="AB32" s="7">
        <v>2023</v>
      </c>
      <c r="AC32" s="82">
        <v>50</v>
      </c>
      <c r="AD32" s="86" t="s">
        <v>617</v>
      </c>
      <c r="AE32" s="7">
        <v>2023</v>
      </c>
      <c r="AF32" s="31">
        <f t="shared" si="4"/>
        <v>16.5</v>
      </c>
      <c r="AG32" s="17"/>
      <c r="AH32" s="7">
        <v>2023</v>
      </c>
      <c r="AI32" s="14">
        <v>0</v>
      </c>
      <c r="AJ32" s="23" t="s">
        <v>618</v>
      </c>
      <c r="AK32" s="7">
        <v>2023</v>
      </c>
      <c r="AL32" s="14">
        <v>50</v>
      </c>
      <c r="AM32" s="23" t="s">
        <v>619</v>
      </c>
      <c r="AN32" s="7">
        <v>2023</v>
      </c>
      <c r="AO32" s="14">
        <v>100</v>
      </c>
      <c r="AP32" s="23" t="s">
        <v>620</v>
      </c>
      <c r="AQ32" s="7">
        <v>2023</v>
      </c>
      <c r="AR32" s="82">
        <v>0</v>
      </c>
      <c r="AS32" s="83" t="s">
        <v>621</v>
      </c>
      <c r="AT32" s="7">
        <v>2023</v>
      </c>
      <c r="AU32" s="14">
        <v>50</v>
      </c>
      <c r="AV32" s="23" t="s">
        <v>622</v>
      </c>
      <c r="AW32" s="7">
        <v>2023</v>
      </c>
      <c r="AX32" s="82">
        <v>100</v>
      </c>
      <c r="AY32" s="86" t="s">
        <v>623</v>
      </c>
    </row>
    <row r="33" spans="1:51" ht="24.75" customHeight="1">
      <c r="A33" s="7">
        <v>2024</v>
      </c>
      <c r="B33" s="15">
        <f>AVERAGE(E33,H33,K33,T33,AF33,AO33,AU33,AX33,AR33)</f>
        <v>62.944444444444443</v>
      </c>
      <c r="C33" s="15"/>
      <c r="D33" s="7">
        <v>2024</v>
      </c>
      <c r="E33" s="21">
        <v>0</v>
      </c>
      <c r="F33" s="23" t="s">
        <v>624</v>
      </c>
      <c r="G33" s="7">
        <v>2024</v>
      </c>
      <c r="H33" s="82">
        <v>100</v>
      </c>
      <c r="I33" s="86" t="s">
        <v>625</v>
      </c>
      <c r="J33" s="7">
        <v>2024</v>
      </c>
      <c r="K33" s="14">
        <v>100</v>
      </c>
      <c r="M33" s="7">
        <v>2024</v>
      </c>
      <c r="N33" s="14">
        <v>100</v>
      </c>
      <c r="O33" s="17" t="s">
        <v>626</v>
      </c>
      <c r="P33" s="7">
        <v>2024</v>
      </c>
      <c r="Q33" s="14">
        <v>100</v>
      </c>
      <c r="R33" s="17"/>
      <c r="S33" s="7">
        <v>2024</v>
      </c>
      <c r="T33" s="14">
        <v>100</v>
      </c>
      <c r="U33" s="17"/>
      <c r="V33" s="7">
        <v>2024</v>
      </c>
      <c r="W33" s="14">
        <v>100</v>
      </c>
      <c r="X33" s="17"/>
      <c r="Y33" s="7">
        <v>2024</v>
      </c>
      <c r="Z33" s="14">
        <v>100</v>
      </c>
      <c r="AA33" s="17"/>
      <c r="AB33" s="7">
        <v>2024</v>
      </c>
      <c r="AC33" s="82">
        <v>50</v>
      </c>
      <c r="AD33" s="86" t="s">
        <v>617</v>
      </c>
      <c r="AE33" s="7">
        <v>2024</v>
      </c>
      <c r="AF33" s="31">
        <f t="shared" si="4"/>
        <v>16.5</v>
      </c>
      <c r="AG33" s="17"/>
      <c r="AH33" s="7">
        <v>2024</v>
      </c>
      <c r="AI33" s="14">
        <v>0</v>
      </c>
      <c r="AJ33" s="23" t="s">
        <v>618</v>
      </c>
      <c r="AK33" s="7">
        <v>2024</v>
      </c>
      <c r="AL33" s="14">
        <v>50</v>
      </c>
      <c r="AM33" s="23" t="s">
        <v>619</v>
      </c>
      <c r="AN33" s="7">
        <v>2024</v>
      </c>
      <c r="AO33" s="14">
        <v>100</v>
      </c>
      <c r="AP33" s="23" t="s">
        <v>620</v>
      </c>
      <c r="AQ33" s="7">
        <v>2024</v>
      </c>
      <c r="AR33" s="82">
        <v>0</v>
      </c>
      <c r="AS33" s="83" t="s">
        <v>621</v>
      </c>
      <c r="AT33" s="7">
        <v>2024</v>
      </c>
      <c r="AU33" s="14">
        <v>50</v>
      </c>
      <c r="AV33" s="23" t="s">
        <v>622</v>
      </c>
      <c r="AW33" s="7">
        <v>2024</v>
      </c>
      <c r="AX33" s="82">
        <v>100</v>
      </c>
      <c r="AY33" s="86" t="s">
        <v>623</v>
      </c>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t="s">
        <v>432</v>
      </c>
      <c r="AG39" s="310"/>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12" t="s">
        <v>54</v>
      </c>
      <c r="F41" s="12" t="s">
        <v>122</v>
      </c>
      <c r="G41" s="7" t="s">
        <v>121</v>
      </c>
      <c r="H41" s="12" t="s">
        <v>54</v>
      </c>
      <c r="I41" s="12" t="s">
        <v>122</v>
      </c>
      <c r="J41" s="7" t="s">
        <v>121</v>
      </c>
      <c r="K41" s="12" t="s">
        <v>54</v>
      </c>
      <c r="L41" s="12" t="s">
        <v>122</v>
      </c>
      <c r="M41" s="7" t="s">
        <v>121</v>
      </c>
      <c r="N41" s="12" t="s">
        <v>54</v>
      </c>
      <c r="O41" s="12" t="s">
        <v>122</v>
      </c>
      <c r="P41" s="7" t="s">
        <v>121</v>
      </c>
      <c r="Q41" s="12" t="s">
        <v>54</v>
      </c>
      <c r="R41" s="12" t="s">
        <v>122</v>
      </c>
      <c r="S41" s="7" t="s">
        <v>121</v>
      </c>
      <c r="T41" s="12" t="s">
        <v>54</v>
      </c>
      <c r="U41" s="12" t="s">
        <v>122</v>
      </c>
      <c r="V41" s="7" t="s">
        <v>121</v>
      </c>
      <c r="W41" s="12" t="s">
        <v>54</v>
      </c>
      <c r="X41" s="12" t="s">
        <v>122</v>
      </c>
      <c r="Y41" s="7" t="s">
        <v>121</v>
      </c>
      <c r="Z41" s="12" t="s">
        <v>54</v>
      </c>
      <c r="AA41" s="12" t="s">
        <v>122</v>
      </c>
      <c r="AB41" s="7" t="s">
        <v>121</v>
      </c>
      <c r="AC41" s="12" t="s">
        <v>54</v>
      </c>
      <c r="AD41" s="12" t="s">
        <v>122</v>
      </c>
      <c r="AE41" s="7" t="s">
        <v>121</v>
      </c>
      <c r="AF41" s="12" t="s">
        <v>54</v>
      </c>
      <c r="AG41" s="12" t="s">
        <v>122</v>
      </c>
      <c r="AH41" s="7" t="s">
        <v>121</v>
      </c>
      <c r="AI41" s="12" t="s">
        <v>54</v>
      </c>
      <c r="AJ41" s="12" t="s">
        <v>122</v>
      </c>
      <c r="AK41" s="7" t="s">
        <v>121</v>
      </c>
      <c r="AL41" s="12" t="s">
        <v>54</v>
      </c>
      <c r="AM41" s="12" t="s">
        <v>122</v>
      </c>
    </row>
    <row r="42" spans="1:51" ht="24.75" customHeight="1">
      <c r="A42" s="7">
        <v>2020</v>
      </c>
      <c r="B42" s="16">
        <f>AVERAGE(E42,H42,K42,N42,Z42,AC42,AF42)</f>
        <v>52.380952380952387</v>
      </c>
      <c r="C42" s="16"/>
      <c r="D42" s="7">
        <v>2020</v>
      </c>
      <c r="E42" s="82">
        <v>67</v>
      </c>
      <c r="F42" s="86" t="s">
        <v>627</v>
      </c>
      <c r="G42" s="7">
        <v>2020</v>
      </c>
      <c r="H42" s="82">
        <v>0</v>
      </c>
      <c r="I42" s="86" t="s">
        <v>628</v>
      </c>
      <c r="J42" s="7">
        <v>2020</v>
      </c>
      <c r="K42" s="14">
        <v>50</v>
      </c>
      <c r="L42" s="23" t="s">
        <v>629</v>
      </c>
      <c r="M42" s="7">
        <v>2020</v>
      </c>
      <c r="N42" s="31">
        <f t="shared" ref="N42:N46" si="5">AVERAGE(Q42,T42,W42)</f>
        <v>66.666666666666671</v>
      </c>
      <c r="O42" s="14"/>
      <c r="P42" s="7">
        <v>2020</v>
      </c>
      <c r="Q42" s="14">
        <v>50</v>
      </c>
      <c r="R42" s="17" t="s">
        <v>630</v>
      </c>
      <c r="S42" s="7">
        <v>2020</v>
      </c>
      <c r="T42" s="14">
        <v>50</v>
      </c>
      <c r="U42" s="17"/>
      <c r="V42" s="7">
        <v>2020</v>
      </c>
      <c r="W42" s="14">
        <v>100</v>
      </c>
      <c r="X42" s="23" t="s">
        <v>631</v>
      </c>
      <c r="Y42" s="7">
        <v>2020</v>
      </c>
      <c r="Z42" s="14">
        <v>100</v>
      </c>
      <c r="AA42" s="137" t="s">
        <v>632</v>
      </c>
      <c r="AB42" s="7">
        <v>2020</v>
      </c>
      <c r="AC42" s="14">
        <v>50</v>
      </c>
      <c r="AD42" s="138" t="s">
        <v>633</v>
      </c>
      <c r="AE42" s="7">
        <v>2020</v>
      </c>
      <c r="AF42" s="14">
        <v>33</v>
      </c>
      <c r="AG42" s="14"/>
      <c r="AH42" s="7">
        <v>2020</v>
      </c>
      <c r="AI42" s="21">
        <v>0</v>
      </c>
      <c r="AJ42" s="17"/>
      <c r="AK42" s="7">
        <v>2020</v>
      </c>
      <c r="AL42" s="14">
        <v>50</v>
      </c>
      <c r="AM42" s="23" t="s">
        <v>634</v>
      </c>
    </row>
    <row r="43" spans="1:51" ht="24.75" customHeight="1">
      <c r="A43" s="7">
        <v>2021</v>
      </c>
      <c r="B43" s="16">
        <f t="shared" ref="B43:B46" si="6">AVERAGE(E43,H43,K43,N43,Z43,AC43,AF43)</f>
        <v>54.761904761904759</v>
      </c>
      <c r="C43" s="16"/>
      <c r="D43" s="7">
        <v>2021</v>
      </c>
      <c r="E43" s="82">
        <v>67</v>
      </c>
      <c r="F43" s="86" t="s">
        <v>627</v>
      </c>
      <c r="G43" s="7">
        <v>2021</v>
      </c>
      <c r="H43" s="82">
        <v>0</v>
      </c>
      <c r="I43" s="86" t="s">
        <v>628</v>
      </c>
      <c r="J43" s="7">
        <v>2021</v>
      </c>
      <c r="K43" s="14">
        <v>50</v>
      </c>
      <c r="L43" s="17"/>
      <c r="M43" s="7">
        <v>2021</v>
      </c>
      <c r="N43" s="31">
        <f t="shared" si="5"/>
        <v>83.333333333333329</v>
      </c>
      <c r="O43" s="14"/>
      <c r="P43" s="7">
        <v>2021</v>
      </c>
      <c r="Q43" s="14">
        <v>100</v>
      </c>
      <c r="R43" s="139" t="s">
        <v>635</v>
      </c>
      <c r="S43" s="7">
        <v>2021</v>
      </c>
      <c r="T43" s="14">
        <v>50</v>
      </c>
      <c r="U43" s="17"/>
      <c r="V43" s="7">
        <v>2021</v>
      </c>
      <c r="W43" s="14">
        <v>100</v>
      </c>
      <c r="X43" s="23" t="s">
        <v>631</v>
      </c>
      <c r="Y43" s="7">
        <v>2021</v>
      </c>
      <c r="Z43" s="14">
        <v>100</v>
      </c>
      <c r="AA43" s="137" t="s">
        <v>632</v>
      </c>
      <c r="AB43" s="7">
        <v>2021</v>
      </c>
      <c r="AC43" s="14">
        <v>50</v>
      </c>
      <c r="AD43" s="138" t="s">
        <v>633</v>
      </c>
      <c r="AE43" s="7">
        <v>2021</v>
      </c>
      <c r="AF43" s="14">
        <v>33</v>
      </c>
      <c r="AG43" s="14"/>
      <c r="AH43" s="7">
        <v>2021</v>
      </c>
      <c r="AI43" s="21">
        <v>0</v>
      </c>
      <c r="AJ43" s="17"/>
      <c r="AK43" s="7">
        <v>2021</v>
      </c>
      <c r="AL43" s="14">
        <v>50</v>
      </c>
      <c r="AM43" s="23" t="s">
        <v>634</v>
      </c>
    </row>
    <row r="44" spans="1:51" ht="24.75" customHeight="1">
      <c r="A44" s="7">
        <v>2022</v>
      </c>
      <c r="B44" s="16">
        <f t="shared" si="6"/>
        <v>61.904761904761905</v>
      </c>
      <c r="C44" s="16"/>
      <c r="D44" s="7">
        <v>2022</v>
      </c>
      <c r="E44" s="82">
        <v>67</v>
      </c>
      <c r="F44" s="83" t="s">
        <v>636</v>
      </c>
      <c r="G44" s="7">
        <v>2022</v>
      </c>
      <c r="H44" s="82">
        <v>50</v>
      </c>
      <c r="I44" s="86" t="s">
        <v>637</v>
      </c>
      <c r="J44" s="7">
        <v>2022</v>
      </c>
      <c r="K44" s="14">
        <v>50</v>
      </c>
      <c r="L44" s="17"/>
      <c r="M44" s="7">
        <v>2022</v>
      </c>
      <c r="N44" s="31">
        <f t="shared" si="5"/>
        <v>83.333333333333329</v>
      </c>
      <c r="O44" s="14"/>
      <c r="P44" s="7">
        <v>2022</v>
      </c>
      <c r="Q44" s="14">
        <v>100</v>
      </c>
      <c r="R44" s="139" t="s">
        <v>635</v>
      </c>
      <c r="S44" s="7">
        <v>2022</v>
      </c>
      <c r="T44" s="14">
        <v>50</v>
      </c>
      <c r="U44" s="17"/>
      <c r="V44" s="7">
        <v>2022</v>
      </c>
      <c r="W44" s="14">
        <v>100</v>
      </c>
      <c r="X44" s="23" t="s">
        <v>631</v>
      </c>
      <c r="Y44" s="7">
        <v>2022</v>
      </c>
      <c r="Z44" s="14">
        <v>100</v>
      </c>
      <c r="AA44" s="137" t="s">
        <v>632</v>
      </c>
      <c r="AB44" s="7">
        <v>2022</v>
      </c>
      <c r="AC44" s="14">
        <v>50</v>
      </c>
      <c r="AD44" s="138" t="s">
        <v>633</v>
      </c>
      <c r="AE44" s="7">
        <v>2022</v>
      </c>
      <c r="AF44" s="14">
        <v>33</v>
      </c>
      <c r="AG44" s="14"/>
      <c r="AH44" s="7">
        <v>2022</v>
      </c>
      <c r="AI44" s="21">
        <v>0</v>
      </c>
      <c r="AJ44" s="17"/>
      <c r="AK44" s="7">
        <v>2022</v>
      </c>
      <c r="AL44" s="14">
        <v>50</v>
      </c>
      <c r="AM44" s="23" t="s">
        <v>634</v>
      </c>
    </row>
    <row r="45" spans="1:51" ht="24.75" customHeight="1">
      <c r="A45" s="7">
        <v>2023</v>
      </c>
      <c r="B45" s="16">
        <f t="shared" si="6"/>
        <v>61.904761904761905</v>
      </c>
      <c r="C45" s="16"/>
      <c r="D45" s="7">
        <v>2023</v>
      </c>
      <c r="E45" s="82">
        <v>67</v>
      </c>
      <c r="F45" s="83" t="s">
        <v>636</v>
      </c>
      <c r="G45" s="7">
        <v>2023</v>
      </c>
      <c r="H45" s="82">
        <v>50</v>
      </c>
      <c r="I45" s="86" t="s">
        <v>637</v>
      </c>
      <c r="J45" s="7">
        <v>2023</v>
      </c>
      <c r="K45" s="14">
        <v>50</v>
      </c>
      <c r="L45" s="17"/>
      <c r="M45" s="7">
        <v>2023</v>
      </c>
      <c r="N45" s="31">
        <f t="shared" si="5"/>
        <v>83.333333333333329</v>
      </c>
      <c r="O45" s="14"/>
      <c r="P45" s="7">
        <v>2023</v>
      </c>
      <c r="Q45" s="14">
        <v>100</v>
      </c>
      <c r="R45" s="139" t="s">
        <v>635</v>
      </c>
      <c r="S45" s="7">
        <v>2023</v>
      </c>
      <c r="T45" s="14">
        <v>50</v>
      </c>
      <c r="U45" s="17"/>
      <c r="V45" s="7">
        <v>2023</v>
      </c>
      <c r="W45" s="14">
        <v>100</v>
      </c>
      <c r="X45" s="23" t="s">
        <v>631</v>
      </c>
      <c r="Y45" s="7">
        <v>2023</v>
      </c>
      <c r="Z45" s="14">
        <v>100</v>
      </c>
      <c r="AA45" s="137" t="s">
        <v>632</v>
      </c>
      <c r="AB45" s="7">
        <v>2023</v>
      </c>
      <c r="AC45" s="14">
        <v>50</v>
      </c>
      <c r="AD45" s="138" t="s">
        <v>633</v>
      </c>
      <c r="AE45" s="7">
        <v>2023</v>
      </c>
      <c r="AF45" s="14">
        <v>33</v>
      </c>
      <c r="AG45" s="14"/>
      <c r="AH45" s="7">
        <v>2023</v>
      </c>
      <c r="AI45" s="21">
        <v>0</v>
      </c>
      <c r="AJ45" s="17"/>
      <c r="AK45" s="7">
        <v>2023</v>
      </c>
      <c r="AL45" s="14">
        <v>50</v>
      </c>
      <c r="AM45" s="23" t="s">
        <v>634</v>
      </c>
    </row>
    <row r="46" spans="1:51" ht="24.75" customHeight="1">
      <c r="A46" s="7">
        <v>2024</v>
      </c>
      <c r="B46" s="16">
        <f t="shared" si="6"/>
        <v>61.904761904761905</v>
      </c>
      <c r="C46" s="16"/>
      <c r="D46" s="7">
        <v>2024</v>
      </c>
      <c r="E46" s="82">
        <v>67</v>
      </c>
      <c r="F46" s="83" t="s">
        <v>636</v>
      </c>
      <c r="G46" s="7">
        <v>2024</v>
      </c>
      <c r="H46" s="82">
        <v>50</v>
      </c>
      <c r="I46" s="86" t="s">
        <v>637</v>
      </c>
      <c r="J46" s="7">
        <v>2024</v>
      </c>
      <c r="K46" s="14">
        <v>50</v>
      </c>
      <c r="L46" s="17"/>
      <c r="M46" s="7">
        <v>2024</v>
      </c>
      <c r="N46" s="31">
        <f t="shared" si="5"/>
        <v>83.333333333333329</v>
      </c>
      <c r="O46" s="14"/>
      <c r="P46" s="7">
        <v>2024</v>
      </c>
      <c r="Q46" s="14">
        <v>100</v>
      </c>
      <c r="R46" s="139" t="s">
        <v>635</v>
      </c>
      <c r="S46" s="7">
        <v>2024</v>
      </c>
      <c r="T46" s="14">
        <v>50</v>
      </c>
      <c r="U46" s="17" t="s">
        <v>638</v>
      </c>
      <c r="V46" s="7">
        <v>2024</v>
      </c>
      <c r="W46" s="14">
        <v>100</v>
      </c>
      <c r="X46" s="23" t="s">
        <v>631</v>
      </c>
      <c r="Y46" s="7">
        <v>2024</v>
      </c>
      <c r="Z46" s="14">
        <v>100</v>
      </c>
      <c r="AA46" s="137" t="s">
        <v>632</v>
      </c>
      <c r="AB46" s="7">
        <v>2024</v>
      </c>
      <c r="AC46" s="14">
        <v>50</v>
      </c>
      <c r="AD46" s="138" t="s">
        <v>633</v>
      </c>
      <c r="AE46" s="7">
        <v>2024</v>
      </c>
      <c r="AF46" s="14">
        <v>33</v>
      </c>
      <c r="AG46" s="14"/>
      <c r="AH46" s="7">
        <v>2024</v>
      </c>
      <c r="AI46" s="21">
        <v>0</v>
      </c>
      <c r="AJ46" s="17" t="s">
        <v>639</v>
      </c>
      <c r="AK46" s="7">
        <v>2024</v>
      </c>
      <c r="AL46" s="14">
        <v>50</v>
      </c>
      <c r="AM46" s="23" t="s">
        <v>640</v>
      </c>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51" t="s">
        <v>189</v>
      </c>
      <c r="F51" s="351"/>
      <c r="G51" s="7" t="s">
        <v>19</v>
      </c>
      <c r="H51" s="351" t="s">
        <v>190</v>
      </c>
      <c r="I51" s="351"/>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52" t="s">
        <v>194</v>
      </c>
      <c r="F52" s="352"/>
      <c r="G52" s="7" t="s">
        <v>30</v>
      </c>
      <c r="H52" s="352" t="s">
        <v>195</v>
      </c>
      <c r="I52" s="352"/>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298" t="s">
        <v>199</v>
      </c>
      <c r="F53" s="298"/>
      <c r="G53" s="7" t="s">
        <v>41</v>
      </c>
      <c r="H53" s="352" t="s">
        <v>200</v>
      </c>
      <c r="I53" s="352"/>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89" t="s">
        <v>54</v>
      </c>
      <c r="F54" s="89" t="s">
        <v>122</v>
      </c>
      <c r="G54" s="7" t="s">
        <v>121</v>
      </c>
      <c r="H54" s="89" t="s">
        <v>54</v>
      </c>
      <c r="I54" s="89" t="s">
        <v>122</v>
      </c>
      <c r="J54" s="7" t="s">
        <v>121</v>
      </c>
      <c r="K54" s="12" t="s">
        <v>54</v>
      </c>
      <c r="L54" s="12" t="s">
        <v>122</v>
      </c>
      <c r="M54" s="7" t="s">
        <v>121</v>
      </c>
      <c r="N54" s="12" t="s">
        <v>54</v>
      </c>
      <c r="O54" s="12" t="s">
        <v>122</v>
      </c>
      <c r="P54" s="7" t="s">
        <v>121</v>
      </c>
      <c r="Q54" s="12" t="s">
        <v>54</v>
      </c>
      <c r="R54" s="12" t="s">
        <v>122</v>
      </c>
    </row>
    <row r="55" spans="1:24" ht="24.75" customHeight="1">
      <c r="A55" s="7">
        <v>2020</v>
      </c>
      <c r="B55" s="15">
        <f t="shared" ref="B55:B59" si="7">AVERAGE(E55,H55,K55,N55,Q55)</f>
        <v>10</v>
      </c>
      <c r="C55" s="16"/>
      <c r="D55" s="7">
        <v>2020</v>
      </c>
      <c r="E55" s="33">
        <v>0</v>
      </c>
      <c r="F55" s="20" t="s">
        <v>641</v>
      </c>
      <c r="G55" s="7">
        <v>2020</v>
      </c>
      <c r="H55" s="33">
        <v>0</v>
      </c>
      <c r="I55" s="20" t="s">
        <v>642</v>
      </c>
      <c r="J55" s="7">
        <v>2020</v>
      </c>
      <c r="K55" s="14">
        <v>0</v>
      </c>
      <c r="L55" s="140" t="s">
        <v>643</v>
      </c>
      <c r="M55" s="7">
        <v>2020</v>
      </c>
      <c r="N55" s="14">
        <v>0</v>
      </c>
      <c r="O55" s="17" t="s">
        <v>644</v>
      </c>
      <c r="P55" s="7">
        <v>2020</v>
      </c>
      <c r="Q55" s="14">
        <v>50</v>
      </c>
      <c r="R55" s="23" t="s">
        <v>645</v>
      </c>
    </row>
    <row r="56" spans="1:24" ht="24.75" customHeight="1">
      <c r="A56" s="7">
        <v>2021</v>
      </c>
      <c r="B56" s="15">
        <f t="shared" si="7"/>
        <v>10</v>
      </c>
      <c r="C56" s="15"/>
      <c r="D56" s="7">
        <v>2021</v>
      </c>
      <c r="E56" s="33">
        <v>0</v>
      </c>
      <c r="F56" s="20" t="s">
        <v>641</v>
      </c>
      <c r="G56" s="7">
        <v>2021</v>
      </c>
      <c r="H56" s="33">
        <v>0</v>
      </c>
      <c r="I56" s="20" t="s">
        <v>642</v>
      </c>
      <c r="J56" s="7">
        <v>2021</v>
      </c>
      <c r="K56" s="14">
        <v>0</v>
      </c>
      <c r="L56" s="140" t="s">
        <v>643</v>
      </c>
      <c r="M56" s="7">
        <v>2021</v>
      </c>
      <c r="N56" s="14">
        <v>0</v>
      </c>
      <c r="O56" s="17" t="s">
        <v>644</v>
      </c>
      <c r="P56" s="7">
        <v>2021</v>
      </c>
      <c r="Q56" s="14">
        <v>50</v>
      </c>
      <c r="R56" s="23" t="s">
        <v>645</v>
      </c>
    </row>
    <row r="57" spans="1:24" ht="24.75" customHeight="1">
      <c r="A57" s="7">
        <v>2022</v>
      </c>
      <c r="B57" s="15">
        <f t="shared" si="7"/>
        <v>10</v>
      </c>
      <c r="C57" s="15"/>
      <c r="D57" s="7">
        <v>2022</v>
      </c>
      <c r="E57" s="33">
        <v>0</v>
      </c>
      <c r="F57" s="20" t="s">
        <v>641</v>
      </c>
      <c r="G57" s="7">
        <v>2022</v>
      </c>
      <c r="H57" s="33">
        <v>0</v>
      </c>
      <c r="I57" s="20" t="s">
        <v>642</v>
      </c>
      <c r="J57" s="7">
        <v>2022</v>
      </c>
      <c r="K57" s="14">
        <v>0</v>
      </c>
      <c r="L57" s="140" t="s">
        <v>643</v>
      </c>
      <c r="M57" s="7">
        <v>2022</v>
      </c>
      <c r="N57" s="14">
        <v>0</v>
      </c>
      <c r="O57" s="17" t="s">
        <v>644</v>
      </c>
      <c r="P57" s="7">
        <v>2022</v>
      </c>
      <c r="Q57" s="14">
        <v>50</v>
      </c>
      <c r="R57" s="23" t="s">
        <v>645</v>
      </c>
    </row>
    <row r="58" spans="1:24" ht="24.75" customHeight="1">
      <c r="A58" s="7">
        <v>2023</v>
      </c>
      <c r="B58" s="15">
        <f t="shared" si="7"/>
        <v>10</v>
      </c>
      <c r="C58" s="15"/>
      <c r="D58" s="7">
        <v>2023</v>
      </c>
      <c r="E58" s="33">
        <v>0</v>
      </c>
      <c r="F58" s="20" t="s">
        <v>641</v>
      </c>
      <c r="G58" s="7">
        <v>2023</v>
      </c>
      <c r="H58" s="33">
        <v>0</v>
      </c>
      <c r="I58" s="20" t="s">
        <v>642</v>
      </c>
      <c r="J58" s="7">
        <v>2023</v>
      </c>
      <c r="K58" s="14">
        <v>0</v>
      </c>
      <c r="L58" s="140" t="s">
        <v>643</v>
      </c>
      <c r="M58" s="7">
        <v>2023</v>
      </c>
      <c r="N58" s="14">
        <v>0</v>
      </c>
      <c r="O58" s="17" t="s">
        <v>644</v>
      </c>
      <c r="P58" s="7">
        <v>2023</v>
      </c>
      <c r="Q58" s="14">
        <v>50</v>
      </c>
      <c r="R58" s="23" t="s">
        <v>645</v>
      </c>
    </row>
    <row r="59" spans="1:24" ht="24.75" customHeight="1">
      <c r="A59" s="7">
        <v>2024</v>
      </c>
      <c r="B59" s="15">
        <f t="shared" si="7"/>
        <v>10</v>
      </c>
      <c r="C59" s="15"/>
      <c r="D59" s="7">
        <v>2024</v>
      </c>
      <c r="E59" s="33">
        <v>0</v>
      </c>
      <c r="F59" s="20" t="s">
        <v>641</v>
      </c>
      <c r="G59" s="7">
        <v>2024</v>
      </c>
      <c r="H59" s="33">
        <v>0</v>
      </c>
      <c r="I59" s="20" t="s">
        <v>642</v>
      </c>
      <c r="J59" s="7">
        <v>2024</v>
      </c>
      <c r="K59" s="14">
        <v>0</v>
      </c>
      <c r="L59" s="140" t="s">
        <v>643</v>
      </c>
      <c r="M59" s="7">
        <v>2024</v>
      </c>
      <c r="N59" s="14">
        <v>0</v>
      </c>
      <c r="O59" s="17" t="s">
        <v>644</v>
      </c>
      <c r="P59" s="7">
        <v>2024</v>
      </c>
      <c r="Q59" s="14">
        <v>50</v>
      </c>
      <c r="R59" s="23" t="s">
        <v>645</v>
      </c>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88" t="s">
        <v>13</v>
      </c>
      <c r="T63" s="348"/>
      <c r="U63" s="348"/>
      <c r="V63" s="5" t="s">
        <v>13</v>
      </c>
      <c r="W63" s="311"/>
      <c r="X63" s="311"/>
    </row>
    <row r="64" spans="1:24" ht="24.75" customHeight="1">
      <c r="A64" s="7" t="s">
        <v>19</v>
      </c>
      <c r="B64" s="322" t="s">
        <v>213</v>
      </c>
      <c r="C64" s="322"/>
      <c r="D64" s="7" t="s">
        <v>19</v>
      </c>
      <c r="E64" s="351" t="s">
        <v>214</v>
      </c>
      <c r="F64" s="351"/>
      <c r="G64" s="7" t="s">
        <v>19</v>
      </c>
      <c r="H64" s="322" t="s">
        <v>215</v>
      </c>
      <c r="I64" s="322"/>
      <c r="J64" s="7" t="s">
        <v>19</v>
      </c>
      <c r="K64" s="351" t="s">
        <v>88</v>
      </c>
      <c r="L64" s="351"/>
      <c r="M64" s="89" t="s">
        <v>19</v>
      </c>
      <c r="N64" s="351" t="s">
        <v>216</v>
      </c>
      <c r="O64" s="351"/>
      <c r="P64" s="89" t="s">
        <v>19</v>
      </c>
      <c r="Q64" s="351" t="s">
        <v>217</v>
      </c>
      <c r="R64" s="351"/>
      <c r="S64" s="89" t="s">
        <v>19</v>
      </c>
      <c r="T64" s="351" t="s">
        <v>218</v>
      </c>
      <c r="U64" s="351"/>
      <c r="V64" s="89" t="s">
        <v>19</v>
      </c>
      <c r="W64" s="351" t="s">
        <v>219</v>
      </c>
      <c r="X64" s="351"/>
    </row>
    <row r="65" spans="1:27" ht="24.75" customHeight="1">
      <c r="A65" s="7" t="s">
        <v>30</v>
      </c>
      <c r="B65" s="322" t="s">
        <v>31</v>
      </c>
      <c r="C65" s="322"/>
      <c r="D65" s="7" t="s">
        <v>30</v>
      </c>
      <c r="E65" s="352" t="s">
        <v>220</v>
      </c>
      <c r="F65" s="352"/>
      <c r="G65" s="7" t="s">
        <v>30</v>
      </c>
      <c r="H65" s="310" t="s">
        <v>221</v>
      </c>
      <c r="I65" s="310"/>
      <c r="J65" s="7" t="s">
        <v>30</v>
      </c>
      <c r="K65" s="352" t="s">
        <v>101</v>
      </c>
      <c r="L65" s="352"/>
      <c r="M65" s="89" t="s">
        <v>30</v>
      </c>
      <c r="N65" s="352" t="s">
        <v>222</v>
      </c>
      <c r="O65" s="352"/>
      <c r="P65" s="89" t="s">
        <v>30</v>
      </c>
      <c r="Q65" s="352" t="s">
        <v>217</v>
      </c>
      <c r="R65" s="352"/>
      <c r="S65" s="89" t="s">
        <v>30</v>
      </c>
      <c r="T65" s="352" t="s">
        <v>223</v>
      </c>
      <c r="U65" s="352"/>
      <c r="V65" s="89" t="s">
        <v>30</v>
      </c>
      <c r="W65" s="357" t="s">
        <v>224</v>
      </c>
      <c r="X65" s="357"/>
    </row>
    <row r="66" spans="1:27" ht="24.75" customHeight="1">
      <c r="A66" s="7" t="s">
        <v>41</v>
      </c>
      <c r="B66" s="310" t="s">
        <v>42</v>
      </c>
      <c r="C66" s="310"/>
      <c r="D66" s="7" t="s">
        <v>41</v>
      </c>
      <c r="E66" s="298" t="s">
        <v>225</v>
      </c>
      <c r="F66" s="298"/>
      <c r="G66" s="7" t="s">
        <v>41</v>
      </c>
      <c r="H66" s="310" t="s">
        <v>226</v>
      </c>
      <c r="I66" s="310"/>
      <c r="J66" s="7" t="s">
        <v>41</v>
      </c>
      <c r="K66" s="352" t="s">
        <v>115</v>
      </c>
      <c r="L66" s="352"/>
      <c r="M66" s="89" t="s">
        <v>41</v>
      </c>
      <c r="N66" s="352" t="s">
        <v>227</v>
      </c>
      <c r="O66" s="352"/>
      <c r="P66" s="89" t="s">
        <v>41</v>
      </c>
      <c r="Q66" s="352" t="s">
        <v>228</v>
      </c>
      <c r="R66" s="352"/>
      <c r="S66" s="89" t="s">
        <v>41</v>
      </c>
      <c r="T66" s="351" t="s">
        <v>229</v>
      </c>
      <c r="U66" s="352"/>
      <c r="V66" s="89" t="s">
        <v>41</v>
      </c>
      <c r="W66" s="352" t="s">
        <v>230</v>
      </c>
      <c r="X66" s="352"/>
    </row>
    <row r="67" spans="1:27" ht="24.75" customHeight="1">
      <c r="A67" s="7" t="s">
        <v>1</v>
      </c>
      <c r="B67" s="7" t="s">
        <v>52</v>
      </c>
      <c r="C67" s="7" t="s">
        <v>53</v>
      </c>
      <c r="D67" s="7" t="s">
        <v>121</v>
      </c>
      <c r="E67" s="89" t="s">
        <v>54</v>
      </c>
      <c r="F67" s="89" t="s">
        <v>122</v>
      </c>
      <c r="G67" s="7" t="s">
        <v>121</v>
      </c>
      <c r="H67" s="12" t="s">
        <v>54</v>
      </c>
      <c r="I67" s="12" t="s">
        <v>122</v>
      </c>
      <c r="J67" s="7" t="s">
        <v>121</v>
      </c>
      <c r="K67" s="89" t="s">
        <v>54</v>
      </c>
      <c r="L67" s="89" t="s">
        <v>122</v>
      </c>
      <c r="M67" s="89" t="s">
        <v>121</v>
      </c>
      <c r="N67" s="89" t="s">
        <v>54</v>
      </c>
      <c r="O67" s="89" t="s">
        <v>122</v>
      </c>
      <c r="P67" s="89" t="s">
        <v>121</v>
      </c>
      <c r="Q67" s="89" t="s">
        <v>54</v>
      </c>
      <c r="R67" s="89" t="s">
        <v>122</v>
      </c>
      <c r="S67" s="89" t="s">
        <v>121</v>
      </c>
      <c r="T67" s="89" t="s">
        <v>54</v>
      </c>
      <c r="U67" s="89" t="s">
        <v>122</v>
      </c>
      <c r="V67" s="89" t="s">
        <v>121</v>
      </c>
      <c r="W67" s="89" t="s">
        <v>54</v>
      </c>
      <c r="X67" s="89" t="s">
        <v>122</v>
      </c>
    </row>
    <row r="68" spans="1:27" ht="24.75" customHeight="1">
      <c r="A68" s="7">
        <v>2020</v>
      </c>
      <c r="B68" s="15">
        <f t="shared" ref="B68:B72" si="8">AVERAGE(E68,((H68+K68)/2),((N68+Q68+T68)/3),W68)</f>
        <v>50</v>
      </c>
      <c r="C68" s="16"/>
      <c r="D68" s="7">
        <v>2020</v>
      </c>
      <c r="E68" s="48">
        <v>50</v>
      </c>
      <c r="F68" s="20" t="s">
        <v>646</v>
      </c>
      <c r="G68" s="7">
        <v>2020</v>
      </c>
      <c r="H68" s="14">
        <v>0</v>
      </c>
      <c r="I68" s="23" t="s">
        <v>647</v>
      </c>
      <c r="J68" s="7">
        <v>2020</v>
      </c>
      <c r="K68" s="33">
        <v>0</v>
      </c>
      <c r="L68" s="20" t="s">
        <v>648</v>
      </c>
      <c r="M68" s="89">
        <v>2020</v>
      </c>
      <c r="N68" s="33">
        <v>100</v>
      </c>
      <c r="O68" s="20" t="s">
        <v>649</v>
      </c>
      <c r="P68" s="89">
        <v>2020</v>
      </c>
      <c r="Q68" s="33">
        <v>50</v>
      </c>
      <c r="R68" s="20" t="s">
        <v>650</v>
      </c>
      <c r="S68" s="89">
        <v>2020</v>
      </c>
      <c r="T68" s="33">
        <v>0</v>
      </c>
      <c r="U68" s="20" t="s">
        <v>651</v>
      </c>
      <c r="V68" s="89">
        <v>2020</v>
      </c>
      <c r="W68" s="33">
        <v>100</v>
      </c>
      <c r="X68" s="22" t="s">
        <v>652</v>
      </c>
    </row>
    <row r="69" spans="1:27" ht="24.75" customHeight="1">
      <c r="A69" s="7">
        <v>2021</v>
      </c>
      <c r="B69" s="15">
        <f t="shared" si="8"/>
        <v>50</v>
      </c>
      <c r="C69" s="15"/>
      <c r="D69" s="7">
        <v>2021</v>
      </c>
      <c r="E69" s="48">
        <v>50</v>
      </c>
      <c r="F69" s="20"/>
      <c r="G69" s="7">
        <v>2021</v>
      </c>
      <c r="H69" s="14">
        <v>0</v>
      </c>
      <c r="I69" s="17"/>
      <c r="J69" s="7">
        <v>2021</v>
      </c>
      <c r="K69" s="33">
        <v>0</v>
      </c>
      <c r="L69" s="20"/>
      <c r="M69" s="89">
        <v>2021</v>
      </c>
      <c r="N69" s="33">
        <v>100</v>
      </c>
      <c r="O69" s="20"/>
      <c r="P69" s="89">
        <v>2021</v>
      </c>
      <c r="Q69" s="33">
        <v>50</v>
      </c>
      <c r="R69" s="20"/>
      <c r="S69" s="89">
        <v>2021</v>
      </c>
      <c r="T69" s="33">
        <v>0</v>
      </c>
      <c r="U69" s="20"/>
      <c r="V69" s="89">
        <v>2021</v>
      </c>
      <c r="W69" s="33">
        <v>100</v>
      </c>
      <c r="X69" s="22"/>
    </row>
    <row r="70" spans="1:27" ht="24.75" customHeight="1">
      <c r="A70" s="7">
        <v>2022</v>
      </c>
      <c r="B70" s="15">
        <f t="shared" si="8"/>
        <v>50</v>
      </c>
      <c r="C70" s="15"/>
      <c r="D70" s="7">
        <v>2022</v>
      </c>
      <c r="E70" s="48">
        <v>50</v>
      </c>
      <c r="F70" s="20"/>
      <c r="G70" s="7">
        <v>2022</v>
      </c>
      <c r="H70" s="14">
        <v>0</v>
      </c>
      <c r="I70" s="17"/>
      <c r="J70" s="7">
        <v>2022</v>
      </c>
      <c r="K70" s="33">
        <v>0</v>
      </c>
      <c r="L70" s="20"/>
      <c r="M70" s="89">
        <v>2022</v>
      </c>
      <c r="N70" s="33">
        <v>100</v>
      </c>
      <c r="O70" s="20"/>
      <c r="P70" s="89">
        <v>2022</v>
      </c>
      <c r="Q70" s="33">
        <v>50</v>
      </c>
      <c r="R70" s="20"/>
      <c r="S70" s="89">
        <v>2022</v>
      </c>
      <c r="T70" s="33">
        <v>0</v>
      </c>
      <c r="U70" s="20"/>
      <c r="V70" s="89">
        <v>2022</v>
      </c>
      <c r="W70" s="33">
        <v>100</v>
      </c>
      <c r="X70" s="22"/>
    </row>
    <row r="71" spans="1:27" ht="24.75" customHeight="1">
      <c r="A71" s="7">
        <v>2023</v>
      </c>
      <c r="B71" s="15">
        <f t="shared" si="8"/>
        <v>50</v>
      </c>
      <c r="C71" s="15"/>
      <c r="D71" s="7">
        <v>2023</v>
      </c>
      <c r="E71" s="48">
        <v>50</v>
      </c>
      <c r="F71" s="20"/>
      <c r="G71" s="7">
        <v>2023</v>
      </c>
      <c r="H71" s="14">
        <v>0</v>
      </c>
      <c r="I71" s="17"/>
      <c r="J71" s="7">
        <v>2023</v>
      </c>
      <c r="K71" s="33">
        <v>0</v>
      </c>
      <c r="L71" s="20"/>
      <c r="M71" s="89">
        <v>2023</v>
      </c>
      <c r="N71" s="33">
        <v>100</v>
      </c>
      <c r="O71" s="20"/>
      <c r="P71" s="89">
        <v>2023</v>
      </c>
      <c r="Q71" s="33">
        <v>50</v>
      </c>
      <c r="R71" s="20"/>
      <c r="S71" s="89">
        <v>2023</v>
      </c>
      <c r="T71" s="33">
        <v>0</v>
      </c>
      <c r="U71" s="20"/>
      <c r="V71" s="89">
        <v>2023</v>
      </c>
      <c r="W71" s="33">
        <v>100</v>
      </c>
      <c r="X71" s="22"/>
    </row>
    <row r="72" spans="1:27" ht="24.75" customHeight="1">
      <c r="A72" s="7">
        <v>2024</v>
      </c>
      <c r="B72" s="15">
        <f t="shared" si="8"/>
        <v>50</v>
      </c>
      <c r="C72" s="15"/>
      <c r="D72" s="7">
        <v>2024</v>
      </c>
      <c r="E72" s="48">
        <v>50</v>
      </c>
      <c r="F72" s="20"/>
      <c r="G72" s="7">
        <v>2024</v>
      </c>
      <c r="H72" s="14">
        <v>0</v>
      </c>
      <c r="I72" s="17"/>
      <c r="J72" s="7">
        <v>2024</v>
      </c>
      <c r="K72" s="33">
        <v>0</v>
      </c>
      <c r="L72" s="20"/>
      <c r="M72" s="89">
        <v>2024</v>
      </c>
      <c r="N72" s="33">
        <v>100</v>
      </c>
      <c r="O72" s="20"/>
      <c r="P72" s="89">
        <v>2024</v>
      </c>
      <c r="Q72" s="33">
        <v>50</v>
      </c>
      <c r="R72" s="20"/>
      <c r="S72" s="89">
        <v>2024</v>
      </c>
      <c r="T72" s="33">
        <v>0</v>
      </c>
      <c r="U72" s="20"/>
      <c r="V72" s="89">
        <v>2024</v>
      </c>
      <c r="W72" s="33">
        <v>100</v>
      </c>
      <c r="X72" s="22"/>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90"/>
      <c r="F76" s="90"/>
      <c r="G76" s="5" t="s">
        <v>13</v>
      </c>
      <c r="H76" s="311"/>
      <c r="I76" s="311"/>
      <c r="J76" s="5" t="s">
        <v>13</v>
      </c>
      <c r="K76" s="311"/>
      <c r="L76" s="311"/>
      <c r="M76" s="5" t="s">
        <v>13</v>
      </c>
      <c r="N76" s="348" t="s">
        <v>238</v>
      </c>
      <c r="O76" s="348"/>
      <c r="P76" s="5" t="s">
        <v>13</v>
      </c>
      <c r="Q76" s="311" t="s">
        <v>239</v>
      </c>
      <c r="R76" s="311"/>
      <c r="S76" s="5" t="s">
        <v>13</v>
      </c>
      <c r="T76" s="311" t="s">
        <v>240</v>
      </c>
      <c r="U76" s="311"/>
      <c r="V76" s="5" t="s">
        <v>13</v>
      </c>
      <c r="W76" s="311" t="s">
        <v>241</v>
      </c>
      <c r="X76" s="311"/>
      <c r="Y76" s="5" t="s">
        <v>13</v>
      </c>
      <c r="Z76" s="348"/>
      <c r="AA76" s="348"/>
    </row>
    <row r="77" spans="1:27" ht="24.75" customHeight="1">
      <c r="A77" s="7" t="s">
        <v>19</v>
      </c>
      <c r="B77" s="322" t="s">
        <v>242</v>
      </c>
      <c r="C77" s="322"/>
      <c r="D77" s="7" t="s">
        <v>19</v>
      </c>
      <c r="E77" s="351" t="s">
        <v>243</v>
      </c>
      <c r="F77" s="351"/>
      <c r="G77" s="7" t="s">
        <v>19</v>
      </c>
      <c r="H77" s="327" t="s">
        <v>244</v>
      </c>
      <c r="I77" s="327"/>
      <c r="J77" s="7" t="s">
        <v>19</v>
      </c>
      <c r="K77" s="322" t="s">
        <v>245</v>
      </c>
      <c r="L77" s="322"/>
      <c r="M77" s="7" t="s">
        <v>19</v>
      </c>
      <c r="N77" s="351" t="s">
        <v>246</v>
      </c>
      <c r="O77" s="351"/>
      <c r="P77" s="7" t="s">
        <v>19</v>
      </c>
      <c r="Q77" s="322" t="s">
        <v>247</v>
      </c>
      <c r="R77" s="322"/>
      <c r="S77" s="7" t="s">
        <v>19</v>
      </c>
      <c r="T77" s="322" t="s">
        <v>88</v>
      </c>
      <c r="U77" s="322"/>
      <c r="V77" s="7" t="s">
        <v>19</v>
      </c>
      <c r="W77" s="322" t="s">
        <v>248</v>
      </c>
      <c r="X77" s="322"/>
      <c r="Y77" s="7" t="s">
        <v>19</v>
      </c>
      <c r="Z77" s="351" t="s">
        <v>249</v>
      </c>
      <c r="AA77" s="351"/>
    </row>
    <row r="78" spans="1:27" ht="24.75" customHeight="1">
      <c r="A78" s="7" t="s">
        <v>30</v>
      </c>
      <c r="B78" s="322" t="s">
        <v>31</v>
      </c>
      <c r="C78" s="322"/>
      <c r="D78" s="7" t="s">
        <v>30</v>
      </c>
      <c r="E78" s="352" t="s">
        <v>250</v>
      </c>
      <c r="F78" s="352"/>
      <c r="G78" s="7" t="s">
        <v>30</v>
      </c>
      <c r="H78" s="325" t="s">
        <v>251</v>
      </c>
      <c r="I78" s="325"/>
      <c r="J78" s="7" t="s">
        <v>30</v>
      </c>
      <c r="K78" s="310" t="s">
        <v>252</v>
      </c>
      <c r="L78" s="310"/>
      <c r="M78" s="7" t="s">
        <v>30</v>
      </c>
      <c r="N78" s="352" t="s">
        <v>253</v>
      </c>
      <c r="O78" s="352"/>
      <c r="P78" s="7" t="s">
        <v>30</v>
      </c>
      <c r="Q78" s="310" t="s">
        <v>254</v>
      </c>
      <c r="R78" s="310"/>
      <c r="S78" s="7" t="s">
        <v>30</v>
      </c>
      <c r="T78" s="310" t="s">
        <v>255</v>
      </c>
      <c r="U78" s="310"/>
      <c r="V78" s="7" t="s">
        <v>30</v>
      </c>
      <c r="W78" s="310" t="s">
        <v>256</v>
      </c>
      <c r="X78" s="310"/>
      <c r="Y78" s="7" t="s">
        <v>30</v>
      </c>
      <c r="Z78" s="352" t="s">
        <v>257</v>
      </c>
      <c r="AA78" s="352"/>
    </row>
    <row r="79" spans="1:27" ht="24.75" customHeight="1">
      <c r="A79" s="7" t="s">
        <v>41</v>
      </c>
      <c r="B79" s="310" t="s">
        <v>42</v>
      </c>
      <c r="C79" s="310"/>
      <c r="D79" s="7" t="s">
        <v>41</v>
      </c>
      <c r="E79" s="351" t="s">
        <v>258</v>
      </c>
      <c r="F79" s="352"/>
      <c r="G79" s="7" t="s">
        <v>41</v>
      </c>
      <c r="H79" s="325" t="s">
        <v>259</v>
      </c>
      <c r="I79" s="325"/>
      <c r="J79" s="7" t="s">
        <v>41</v>
      </c>
      <c r="K79" s="310" t="s">
        <v>42</v>
      </c>
      <c r="L79" s="310"/>
      <c r="M79" s="7" t="s">
        <v>41</v>
      </c>
      <c r="N79" s="352" t="s">
        <v>260</v>
      </c>
      <c r="O79" s="352"/>
      <c r="P79" s="7" t="s">
        <v>41</v>
      </c>
      <c r="Q79" s="310" t="s">
        <v>261</v>
      </c>
      <c r="R79" s="310"/>
      <c r="S79" s="7" t="s">
        <v>41</v>
      </c>
      <c r="T79" s="310" t="s">
        <v>262</v>
      </c>
      <c r="U79" s="310"/>
      <c r="V79" s="7" t="s">
        <v>41</v>
      </c>
      <c r="W79" s="310" t="s">
        <v>263</v>
      </c>
      <c r="X79" s="310"/>
      <c r="Y79" s="7" t="s">
        <v>41</v>
      </c>
      <c r="Z79" s="328" t="s">
        <v>264</v>
      </c>
      <c r="AA79" s="298"/>
    </row>
    <row r="80" spans="1:27" ht="24.75" customHeight="1">
      <c r="A80" s="7" t="s">
        <v>121</v>
      </c>
      <c r="B80" s="7" t="s">
        <v>54</v>
      </c>
      <c r="C80" s="7" t="s">
        <v>122</v>
      </c>
      <c r="D80" s="7" t="s">
        <v>121</v>
      </c>
      <c r="E80" s="89" t="s">
        <v>54</v>
      </c>
      <c r="F80" s="89" t="s">
        <v>122</v>
      </c>
      <c r="G80" s="7" t="s">
        <v>121</v>
      </c>
      <c r="H80" s="12" t="s">
        <v>54</v>
      </c>
      <c r="I80" s="12" t="s">
        <v>122</v>
      </c>
      <c r="J80" s="7" t="s">
        <v>121</v>
      </c>
      <c r="K80" s="7" t="s">
        <v>54</v>
      </c>
      <c r="L80" s="7" t="s">
        <v>122</v>
      </c>
      <c r="M80" s="7" t="s">
        <v>121</v>
      </c>
      <c r="N80" s="89" t="s">
        <v>54</v>
      </c>
      <c r="O80" s="89" t="s">
        <v>122</v>
      </c>
      <c r="P80" s="7" t="s">
        <v>121</v>
      </c>
      <c r="Q80" s="12" t="s">
        <v>54</v>
      </c>
      <c r="R80" s="12" t="s">
        <v>122</v>
      </c>
      <c r="S80" s="7" t="s">
        <v>121</v>
      </c>
      <c r="T80" s="12" t="s">
        <v>54</v>
      </c>
      <c r="U80" s="12" t="s">
        <v>122</v>
      </c>
      <c r="V80" s="7" t="s">
        <v>121</v>
      </c>
      <c r="W80" s="12" t="s">
        <v>54</v>
      </c>
      <c r="X80" s="12" t="s">
        <v>122</v>
      </c>
      <c r="Y80" s="7" t="s">
        <v>121</v>
      </c>
      <c r="Z80" s="89" t="s">
        <v>54</v>
      </c>
      <c r="AA80" s="89" t="s">
        <v>122</v>
      </c>
    </row>
    <row r="81" spans="1:33" ht="24.75" customHeight="1">
      <c r="A81" s="7">
        <v>2020</v>
      </c>
      <c r="B81" s="15">
        <f t="shared" ref="B81:B85" si="9">AVERAGE(E81,H81,K81,Z81)</f>
        <v>36.375</v>
      </c>
      <c r="C81" s="15"/>
      <c r="D81" s="7">
        <v>2020</v>
      </c>
      <c r="E81" s="33">
        <v>0</v>
      </c>
      <c r="F81" s="22" t="s">
        <v>653</v>
      </c>
      <c r="G81" s="7">
        <v>2020</v>
      </c>
      <c r="H81" s="14">
        <v>33</v>
      </c>
      <c r="I81" s="17" t="s">
        <v>654</v>
      </c>
      <c r="J81" s="7">
        <v>2020</v>
      </c>
      <c r="K81" s="31">
        <f t="shared" ref="K81:K85" si="10">AVERAGE(N81,Q81,T81,W81)</f>
        <v>12.5</v>
      </c>
      <c r="L81" s="14"/>
      <c r="M81" s="7">
        <v>2020</v>
      </c>
      <c r="N81" s="48">
        <v>0</v>
      </c>
      <c r="O81" s="20" t="s">
        <v>655</v>
      </c>
      <c r="P81" s="7">
        <v>2020</v>
      </c>
      <c r="Q81" s="21">
        <v>0</v>
      </c>
      <c r="R81" s="23" t="s">
        <v>656</v>
      </c>
      <c r="S81" s="7">
        <v>2020</v>
      </c>
      <c r="T81" s="21">
        <v>0</v>
      </c>
      <c r="U81" s="141" t="s">
        <v>657</v>
      </c>
      <c r="V81" s="7">
        <v>2020</v>
      </c>
      <c r="W81" s="48">
        <v>50</v>
      </c>
      <c r="X81" s="142" t="s">
        <v>658</v>
      </c>
      <c r="Y81" s="7">
        <v>2020</v>
      </c>
      <c r="Z81" s="33">
        <v>100</v>
      </c>
      <c r="AA81" s="22" t="s">
        <v>659</v>
      </c>
    </row>
    <row r="82" spans="1:33" ht="24.75" customHeight="1">
      <c r="A82" s="7">
        <v>2021</v>
      </c>
      <c r="B82" s="15">
        <f t="shared" si="9"/>
        <v>36.375</v>
      </c>
      <c r="C82" s="15"/>
      <c r="D82" s="7">
        <v>2021</v>
      </c>
      <c r="E82" s="33">
        <v>0</v>
      </c>
      <c r="F82" s="20"/>
      <c r="G82" s="7">
        <v>2021</v>
      </c>
      <c r="H82" s="14">
        <v>33</v>
      </c>
      <c r="I82" s="17" t="s">
        <v>654</v>
      </c>
      <c r="J82" s="7">
        <v>2021</v>
      </c>
      <c r="K82" s="31">
        <f t="shared" si="10"/>
        <v>12.5</v>
      </c>
      <c r="L82" s="14"/>
      <c r="M82" s="7">
        <v>2021</v>
      </c>
      <c r="N82" s="48">
        <v>0</v>
      </c>
      <c r="O82" s="20" t="s">
        <v>655</v>
      </c>
      <c r="P82" s="7">
        <v>2021</v>
      </c>
      <c r="Q82" s="21">
        <v>0</v>
      </c>
      <c r="R82" s="23" t="s">
        <v>656</v>
      </c>
      <c r="S82" s="7">
        <v>2021</v>
      </c>
      <c r="T82" s="21">
        <v>0</v>
      </c>
      <c r="U82" s="141" t="s">
        <v>657</v>
      </c>
      <c r="V82" s="7">
        <v>2021</v>
      </c>
      <c r="W82" s="48">
        <v>50</v>
      </c>
      <c r="X82" s="142" t="s">
        <v>660</v>
      </c>
      <c r="Y82" s="7">
        <v>2021</v>
      </c>
      <c r="Z82" s="33">
        <v>100</v>
      </c>
      <c r="AA82" s="22" t="s">
        <v>659</v>
      </c>
    </row>
    <row r="83" spans="1:33" ht="24.75" customHeight="1">
      <c r="A83" s="7">
        <v>2022</v>
      </c>
      <c r="B83" s="15">
        <f t="shared" si="9"/>
        <v>36.375</v>
      </c>
      <c r="C83" s="15"/>
      <c r="D83" s="7">
        <v>2022</v>
      </c>
      <c r="E83" s="33">
        <v>0</v>
      </c>
      <c r="F83" s="20"/>
      <c r="G83" s="7">
        <v>2022</v>
      </c>
      <c r="H83" s="14">
        <v>33</v>
      </c>
      <c r="I83" s="17" t="s">
        <v>654</v>
      </c>
      <c r="J83" s="7">
        <v>2022</v>
      </c>
      <c r="K83" s="31">
        <f t="shared" si="10"/>
        <v>12.5</v>
      </c>
      <c r="L83" s="14"/>
      <c r="M83" s="7">
        <v>2022</v>
      </c>
      <c r="N83" s="48">
        <v>0</v>
      </c>
      <c r="O83" s="20" t="s">
        <v>655</v>
      </c>
      <c r="P83" s="7">
        <v>2022</v>
      </c>
      <c r="Q83" s="21">
        <v>0</v>
      </c>
      <c r="R83" s="23" t="s">
        <v>656</v>
      </c>
      <c r="S83" s="7">
        <v>2022</v>
      </c>
      <c r="T83" s="21">
        <v>0</v>
      </c>
      <c r="U83" s="141" t="s">
        <v>657</v>
      </c>
      <c r="V83" s="7">
        <v>2022</v>
      </c>
      <c r="W83" s="48">
        <v>50</v>
      </c>
      <c r="X83" s="142" t="s">
        <v>660</v>
      </c>
      <c r="Y83" s="7">
        <v>2022</v>
      </c>
      <c r="Z83" s="33">
        <v>100</v>
      </c>
      <c r="AA83" s="22" t="s">
        <v>659</v>
      </c>
    </row>
    <row r="84" spans="1:33" ht="24.75" customHeight="1">
      <c r="A84" s="7">
        <v>2023</v>
      </c>
      <c r="B84" s="15">
        <f t="shared" si="9"/>
        <v>36.375</v>
      </c>
      <c r="C84" s="15"/>
      <c r="D84" s="7">
        <v>2023</v>
      </c>
      <c r="E84" s="33">
        <v>0</v>
      </c>
      <c r="F84" s="20"/>
      <c r="G84" s="7">
        <v>2023</v>
      </c>
      <c r="H84" s="14">
        <v>33</v>
      </c>
      <c r="I84" s="17" t="s">
        <v>654</v>
      </c>
      <c r="J84" s="7">
        <v>2023</v>
      </c>
      <c r="K84" s="31">
        <f t="shared" si="10"/>
        <v>12.5</v>
      </c>
      <c r="L84" s="14"/>
      <c r="M84" s="7">
        <v>2023</v>
      </c>
      <c r="N84" s="48">
        <v>0</v>
      </c>
      <c r="O84" s="20" t="s">
        <v>655</v>
      </c>
      <c r="P84" s="7">
        <v>2023</v>
      </c>
      <c r="Q84" s="21">
        <v>0</v>
      </c>
      <c r="R84" s="23" t="s">
        <v>656</v>
      </c>
      <c r="S84" s="7">
        <v>2023</v>
      </c>
      <c r="T84" s="21">
        <v>0</v>
      </c>
      <c r="U84" s="141" t="s">
        <v>657</v>
      </c>
      <c r="V84" s="7">
        <v>2023</v>
      </c>
      <c r="W84" s="48">
        <v>50</v>
      </c>
      <c r="X84" s="142" t="s">
        <v>660</v>
      </c>
      <c r="Y84" s="7">
        <v>2023</v>
      </c>
      <c r="Z84" s="33">
        <v>100</v>
      </c>
      <c r="AA84" s="22" t="s">
        <v>659</v>
      </c>
    </row>
    <row r="85" spans="1:33" ht="24.75" customHeight="1">
      <c r="A85" s="7">
        <v>2024</v>
      </c>
      <c r="B85" s="15">
        <f t="shared" si="9"/>
        <v>36.375</v>
      </c>
      <c r="C85" s="15"/>
      <c r="D85" s="7">
        <v>2024</v>
      </c>
      <c r="E85" s="33">
        <v>0</v>
      </c>
      <c r="F85" s="20"/>
      <c r="G85" s="7">
        <v>2024</v>
      </c>
      <c r="H85" s="14">
        <v>33</v>
      </c>
      <c r="I85" s="17" t="s">
        <v>654</v>
      </c>
      <c r="J85" s="7">
        <v>2024</v>
      </c>
      <c r="K85" s="31">
        <f t="shared" si="10"/>
        <v>12.5</v>
      </c>
      <c r="L85" s="14"/>
      <c r="M85" s="7">
        <v>2024</v>
      </c>
      <c r="N85" s="48">
        <v>0</v>
      </c>
      <c r="O85" s="20" t="s">
        <v>655</v>
      </c>
      <c r="P85" s="7">
        <v>2024</v>
      </c>
      <c r="Q85" s="21">
        <v>0</v>
      </c>
      <c r="R85" s="23" t="s">
        <v>656</v>
      </c>
      <c r="S85" s="7">
        <v>2024</v>
      </c>
      <c r="T85" s="21">
        <v>0</v>
      </c>
      <c r="U85" s="141" t="s">
        <v>657</v>
      </c>
      <c r="V85" s="7">
        <v>2024</v>
      </c>
      <c r="W85" s="48">
        <v>50</v>
      </c>
      <c r="X85" s="142" t="s">
        <v>660</v>
      </c>
      <c r="Y85" s="7">
        <v>2024</v>
      </c>
      <c r="Z85" s="33">
        <v>100</v>
      </c>
      <c r="AA85" s="22" t="s">
        <v>659</v>
      </c>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7" t="s">
        <v>282</v>
      </c>
      <c r="U90" s="327"/>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325" t="s">
        <v>292</v>
      </c>
      <c r="U91" s="325"/>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12" t="s">
        <v>54</v>
      </c>
      <c r="F93" s="12" t="s">
        <v>122</v>
      </c>
      <c r="G93" s="7" t="s">
        <v>121</v>
      </c>
      <c r="H93" s="7" t="s">
        <v>54</v>
      </c>
      <c r="I93" s="7" t="s">
        <v>122</v>
      </c>
      <c r="J93" s="7" t="s">
        <v>121</v>
      </c>
      <c r="K93" s="12" t="s">
        <v>54</v>
      </c>
      <c r="L93" s="12" t="s">
        <v>122</v>
      </c>
      <c r="M93" s="7" t="s">
        <v>121</v>
      </c>
      <c r="N93" s="12" t="s">
        <v>54</v>
      </c>
      <c r="O93" s="12" t="s">
        <v>122</v>
      </c>
      <c r="P93" s="7" t="s">
        <v>121</v>
      </c>
      <c r="Q93" s="12" t="s">
        <v>54</v>
      </c>
      <c r="R93" s="12" t="s">
        <v>122</v>
      </c>
      <c r="S93" s="7" t="s">
        <v>121</v>
      </c>
      <c r="T93" s="89" t="s">
        <v>54</v>
      </c>
      <c r="U93" s="12" t="s">
        <v>122</v>
      </c>
      <c r="V93" s="7" t="s">
        <v>121</v>
      </c>
      <c r="W93" s="12" t="s">
        <v>54</v>
      </c>
      <c r="X93" s="12" t="s">
        <v>122</v>
      </c>
      <c r="Y93" s="7" t="s">
        <v>121</v>
      </c>
      <c r="Z93" s="89" t="s">
        <v>54</v>
      </c>
      <c r="AA93" s="12" t="s">
        <v>122</v>
      </c>
      <c r="AB93" s="7" t="s">
        <v>121</v>
      </c>
      <c r="AC93" s="12" t="s">
        <v>54</v>
      </c>
      <c r="AD93" s="12" t="s">
        <v>122</v>
      </c>
      <c r="AE93" s="7" t="s">
        <v>121</v>
      </c>
      <c r="AF93" s="12" t="s">
        <v>54</v>
      </c>
      <c r="AG93" s="12" t="s">
        <v>122</v>
      </c>
    </row>
    <row r="94" spans="1:33" ht="24.75" customHeight="1">
      <c r="A94" s="7">
        <v>2020</v>
      </c>
      <c r="B94" s="15">
        <f>AVERAGE(E94,H94, W94,((Z94+AC94+AF94)/3))</f>
        <v>64.208333333333329</v>
      </c>
      <c r="C94" s="15"/>
      <c r="D94" s="7">
        <v>2020</v>
      </c>
      <c r="E94" s="84">
        <v>50</v>
      </c>
      <c r="F94" s="143" t="s">
        <v>661</v>
      </c>
      <c r="G94" s="7">
        <v>2020</v>
      </c>
      <c r="H94" s="31">
        <f t="shared" ref="H94:H98" si="11">AVERAGE(K94,N94,Q94,T94)</f>
        <v>62.5</v>
      </c>
      <c r="I94" s="14"/>
      <c r="J94" s="7">
        <v>2020</v>
      </c>
      <c r="K94" s="14">
        <v>100</v>
      </c>
      <c r="L94" s="140" t="s">
        <v>662</v>
      </c>
      <c r="M94" s="7">
        <v>2020</v>
      </c>
      <c r="N94" s="82">
        <v>50</v>
      </c>
      <c r="O94" s="86" t="s">
        <v>663</v>
      </c>
      <c r="P94" s="7">
        <v>2020</v>
      </c>
      <c r="Q94" s="84">
        <v>50</v>
      </c>
      <c r="R94" s="86" t="s">
        <v>663</v>
      </c>
      <c r="S94" s="7">
        <v>2020</v>
      </c>
      <c r="T94" s="82">
        <v>50</v>
      </c>
      <c r="U94" s="86" t="s">
        <v>663</v>
      </c>
      <c r="V94" s="7">
        <v>2020</v>
      </c>
      <c r="W94" s="14">
        <v>100</v>
      </c>
      <c r="X94" s="140" t="s">
        <v>664</v>
      </c>
      <c r="Y94" s="7">
        <v>2020</v>
      </c>
      <c r="Z94" s="82">
        <v>50</v>
      </c>
      <c r="AA94" s="144" t="s">
        <v>665</v>
      </c>
      <c r="AB94" s="7">
        <v>2020</v>
      </c>
      <c r="AC94" s="14">
        <v>33</v>
      </c>
      <c r="AD94" s="23" t="s">
        <v>666</v>
      </c>
      <c r="AE94" s="7">
        <v>2020</v>
      </c>
      <c r="AF94" s="14">
        <v>50</v>
      </c>
      <c r="AG94" s="23" t="s">
        <v>667</v>
      </c>
    </row>
    <row r="95" spans="1:33" ht="24.75" customHeight="1">
      <c r="A95" s="7">
        <v>2021</v>
      </c>
      <c r="B95" s="15">
        <f>AVERAGE(E95,H95, W95,((Z95+AC95+AF95)/3))</f>
        <v>64.208333333333329</v>
      </c>
      <c r="C95" s="15"/>
      <c r="D95" s="7">
        <v>2021</v>
      </c>
      <c r="E95" s="84">
        <v>50</v>
      </c>
      <c r="F95" s="143" t="s">
        <v>661</v>
      </c>
      <c r="G95" s="7">
        <v>2021</v>
      </c>
      <c r="H95" s="31">
        <f t="shared" si="11"/>
        <v>62.5</v>
      </c>
      <c r="I95" s="14"/>
      <c r="J95" s="7">
        <v>2021</v>
      </c>
      <c r="K95" s="14">
        <v>100</v>
      </c>
      <c r="L95" s="140" t="s">
        <v>662</v>
      </c>
      <c r="M95" s="7">
        <v>2021</v>
      </c>
      <c r="N95" s="82">
        <v>50</v>
      </c>
      <c r="O95" s="86" t="s">
        <v>663</v>
      </c>
      <c r="P95" s="7">
        <v>2021</v>
      </c>
      <c r="Q95" s="84">
        <v>50</v>
      </c>
      <c r="R95" s="86" t="s">
        <v>663</v>
      </c>
      <c r="S95" s="7">
        <v>2021</v>
      </c>
      <c r="T95" s="82">
        <v>50</v>
      </c>
      <c r="U95" s="86" t="s">
        <v>663</v>
      </c>
      <c r="V95" s="7">
        <v>2021</v>
      </c>
      <c r="W95" s="14">
        <v>100</v>
      </c>
      <c r="X95" s="140" t="s">
        <v>664</v>
      </c>
      <c r="Y95" s="7">
        <v>2021</v>
      </c>
      <c r="Z95" s="82">
        <v>50</v>
      </c>
      <c r="AA95" s="144" t="s">
        <v>668</v>
      </c>
      <c r="AB95" s="7">
        <v>2021</v>
      </c>
      <c r="AC95" s="14">
        <v>33</v>
      </c>
      <c r="AD95" s="23" t="s">
        <v>666</v>
      </c>
      <c r="AE95" s="7">
        <v>2021</v>
      </c>
      <c r="AF95" s="14">
        <v>50</v>
      </c>
      <c r="AG95" s="23" t="s">
        <v>667</v>
      </c>
    </row>
    <row r="96" spans="1:33" ht="24.75" customHeight="1">
      <c r="A96" s="7">
        <v>2022</v>
      </c>
      <c r="B96" s="15">
        <f>AVERAGE(E96,H96, W96,((Z96+AC96+AF96)/3))</f>
        <v>64.208333333333329</v>
      </c>
      <c r="C96" s="15"/>
      <c r="D96" s="7">
        <v>2022</v>
      </c>
      <c r="E96" s="84">
        <v>50</v>
      </c>
      <c r="F96" s="143" t="s">
        <v>661</v>
      </c>
      <c r="G96" s="7">
        <v>2022</v>
      </c>
      <c r="H96" s="31">
        <f t="shared" si="11"/>
        <v>62.5</v>
      </c>
      <c r="I96" s="14"/>
      <c r="J96" s="7">
        <v>2022</v>
      </c>
      <c r="K96" s="14">
        <v>100</v>
      </c>
      <c r="L96" s="140" t="s">
        <v>662</v>
      </c>
      <c r="M96" s="7">
        <v>2022</v>
      </c>
      <c r="N96" s="82">
        <v>50</v>
      </c>
      <c r="O96" s="86" t="s">
        <v>663</v>
      </c>
      <c r="P96" s="7">
        <v>2022</v>
      </c>
      <c r="Q96" s="84">
        <v>50</v>
      </c>
      <c r="R96" s="86" t="s">
        <v>663</v>
      </c>
      <c r="S96" s="7">
        <v>2022</v>
      </c>
      <c r="T96" s="82">
        <v>50</v>
      </c>
      <c r="U96" s="86" t="s">
        <v>663</v>
      </c>
      <c r="V96" s="7">
        <v>2022</v>
      </c>
      <c r="W96" s="14">
        <v>100</v>
      </c>
      <c r="X96" s="140" t="s">
        <v>664</v>
      </c>
      <c r="Y96" s="7">
        <v>2022</v>
      </c>
      <c r="Z96" s="82">
        <v>50</v>
      </c>
      <c r="AA96" s="144" t="s">
        <v>668</v>
      </c>
      <c r="AB96" s="7">
        <v>2022</v>
      </c>
      <c r="AC96" s="14">
        <v>33</v>
      </c>
      <c r="AD96" s="23" t="s">
        <v>666</v>
      </c>
      <c r="AE96" s="7">
        <v>2022</v>
      </c>
      <c r="AF96" s="14">
        <v>50</v>
      </c>
      <c r="AG96" s="23" t="s">
        <v>667</v>
      </c>
    </row>
    <row r="97" spans="1:51" ht="24.75" customHeight="1">
      <c r="A97" s="7">
        <v>2023</v>
      </c>
      <c r="B97" s="15">
        <f>AVERAGE(E97,H97, W97,((Z97+AC97+AF97)/3))</f>
        <v>64.208333333333329</v>
      </c>
      <c r="C97" s="15"/>
      <c r="D97" s="7">
        <v>2023</v>
      </c>
      <c r="E97" s="84">
        <v>50</v>
      </c>
      <c r="F97" s="143" t="s">
        <v>661</v>
      </c>
      <c r="G97" s="7">
        <v>2023</v>
      </c>
      <c r="H97" s="31">
        <f t="shared" si="11"/>
        <v>62.5</v>
      </c>
      <c r="I97" s="14"/>
      <c r="J97" s="7">
        <v>2023</v>
      </c>
      <c r="K97" s="14">
        <v>100</v>
      </c>
      <c r="L97" s="140" t="s">
        <v>662</v>
      </c>
      <c r="M97" s="7">
        <v>2023</v>
      </c>
      <c r="N97" s="82">
        <v>50</v>
      </c>
      <c r="O97" s="86" t="s">
        <v>663</v>
      </c>
      <c r="P97" s="7">
        <v>2023</v>
      </c>
      <c r="Q97" s="84">
        <v>50</v>
      </c>
      <c r="R97" s="86" t="s">
        <v>663</v>
      </c>
      <c r="S97" s="7">
        <v>2023</v>
      </c>
      <c r="T97" s="82">
        <v>50</v>
      </c>
      <c r="U97" s="86" t="s">
        <v>663</v>
      </c>
      <c r="V97" s="7">
        <v>2023</v>
      </c>
      <c r="W97" s="14">
        <v>100</v>
      </c>
      <c r="X97" s="140" t="s">
        <v>664</v>
      </c>
      <c r="Y97" s="7">
        <v>2023</v>
      </c>
      <c r="Z97" s="82">
        <v>50</v>
      </c>
      <c r="AA97" s="144" t="s">
        <v>668</v>
      </c>
      <c r="AB97" s="7">
        <v>2023</v>
      </c>
      <c r="AC97" s="14">
        <v>33</v>
      </c>
      <c r="AD97" s="23" t="s">
        <v>666</v>
      </c>
      <c r="AE97" s="7">
        <v>2023</v>
      </c>
      <c r="AF97" s="14">
        <v>50</v>
      </c>
      <c r="AG97" s="23" t="s">
        <v>667</v>
      </c>
    </row>
    <row r="98" spans="1:51" ht="24.75" customHeight="1">
      <c r="A98" s="7">
        <v>2024</v>
      </c>
      <c r="B98" s="15">
        <f>AVERAGE(E98,H98, W98,((Z98+AC98+AF98)/3))</f>
        <v>64.208333333333329</v>
      </c>
      <c r="C98" s="15"/>
      <c r="D98" s="7">
        <v>2024</v>
      </c>
      <c r="E98" s="84">
        <v>50</v>
      </c>
      <c r="F98" s="143" t="s">
        <v>661</v>
      </c>
      <c r="G98" s="7">
        <v>2024</v>
      </c>
      <c r="H98" s="31">
        <f t="shared" si="11"/>
        <v>62.5</v>
      </c>
      <c r="I98" s="14"/>
      <c r="J98" s="7">
        <v>2024</v>
      </c>
      <c r="K98" s="14">
        <v>100</v>
      </c>
      <c r="L98" s="140" t="s">
        <v>662</v>
      </c>
      <c r="M98" s="7">
        <v>2024</v>
      </c>
      <c r="N98" s="82">
        <v>50</v>
      </c>
      <c r="O98" s="86" t="s">
        <v>663</v>
      </c>
      <c r="P98" s="7">
        <v>2024</v>
      </c>
      <c r="Q98" s="84">
        <v>50</v>
      </c>
      <c r="R98" s="86" t="s">
        <v>663</v>
      </c>
      <c r="S98" s="7">
        <v>2024</v>
      </c>
      <c r="T98" s="82">
        <v>50</v>
      </c>
      <c r="U98" s="86" t="s">
        <v>663</v>
      </c>
      <c r="V98" s="7">
        <v>2024</v>
      </c>
      <c r="W98" s="14">
        <v>100</v>
      </c>
      <c r="X98" s="140" t="s">
        <v>664</v>
      </c>
      <c r="Y98" s="7">
        <v>2024</v>
      </c>
      <c r="Z98" s="82">
        <v>50</v>
      </c>
      <c r="AA98" s="144" t="s">
        <v>668</v>
      </c>
      <c r="AB98" s="7">
        <v>2024</v>
      </c>
      <c r="AC98" s="14">
        <v>33</v>
      </c>
      <c r="AD98" s="23" t="s">
        <v>666</v>
      </c>
      <c r="AE98" s="7">
        <v>2024</v>
      </c>
      <c r="AF98" s="14">
        <v>50</v>
      </c>
      <c r="AG98" s="23" t="s">
        <v>667</v>
      </c>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8" t="s">
        <v>324</v>
      </c>
      <c r="AJ103" s="328"/>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298" t="s">
        <v>334</v>
      </c>
      <c r="AJ104" s="298"/>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298" t="s">
        <v>342</v>
      </c>
      <c r="AJ105" s="298"/>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58" t="s">
        <v>54</v>
      </c>
      <c r="I106" s="58" t="s">
        <v>122</v>
      </c>
      <c r="J106" s="27" t="s">
        <v>121</v>
      </c>
      <c r="K106" s="58" t="s">
        <v>54</v>
      </c>
      <c r="L106" s="58" t="s">
        <v>122</v>
      </c>
      <c r="M106" s="27" t="s">
        <v>121</v>
      </c>
      <c r="N106" s="58" t="s">
        <v>54</v>
      </c>
      <c r="O106" s="58" t="s">
        <v>122</v>
      </c>
      <c r="P106" s="27" t="s">
        <v>121</v>
      </c>
      <c r="Q106" s="58" t="s">
        <v>54</v>
      </c>
      <c r="R106" s="58" t="s">
        <v>122</v>
      </c>
      <c r="S106" s="27" t="s">
        <v>121</v>
      </c>
      <c r="T106" s="58" t="s">
        <v>54</v>
      </c>
      <c r="U106" s="58" t="s">
        <v>122</v>
      </c>
      <c r="V106" s="27" t="s">
        <v>121</v>
      </c>
      <c r="W106" s="58" t="s">
        <v>54</v>
      </c>
      <c r="X106" s="58" t="s">
        <v>122</v>
      </c>
      <c r="Y106" s="27" t="s">
        <v>121</v>
      </c>
      <c r="Z106" s="58" t="s">
        <v>54</v>
      </c>
      <c r="AA106" s="58" t="s">
        <v>122</v>
      </c>
      <c r="AB106" s="27" t="s">
        <v>121</v>
      </c>
      <c r="AC106" s="58" t="s">
        <v>54</v>
      </c>
      <c r="AD106" s="58" t="s">
        <v>122</v>
      </c>
      <c r="AE106" s="27" t="s">
        <v>121</v>
      </c>
      <c r="AF106" s="58" t="s">
        <v>54</v>
      </c>
      <c r="AG106" s="58" t="s">
        <v>122</v>
      </c>
      <c r="AH106" s="27" t="s">
        <v>121</v>
      </c>
      <c r="AI106" s="30" t="s">
        <v>54</v>
      </c>
      <c r="AJ106" s="30" t="s">
        <v>122</v>
      </c>
      <c r="AK106" s="27" t="s">
        <v>121</v>
      </c>
      <c r="AL106" s="58" t="s">
        <v>54</v>
      </c>
      <c r="AM106" s="58"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52.125</v>
      </c>
      <c r="C107" s="43"/>
      <c r="D107" s="27">
        <v>2020</v>
      </c>
      <c r="E107" s="14">
        <v>50</v>
      </c>
      <c r="F107" s="23" t="s">
        <v>669</v>
      </c>
      <c r="G107" s="7">
        <v>2020</v>
      </c>
      <c r="H107" s="44">
        <v>50</v>
      </c>
      <c r="I107" s="23" t="s">
        <v>670</v>
      </c>
      <c r="J107" s="27">
        <v>2020</v>
      </c>
      <c r="K107" s="85">
        <v>50</v>
      </c>
      <c r="L107" s="143" t="s">
        <v>671</v>
      </c>
      <c r="M107" s="7">
        <v>2020</v>
      </c>
      <c r="N107" s="21">
        <v>100</v>
      </c>
      <c r="O107" s="23"/>
      <c r="P107" s="27">
        <v>2020</v>
      </c>
      <c r="Q107" s="82">
        <v>0</v>
      </c>
      <c r="R107" s="86" t="s">
        <v>672</v>
      </c>
      <c r="S107" s="7">
        <v>2020</v>
      </c>
      <c r="T107" s="21">
        <v>50</v>
      </c>
      <c r="U107" s="145" t="s">
        <v>673</v>
      </c>
      <c r="V107" s="7">
        <v>2020</v>
      </c>
      <c r="W107" s="14">
        <v>67</v>
      </c>
      <c r="X107" s="23" t="s">
        <v>674</v>
      </c>
      <c r="Y107" s="7">
        <v>2020</v>
      </c>
      <c r="Z107" s="14">
        <v>0</v>
      </c>
      <c r="AA107" s="140" t="s">
        <v>675</v>
      </c>
      <c r="AB107" s="7">
        <v>2020</v>
      </c>
      <c r="AC107" s="21">
        <v>50</v>
      </c>
      <c r="AD107" s="23" t="s">
        <v>676</v>
      </c>
      <c r="AE107" s="7">
        <v>2020</v>
      </c>
      <c r="AF107" s="14">
        <v>100</v>
      </c>
      <c r="AG107" s="23" t="s">
        <v>677</v>
      </c>
      <c r="AH107" s="7">
        <v>2020</v>
      </c>
      <c r="AI107" s="48">
        <v>100</v>
      </c>
      <c r="AJ107" s="146" t="s">
        <v>678</v>
      </c>
      <c r="AK107" s="7">
        <v>2020</v>
      </c>
      <c r="AL107" s="21">
        <v>0</v>
      </c>
      <c r="AM107" s="23" t="s">
        <v>679</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52.125</v>
      </c>
      <c r="C108" s="49"/>
      <c r="D108" s="27">
        <v>2021</v>
      </c>
      <c r="E108" s="14">
        <v>50</v>
      </c>
      <c r="F108" s="23" t="s">
        <v>669</v>
      </c>
      <c r="G108" s="7">
        <v>2021</v>
      </c>
      <c r="H108" s="44">
        <v>50</v>
      </c>
      <c r="I108" s="23" t="s">
        <v>670</v>
      </c>
      <c r="J108" s="27">
        <v>2021</v>
      </c>
      <c r="K108" s="85">
        <v>50</v>
      </c>
      <c r="L108" s="143" t="s">
        <v>680</v>
      </c>
      <c r="M108" s="7">
        <v>2021</v>
      </c>
      <c r="N108" s="21">
        <v>100</v>
      </c>
      <c r="O108" s="23"/>
      <c r="P108" s="27">
        <v>2021</v>
      </c>
      <c r="Q108" s="82">
        <v>0</v>
      </c>
      <c r="R108" s="86" t="s">
        <v>672</v>
      </c>
      <c r="S108" s="7">
        <v>2021</v>
      </c>
      <c r="T108" s="21">
        <v>50</v>
      </c>
      <c r="U108" s="145" t="s">
        <v>673</v>
      </c>
      <c r="V108" s="7">
        <v>2021</v>
      </c>
      <c r="W108" s="14">
        <v>67</v>
      </c>
      <c r="X108" s="23" t="s">
        <v>674</v>
      </c>
      <c r="Y108" s="7">
        <v>2021</v>
      </c>
      <c r="Z108" s="14">
        <v>0</v>
      </c>
      <c r="AA108" s="140" t="s">
        <v>675</v>
      </c>
      <c r="AB108" s="7">
        <v>2021</v>
      </c>
      <c r="AC108" s="21">
        <v>50</v>
      </c>
      <c r="AD108" s="23" t="s">
        <v>676</v>
      </c>
      <c r="AE108" s="7">
        <v>2021</v>
      </c>
      <c r="AF108" s="14">
        <v>100</v>
      </c>
      <c r="AG108" s="23" t="s">
        <v>677</v>
      </c>
      <c r="AH108" s="7">
        <v>2021</v>
      </c>
      <c r="AI108" s="48">
        <v>100</v>
      </c>
      <c r="AJ108" s="146" t="s">
        <v>678</v>
      </c>
      <c r="AK108" s="7">
        <v>2021</v>
      </c>
      <c r="AL108" s="21">
        <v>0</v>
      </c>
      <c r="AM108" s="23" t="s">
        <v>679</v>
      </c>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52.125</v>
      </c>
      <c r="C109" s="49"/>
      <c r="D109" s="27">
        <v>2022</v>
      </c>
      <c r="E109" s="14">
        <v>50</v>
      </c>
      <c r="F109" s="23" t="s">
        <v>669</v>
      </c>
      <c r="G109" s="27">
        <v>2022</v>
      </c>
      <c r="H109" s="44">
        <v>50</v>
      </c>
      <c r="I109" s="23" t="s">
        <v>670</v>
      </c>
      <c r="J109" s="27">
        <v>2022</v>
      </c>
      <c r="K109" s="85">
        <v>50</v>
      </c>
      <c r="L109" s="143" t="s">
        <v>680</v>
      </c>
      <c r="M109" s="27">
        <v>2022</v>
      </c>
      <c r="N109" s="21">
        <v>100</v>
      </c>
      <c r="O109" s="23"/>
      <c r="P109" s="27">
        <v>2022</v>
      </c>
      <c r="Q109" s="82">
        <v>0</v>
      </c>
      <c r="R109" s="86" t="s">
        <v>672</v>
      </c>
      <c r="S109" s="27">
        <v>2022</v>
      </c>
      <c r="T109" s="21">
        <v>50</v>
      </c>
      <c r="U109" s="145" t="s">
        <v>673</v>
      </c>
      <c r="V109" s="27">
        <v>2022</v>
      </c>
      <c r="W109" s="14">
        <v>67</v>
      </c>
      <c r="X109" s="23" t="s">
        <v>674</v>
      </c>
      <c r="Y109" s="27">
        <v>2022</v>
      </c>
      <c r="Z109" s="14">
        <v>0</v>
      </c>
      <c r="AA109" s="140" t="s">
        <v>675</v>
      </c>
      <c r="AB109" s="27">
        <v>2022</v>
      </c>
      <c r="AC109" s="21">
        <v>50</v>
      </c>
      <c r="AD109" s="23" t="s">
        <v>676</v>
      </c>
      <c r="AE109" s="27">
        <v>2022</v>
      </c>
      <c r="AF109" s="14">
        <v>100</v>
      </c>
      <c r="AG109" s="23" t="s">
        <v>677</v>
      </c>
      <c r="AH109" s="27">
        <v>2022</v>
      </c>
      <c r="AI109" s="48">
        <v>100</v>
      </c>
      <c r="AJ109" s="146" t="s">
        <v>681</v>
      </c>
      <c r="AK109" s="27">
        <v>2022</v>
      </c>
      <c r="AL109" s="21">
        <v>0</v>
      </c>
      <c r="AM109" s="23" t="s">
        <v>682</v>
      </c>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52.125</v>
      </c>
      <c r="C110" s="49"/>
      <c r="D110" s="27">
        <v>2023</v>
      </c>
      <c r="E110" s="14">
        <v>50</v>
      </c>
      <c r="F110" s="23" t="s">
        <v>669</v>
      </c>
      <c r="G110" s="27">
        <v>2023</v>
      </c>
      <c r="H110" s="44">
        <v>50</v>
      </c>
      <c r="I110" s="23" t="s">
        <v>670</v>
      </c>
      <c r="J110" s="27">
        <v>2023</v>
      </c>
      <c r="K110" s="85">
        <v>50</v>
      </c>
      <c r="L110" s="143" t="s">
        <v>680</v>
      </c>
      <c r="M110" s="27">
        <v>2023</v>
      </c>
      <c r="N110" s="21">
        <v>100</v>
      </c>
      <c r="O110" s="23"/>
      <c r="P110" s="27">
        <v>2023</v>
      </c>
      <c r="Q110" s="82">
        <v>0</v>
      </c>
      <c r="R110" s="86" t="s">
        <v>672</v>
      </c>
      <c r="S110" s="27">
        <v>2023</v>
      </c>
      <c r="T110" s="21">
        <v>50</v>
      </c>
      <c r="U110" s="145" t="s">
        <v>673</v>
      </c>
      <c r="V110" s="27">
        <v>2023</v>
      </c>
      <c r="W110" s="14">
        <v>67</v>
      </c>
      <c r="X110" s="23" t="s">
        <v>674</v>
      </c>
      <c r="Y110" s="27">
        <v>2023</v>
      </c>
      <c r="Z110" s="14">
        <v>0</v>
      </c>
      <c r="AA110" s="140" t="s">
        <v>675</v>
      </c>
      <c r="AB110" s="27">
        <v>2023</v>
      </c>
      <c r="AC110" s="21">
        <v>50</v>
      </c>
      <c r="AD110" s="23" t="s">
        <v>676</v>
      </c>
      <c r="AE110" s="27">
        <v>2023</v>
      </c>
      <c r="AF110" s="14">
        <v>100</v>
      </c>
      <c r="AG110" s="23" t="s">
        <v>677</v>
      </c>
      <c r="AH110" s="27">
        <v>2023</v>
      </c>
      <c r="AI110" s="48">
        <v>100</v>
      </c>
      <c r="AJ110" s="146" t="s">
        <v>681</v>
      </c>
      <c r="AK110" s="27">
        <v>2023</v>
      </c>
      <c r="AL110" s="21">
        <v>0</v>
      </c>
      <c r="AM110" s="23" t="s">
        <v>682</v>
      </c>
    </row>
    <row r="111" spans="1:51" ht="22.5" customHeight="1">
      <c r="A111" s="27">
        <v>2024</v>
      </c>
      <c r="B111" s="42">
        <f>AVERAGE((E111+K111+Q111)/3+(H111+N111+T111)/3+W111+Z111+AC111+AF111+AI111+AL111)/8</f>
        <v>52.125</v>
      </c>
      <c r="C111" s="49"/>
      <c r="D111" s="27">
        <v>2024</v>
      </c>
      <c r="E111" s="14">
        <v>50</v>
      </c>
      <c r="F111" s="23" t="s">
        <v>669</v>
      </c>
      <c r="G111" s="27">
        <v>2024</v>
      </c>
      <c r="H111" s="44">
        <v>50</v>
      </c>
      <c r="I111" s="23" t="s">
        <v>670</v>
      </c>
      <c r="J111" s="27">
        <v>2024</v>
      </c>
      <c r="K111" s="85">
        <v>50</v>
      </c>
      <c r="L111" s="143" t="s">
        <v>680</v>
      </c>
      <c r="M111" s="27">
        <v>2024</v>
      </c>
      <c r="N111" s="21">
        <v>100</v>
      </c>
      <c r="O111" s="23"/>
      <c r="P111" s="27">
        <v>2024</v>
      </c>
      <c r="Q111" s="82">
        <v>0</v>
      </c>
      <c r="R111" s="86" t="s">
        <v>672</v>
      </c>
      <c r="S111" s="27">
        <v>2024</v>
      </c>
      <c r="T111" s="21">
        <v>50</v>
      </c>
      <c r="U111" s="145" t="s">
        <v>673</v>
      </c>
      <c r="V111" s="27">
        <v>2024</v>
      </c>
      <c r="W111" s="14">
        <v>67</v>
      </c>
      <c r="X111" s="23" t="s">
        <v>674</v>
      </c>
      <c r="Y111" s="27">
        <v>2024</v>
      </c>
      <c r="Z111" s="14">
        <v>0</v>
      </c>
      <c r="AA111" s="140" t="s">
        <v>675</v>
      </c>
      <c r="AB111" s="27">
        <v>2024</v>
      </c>
      <c r="AC111" s="21">
        <v>50</v>
      </c>
      <c r="AD111" s="23" t="s">
        <v>676</v>
      </c>
      <c r="AE111" s="27">
        <v>2024</v>
      </c>
      <c r="AF111" s="14">
        <v>100</v>
      </c>
      <c r="AG111" s="23" t="s">
        <v>677</v>
      </c>
      <c r="AH111" s="27">
        <v>2024</v>
      </c>
      <c r="AI111" s="48">
        <v>100</v>
      </c>
      <c r="AJ111" s="146" t="s">
        <v>681</v>
      </c>
      <c r="AK111" s="27">
        <v>2024</v>
      </c>
      <c r="AL111" s="21">
        <v>0</v>
      </c>
      <c r="AM111" s="23" t="s">
        <v>682</v>
      </c>
    </row>
    <row r="112" spans="1:51" ht="15" customHeight="1">
      <c r="T112" s="21"/>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CA81-7148-474D-BCB1-D493F290FD3E}">
  <dimension ref="A1:CC111"/>
  <sheetViews>
    <sheetView topLeftCell="A92" zoomScale="95" zoomScaleNormal="95" workbookViewId="0">
      <selection activeCell="G4" sqref="G4"/>
    </sheetView>
  </sheetViews>
  <sheetFormatPr defaultColWidth="8.6328125" defaultRowHeight="15" customHeight="1"/>
  <cols>
    <col min="1" max="1" width="17.453125" style="1" customWidth="1"/>
    <col min="2" max="2" width="13.453125" style="1" customWidth="1"/>
    <col min="3" max="3" width="23.36328125" style="1" customWidth="1"/>
    <col min="4" max="4" width="17.453125" style="1" customWidth="1"/>
    <col min="5" max="5" width="13.453125" style="1" customWidth="1"/>
    <col min="6" max="6" width="29.54296875" style="1" customWidth="1"/>
    <col min="7" max="7" width="17.453125" style="1" customWidth="1"/>
    <col min="8" max="8" width="13.453125" style="1" customWidth="1"/>
    <col min="9" max="9" width="23.36328125" style="1" customWidth="1"/>
    <col min="10" max="10" width="17.453125" style="1" customWidth="1"/>
    <col min="11" max="11" width="13.453125" style="1" customWidth="1"/>
    <col min="12" max="12" width="23.36328125" style="1" customWidth="1"/>
    <col min="13" max="13" width="17.453125" style="1" customWidth="1"/>
    <col min="14" max="14" width="13.453125" style="1" customWidth="1"/>
    <col min="15" max="15" width="23.36328125" style="1" customWidth="1"/>
    <col min="16" max="16" width="17.453125" style="1" customWidth="1"/>
    <col min="17" max="17" width="13.453125" style="1" customWidth="1"/>
    <col min="18" max="18" width="23.36328125" style="1" customWidth="1"/>
    <col min="19" max="19" width="17.453125" style="1" customWidth="1"/>
    <col min="20" max="20" width="13.453125" style="1" customWidth="1"/>
    <col min="21" max="21" width="23.36328125" style="1" customWidth="1"/>
    <col min="22" max="22" width="17.453125" style="1" customWidth="1"/>
    <col min="23" max="23" width="13.453125" style="1" customWidth="1"/>
    <col min="24" max="24" width="23.36328125" style="1" customWidth="1"/>
    <col min="25" max="25" width="17.453125" style="1" customWidth="1"/>
    <col min="26" max="26" width="13.453125" style="1" customWidth="1"/>
    <col min="27" max="27" width="23.36328125" style="1" customWidth="1"/>
    <col min="28" max="28" width="17.453125" style="1" customWidth="1"/>
    <col min="29" max="29" width="13.453125" style="1" customWidth="1"/>
    <col min="30" max="30" width="23.36328125" style="1" customWidth="1"/>
    <col min="31" max="31" width="17.453125" style="1" customWidth="1"/>
    <col min="32" max="32" width="13.453125" style="1" customWidth="1"/>
    <col min="33" max="33" width="23.36328125" style="1" customWidth="1"/>
    <col min="34" max="34" width="17.453125" style="1" customWidth="1"/>
    <col min="35" max="35" width="13.453125" style="1" customWidth="1"/>
    <col min="36" max="36" width="23.36328125" style="1" customWidth="1"/>
    <col min="37" max="37" width="17.453125" style="1" customWidth="1"/>
    <col min="38" max="38" width="13.453125" style="1" customWidth="1"/>
    <col min="39" max="39" width="23.36328125" style="1" customWidth="1"/>
    <col min="40" max="40" width="17.453125" style="1" customWidth="1"/>
    <col min="41" max="41" width="13.453125" style="1" customWidth="1"/>
    <col min="42" max="42" width="23.36328125" style="1" customWidth="1"/>
    <col min="43" max="43" width="17.453125" style="1" customWidth="1"/>
    <col min="44" max="44" width="13.453125" style="1" customWidth="1"/>
    <col min="45" max="45" width="23.36328125" style="1" customWidth="1"/>
    <col min="46" max="46" width="17.453125" style="1" customWidth="1"/>
    <col min="47" max="47" width="13.453125" style="1" customWidth="1"/>
    <col min="48" max="48" width="23.36328125" style="1" customWidth="1"/>
    <col min="49" max="49" width="17.453125" style="1" customWidth="1"/>
    <col min="50" max="50" width="13.453125" style="1" customWidth="1"/>
    <col min="51" max="51" width="23.36328125" style="1" customWidth="1"/>
    <col min="52" max="16384" width="8.6328125" style="1"/>
  </cols>
  <sheetData>
    <row r="1" spans="1:81" ht="26" customHeight="1">
      <c r="A1" s="323" t="s">
        <v>0</v>
      </c>
      <c r="B1" s="323"/>
      <c r="C1" s="323"/>
      <c r="D1" s="323"/>
    </row>
    <row r="2" spans="1:81" ht="50" customHeight="1">
      <c r="A2" s="2" t="s">
        <v>1</v>
      </c>
      <c r="B2" s="2" t="s">
        <v>2</v>
      </c>
      <c r="C2" s="2" t="s">
        <v>3</v>
      </c>
      <c r="D2" s="2" t="s">
        <v>4</v>
      </c>
    </row>
    <row r="3" spans="1:81" ht="15" customHeight="1">
      <c r="A3" s="3">
        <v>2020</v>
      </c>
      <c r="B3" s="4">
        <f>AVERAGE(B16,B29,B42,B55,B68,B81,B94,B107)</f>
        <v>58.32713293650793</v>
      </c>
      <c r="C3" s="4">
        <f>AVERAGE(B16,B29,B42,B55,B68,B81,B94)</f>
        <v>57.719104308390015</v>
      </c>
      <c r="D3" s="4">
        <f>AVERAGE(B16,B29,B55, B68,B81,B94)</f>
        <v>58.219907407407412</v>
      </c>
    </row>
    <row r="4" spans="1:81" ht="15" customHeight="1">
      <c r="A4" s="3">
        <v>2021</v>
      </c>
      <c r="B4" s="4">
        <f>AVERAGE(B17,B30,B43,B56,B69,B82,B95,B108)</f>
        <v>58.32713293650793</v>
      </c>
      <c r="C4" s="4">
        <f>AVERAGE(B17,B30,B43,B56,B69,B82,B95)</f>
        <v>57.719104308390015</v>
      </c>
      <c r="D4" s="4">
        <f>AVERAGE(B17,B30,B56, B69,B82,B95)</f>
        <v>58.219907407407412</v>
      </c>
    </row>
    <row r="5" spans="1:81" ht="15" customHeight="1">
      <c r="A5" s="3">
        <v>2022</v>
      </c>
      <c r="B5" s="4">
        <f>AVERAGE(B18,B31,B44,B57,B70,B83,B96,B109)</f>
        <v>58.32713293650793</v>
      </c>
      <c r="C5" s="4">
        <f>AVERAGE(B18,B31,B44,B57,B70,B83,B96)</f>
        <v>57.719104308390015</v>
      </c>
      <c r="D5" s="4">
        <f>AVERAGE(B18,B31,B57, B70,B83,B96)</f>
        <v>58.219907407407412</v>
      </c>
    </row>
    <row r="6" spans="1:81" ht="15" customHeight="1">
      <c r="A6" s="3">
        <v>2023</v>
      </c>
      <c r="B6" s="4">
        <f>AVERAGE(B19,B32,B45,B58,B71,B84,B97,B110)</f>
        <v>58.32713293650793</v>
      </c>
      <c r="C6" s="4">
        <f>AVERAGE(B19,B32,B45,B58,B71,B84,B97)</f>
        <v>57.719104308390015</v>
      </c>
      <c r="D6" s="4">
        <f>AVERAGE(B19,B32,B58, B71,B84,B97)</f>
        <v>58.219907407407412</v>
      </c>
    </row>
    <row r="7" spans="1:81" ht="15" customHeight="1">
      <c r="A7" s="254">
        <v>2024</v>
      </c>
      <c r="B7" s="4">
        <f>AVERAGE(B19,B32,B45,B58,B71,B85,B97,B110)</f>
        <v>61.45213293650793</v>
      </c>
      <c r="C7" s="4">
        <f>AVERAGE(B19,B32,B45,B58,B71,B85,B97)</f>
        <v>61.290532879818592</v>
      </c>
      <c r="D7" s="4">
        <f>AVERAGE(B19,B32,B58,B71,B85,B97)</f>
        <v>62.386574074074076</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130.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68.150000000000006"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19" si="0">AVERAGE(E16, H16,K16,N16,Q16,T16,W16,Z16,AC16)</f>
        <v>81.444444444444443</v>
      </c>
      <c r="C16" s="16"/>
      <c r="D16" s="7">
        <v>2020</v>
      </c>
      <c r="E16" s="14">
        <v>50</v>
      </c>
      <c r="F16" s="17" t="s">
        <v>843</v>
      </c>
      <c r="G16" s="7">
        <v>2020</v>
      </c>
      <c r="H16" s="14">
        <v>50</v>
      </c>
      <c r="I16" s="17"/>
      <c r="J16" s="7">
        <v>2020</v>
      </c>
      <c r="K16" s="14">
        <v>100</v>
      </c>
      <c r="L16" s="17" t="s">
        <v>844</v>
      </c>
      <c r="M16" s="7">
        <v>2020</v>
      </c>
      <c r="N16" s="14">
        <v>100</v>
      </c>
      <c r="O16" s="17"/>
      <c r="P16" s="7">
        <v>2020</v>
      </c>
      <c r="Q16" s="14">
        <v>33</v>
      </c>
      <c r="R16" s="17"/>
      <c r="S16" s="7">
        <v>2020</v>
      </c>
      <c r="T16" s="80">
        <v>100</v>
      </c>
      <c r="U16" s="17" t="s">
        <v>845</v>
      </c>
      <c r="V16" s="7">
        <v>2020</v>
      </c>
      <c r="W16" s="14">
        <v>100</v>
      </c>
      <c r="X16" s="17"/>
      <c r="Y16" s="7">
        <v>2020</v>
      </c>
      <c r="Z16" s="14">
        <v>100</v>
      </c>
      <c r="AA16" s="17"/>
      <c r="AB16" s="7">
        <v>2020</v>
      </c>
      <c r="AC16" s="84">
        <v>100</v>
      </c>
      <c r="AD16" s="86" t="s">
        <v>846</v>
      </c>
    </row>
    <row r="17" spans="1:51" ht="24.75" customHeight="1">
      <c r="A17" s="7">
        <v>2021</v>
      </c>
      <c r="B17" s="15">
        <f t="shared" si="0"/>
        <v>81.444444444444443</v>
      </c>
      <c r="C17" s="16"/>
      <c r="D17" s="7">
        <v>2021</v>
      </c>
      <c r="E17" s="14">
        <v>50</v>
      </c>
      <c r="F17" s="17"/>
      <c r="G17" s="7">
        <v>2021</v>
      </c>
      <c r="H17" s="14">
        <v>50</v>
      </c>
      <c r="I17" s="17"/>
      <c r="J17" s="7">
        <v>2021</v>
      </c>
      <c r="K17" s="14">
        <v>100</v>
      </c>
      <c r="L17" s="17"/>
      <c r="M17" s="7">
        <v>2021</v>
      </c>
      <c r="N17" s="14">
        <v>100</v>
      </c>
      <c r="O17" s="17"/>
      <c r="P17" s="7">
        <v>2021</v>
      </c>
      <c r="Q17" s="14">
        <v>33</v>
      </c>
      <c r="R17" s="17"/>
      <c r="S17" s="7">
        <v>2021</v>
      </c>
      <c r="T17" s="80">
        <v>100</v>
      </c>
      <c r="U17" s="17"/>
      <c r="V17" s="7">
        <v>2021</v>
      </c>
      <c r="W17" s="14">
        <v>100</v>
      </c>
      <c r="X17" s="17"/>
      <c r="Y17" s="7">
        <v>2021</v>
      </c>
      <c r="Z17" s="14">
        <v>100</v>
      </c>
      <c r="AA17" s="17"/>
      <c r="AB17" s="7">
        <v>2021</v>
      </c>
      <c r="AC17" s="84">
        <v>100</v>
      </c>
      <c r="AD17" s="86"/>
    </row>
    <row r="18" spans="1:51" ht="24.75" customHeight="1">
      <c r="A18" s="7">
        <v>2022</v>
      </c>
      <c r="B18" s="15">
        <f t="shared" si="0"/>
        <v>81.444444444444443</v>
      </c>
      <c r="C18" s="16"/>
      <c r="D18" s="7">
        <v>2022</v>
      </c>
      <c r="E18" s="14">
        <v>50</v>
      </c>
      <c r="F18" s="17" t="s">
        <v>847</v>
      </c>
      <c r="G18" s="7">
        <v>2022</v>
      </c>
      <c r="H18" s="14">
        <v>50</v>
      </c>
      <c r="I18" s="17"/>
      <c r="J18" s="7">
        <v>2022</v>
      </c>
      <c r="K18" s="14">
        <v>100</v>
      </c>
      <c r="L18" s="17"/>
      <c r="M18" s="7">
        <v>2022</v>
      </c>
      <c r="N18" s="14">
        <v>100</v>
      </c>
      <c r="O18" s="17"/>
      <c r="P18" s="7">
        <v>2022</v>
      </c>
      <c r="Q18" s="14">
        <v>33</v>
      </c>
      <c r="R18" s="17"/>
      <c r="S18" s="7">
        <v>2022</v>
      </c>
      <c r="T18" s="80">
        <v>100</v>
      </c>
      <c r="U18" s="17"/>
      <c r="V18" s="7">
        <v>2022</v>
      </c>
      <c r="W18" s="14">
        <v>100</v>
      </c>
      <c r="X18" s="17" t="s">
        <v>848</v>
      </c>
      <c r="Y18" s="7">
        <v>2022</v>
      </c>
      <c r="Z18" s="14">
        <v>100</v>
      </c>
      <c r="AA18" s="17" t="s">
        <v>848</v>
      </c>
      <c r="AB18" s="7">
        <v>2022</v>
      </c>
      <c r="AC18" s="84">
        <v>100</v>
      </c>
      <c r="AD18" s="86"/>
    </row>
    <row r="19" spans="1:51" ht="24.75" customHeight="1">
      <c r="A19" s="7">
        <v>2023</v>
      </c>
      <c r="B19" s="15">
        <f t="shared" si="0"/>
        <v>81.444444444444443</v>
      </c>
      <c r="C19" s="16"/>
      <c r="D19" s="7">
        <v>2023</v>
      </c>
      <c r="E19" s="14">
        <v>50</v>
      </c>
      <c r="F19" s="17" t="s">
        <v>849</v>
      </c>
      <c r="G19" s="7">
        <v>2023</v>
      </c>
      <c r="H19" s="14">
        <v>50</v>
      </c>
      <c r="I19" s="17"/>
      <c r="J19" s="7">
        <v>2023</v>
      </c>
      <c r="K19" s="14">
        <v>100</v>
      </c>
      <c r="L19" s="17"/>
      <c r="M19" s="7">
        <v>2023</v>
      </c>
      <c r="N19" s="14">
        <v>100</v>
      </c>
      <c r="O19" s="17"/>
      <c r="P19" s="7">
        <v>2023</v>
      </c>
      <c r="Q19" s="14">
        <v>33</v>
      </c>
      <c r="R19" s="17" t="s">
        <v>850</v>
      </c>
      <c r="S19" s="7">
        <v>2023</v>
      </c>
      <c r="T19" s="80">
        <v>100</v>
      </c>
      <c r="U19" s="17" t="s">
        <v>851</v>
      </c>
      <c r="V19" s="7">
        <v>2023</v>
      </c>
      <c r="W19" s="14">
        <v>100</v>
      </c>
      <c r="X19" s="17"/>
      <c r="Y19" s="7">
        <v>2023</v>
      </c>
      <c r="Z19" s="14">
        <v>100</v>
      </c>
      <c r="AA19" s="17"/>
      <c r="AB19" s="7">
        <v>2023</v>
      </c>
      <c r="AC19" s="84">
        <v>100</v>
      </c>
      <c r="AD19" s="86" t="s">
        <v>852</v>
      </c>
    </row>
    <row r="20" spans="1:51" ht="24.75" customHeight="1">
      <c r="A20" s="7">
        <v>2024</v>
      </c>
      <c r="B20" s="15">
        <f>AVERAGE(E20, H20,K20,N20,Q20,T20,W20,Z20,AC20)</f>
        <v>81.444444444444443</v>
      </c>
      <c r="C20" s="16"/>
      <c r="D20" s="7">
        <v>2024</v>
      </c>
      <c r="E20" s="14">
        <v>50</v>
      </c>
      <c r="F20" s="17" t="s">
        <v>849</v>
      </c>
      <c r="G20" s="7">
        <v>2024</v>
      </c>
      <c r="H20" s="14">
        <v>50</v>
      </c>
      <c r="I20" s="17"/>
      <c r="J20" s="7">
        <v>2024</v>
      </c>
      <c r="K20" s="14">
        <v>100</v>
      </c>
      <c r="L20" s="17"/>
      <c r="M20" s="7">
        <v>2024</v>
      </c>
      <c r="N20" s="14">
        <v>100</v>
      </c>
      <c r="O20" s="17"/>
      <c r="P20" s="7">
        <v>2024</v>
      </c>
      <c r="Q20" s="14">
        <v>33</v>
      </c>
      <c r="R20" s="17" t="s">
        <v>850</v>
      </c>
      <c r="S20" s="7">
        <v>2024</v>
      </c>
      <c r="T20" s="80">
        <v>100</v>
      </c>
      <c r="U20" s="17" t="s">
        <v>851</v>
      </c>
      <c r="V20" s="7">
        <v>2024</v>
      </c>
      <c r="W20" s="14">
        <v>100</v>
      </c>
      <c r="X20" s="17"/>
      <c r="Y20" s="7">
        <v>2024</v>
      </c>
      <c r="Z20" s="14">
        <v>100</v>
      </c>
      <c r="AA20" s="17"/>
      <c r="AB20" s="7">
        <v>2024</v>
      </c>
      <c r="AC20" s="84">
        <v>100</v>
      </c>
      <c r="AD20" s="86"/>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130.25" customHeight="1">
      <c r="A26" s="7" t="s">
        <v>30</v>
      </c>
      <c r="B26" s="322" t="s">
        <v>31</v>
      </c>
      <c r="C26" s="322"/>
      <c r="D26" s="7" t="s">
        <v>30</v>
      </c>
      <c r="E26" s="325" t="s">
        <v>94</v>
      </c>
      <c r="F26" s="325"/>
      <c r="G26" s="7" t="s">
        <v>30</v>
      </c>
      <c r="H26" s="310" t="s">
        <v>95</v>
      </c>
      <c r="I26" s="310"/>
      <c r="J26" s="7" t="s">
        <v>30</v>
      </c>
      <c r="K26" s="325"/>
      <c r="L26" s="325"/>
      <c r="M26" s="27" t="s">
        <v>30</v>
      </c>
      <c r="N26" s="325" t="s">
        <v>96</v>
      </c>
      <c r="O26" s="325"/>
      <c r="P26" s="27" t="s">
        <v>30</v>
      </c>
      <c r="Q26" s="325" t="s">
        <v>97</v>
      </c>
      <c r="R26" s="325"/>
      <c r="S26" s="27" t="s">
        <v>30</v>
      </c>
      <c r="T26" s="325"/>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97.25" customHeight="1">
      <c r="A27" s="7" t="s">
        <v>41</v>
      </c>
      <c r="B27" s="310" t="s">
        <v>42</v>
      </c>
      <c r="C27" s="310"/>
      <c r="D27" s="7" t="s">
        <v>41</v>
      </c>
      <c r="E27" s="325" t="s">
        <v>106</v>
      </c>
      <c r="F27" s="325"/>
      <c r="G27" s="7" t="s">
        <v>41</v>
      </c>
      <c r="H27" s="310" t="s">
        <v>107</v>
      </c>
      <c r="I27" s="310"/>
      <c r="J27" s="7" t="s">
        <v>41</v>
      </c>
      <c r="K27" s="326" t="s">
        <v>427</v>
      </c>
      <c r="L27" s="325"/>
      <c r="M27" s="27" t="s">
        <v>41</v>
      </c>
      <c r="N27" s="325" t="s">
        <v>109</v>
      </c>
      <c r="O27" s="325"/>
      <c r="P27" s="27" t="s">
        <v>41</v>
      </c>
      <c r="Q27" s="325" t="s">
        <v>110</v>
      </c>
      <c r="R27" s="325"/>
      <c r="S27" s="27" t="s">
        <v>41</v>
      </c>
      <c r="T27" s="298" t="s">
        <v>111</v>
      </c>
      <c r="U27" s="298"/>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41.5</v>
      </c>
      <c r="C29" s="16"/>
      <c r="D29" s="7">
        <v>2020</v>
      </c>
      <c r="E29" s="84">
        <v>0</v>
      </c>
      <c r="F29" s="83"/>
      <c r="G29" s="7">
        <v>2020</v>
      </c>
      <c r="H29" s="14">
        <v>0</v>
      </c>
      <c r="I29" s="17"/>
      <c r="J29" s="7">
        <v>2020</v>
      </c>
      <c r="K29" s="14">
        <v>67</v>
      </c>
      <c r="L29" s="17"/>
      <c r="M29" s="7">
        <v>2020</v>
      </c>
      <c r="N29" s="14">
        <v>0</v>
      </c>
      <c r="O29" s="17"/>
      <c r="P29" s="7">
        <v>2020</v>
      </c>
      <c r="Q29" s="14">
        <v>100</v>
      </c>
      <c r="R29" s="17" t="s">
        <v>853</v>
      </c>
      <c r="S29" s="7">
        <v>2020</v>
      </c>
      <c r="T29" s="14">
        <v>90</v>
      </c>
      <c r="U29" s="17"/>
      <c r="V29" s="7">
        <v>2020</v>
      </c>
      <c r="W29" s="14">
        <v>50</v>
      </c>
      <c r="X29" s="17"/>
      <c r="Y29" s="7">
        <v>2020</v>
      </c>
      <c r="Z29" s="82">
        <v>0</v>
      </c>
      <c r="AA29" s="83"/>
      <c r="AB29" s="7">
        <v>2020</v>
      </c>
      <c r="AC29" s="14">
        <v>0</v>
      </c>
      <c r="AD29" s="17"/>
      <c r="AE29" s="7">
        <v>2020</v>
      </c>
      <c r="AF29" s="31">
        <f t="shared" ref="AF29:AF33" si="1">0.67*AI29+0.33*AL29</f>
        <v>16.5</v>
      </c>
      <c r="AG29" s="17"/>
      <c r="AH29" s="7">
        <v>2020</v>
      </c>
      <c r="AI29" s="14">
        <v>0</v>
      </c>
      <c r="AJ29" s="17"/>
      <c r="AK29" s="7">
        <v>2020</v>
      </c>
      <c r="AL29" s="14">
        <v>50</v>
      </c>
      <c r="AM29" s="17"/>
      <c r="AN29" s="7">
        <v>2020</v>
      </c>
      <c r="AO29" s="14">
        <v>50</v>
      </c>
      <c r="AP29" s="17"/>
      <c r="AQ29" s="7">
        <v>2020</v>
      </c>
      <c r="AR29" s="14">
        <v>0</v>
      </c>
      <c r="AS29" s="17"/>
      <c r="AT29" s="7">
        <v>2020</v>
      </c>
      <c r="AU29" s="14">
        <v>100</v>
      </c>
      <c r="AV29" s="17"/>
      <c r="AW29" s="7">
        <v>2020</v>
      </c>
      <c r="AX29" s="14">
        <v>50</v>
      </c>
      <c r="AY29" s="23"/>
    </row>
    <row r="30" spans="1:51" ht="24.75" customHeight="1">
      <c r="A30" s="7">
        <v>2021</v>
      </c>
      <c r="B30" s="15">
        <f>AVERAGE(E30,H30,K30,T30,AF30,AO30,AU30,AX30,AR30)</f>
        <v>41.5</v>
      </c>
      <c r="C30" s="15"/>
      <c r="D30" s="7">
        <v>2021</v>
      </c>
      <c r="E30" s="84">
        <v>0</v>
      </c>
      <c r="F30" s="83"/>
      <c r="G30" s="7">
        <v>2021</v>
      </c>
      <c r="H30" s="14">
        <v>0</v>
      </c>
      <c r="I30" s="17"/>
      <c r="J30" s="7">
        <v>2021</v>
      </c>
      <c r="K30" s="14">
        <v>67</v>
      </c>
      <c r="L30" s="17"/>
      <c r="M30" s="7">
        <v>2021</v>
      </c>
      <c r="N30" s="14">
        <v>0</v>
      </c>
      <c r="O30" s="17"/>
      <c r="P30" s="7">
        <v>2021</v>
      </c>
      <c r="Q30" s="14">
        <v>100</v>
      </c>
      <c r="R30" s="17"/>
      <c r="S30" s="7">
        <v>2021</v>
      </c>
      <c r="T30" s="14">
        <v>90</v>
      </c>
      <c r="U30" s="17"/>
      <c r="V30" s="7">
        <v>2021</v>
      </c>
      <c r="W30" s="14">
        <v>50</v>
      </c>
      <c r="X30" s="17"/>
      <c r="Y30" s="7">
        <v>2021</v>
      </c>
      <c r="Z30" s="82">
        <v>0</v>
      </c>
      <c r="AA30" s="83"/>
      <c r="AB30" s="7">
        <v>2021</v>
      </c>
      <c r="AC30" s="14">
        <v>0</v>
      </c>
      <c r="AD30" s="17"/>
      <c r="AE30" s="7">
        <v>2021</v>
      </c>
      <c r="AF30" s="31">
        <f t="shared" si="1"/>
        <v>16.5</v>
      </c>
      <c r="AG30" s="17"/>
      <c r="AH30" s="7">
        <v>2021</v>
      </c>
      <c r="AI30" s="14">
        <v>0</v>
      </c>
      <c r="AJ30" s="17"/>
      <c r="AK30" s="7">
        <v>2021</v>
      </c>
      <c r="AL30" s="14">
        <v>50</v>
      </c>
      <c r="AM30" s="17"/>
      <c r="AN30" s="7">
        <v>2021</v>
      </c>
      <c r="AO30" s="14">
        <v>50</v>
      </c>
      <c r="AP30" s="17"/>
      <c r="AQ30" s="7">
        <v>2021</v>
      </c>
      <c r="AR30" s="14">
        <v>0</v>
      </c>
      <c r="AS30" s="17"/>
      <c r="AT30" s="7">
        <v>2021</v>
      </c>
      <c r="AU30" s="14">
        <v>100</v>
      </c>
      <c r="AV30" s="17"/>
      <c r="AW30" s="7">
        <v>2021</v>
      </c>
      <c r="AX30" s="14">
        <v>50</v>
      </c>
      <c r="AY30" s="23"/>
    </row>
    <row r="31" spans="1:51" ht="24.75" customHeight="1">
      <c r="A31" s="7">
        <v>2022</v>
      </c>
      <c r="B31" s="15">
        <f>AVERAGE(E31,H31,K31,T31,AF31,AO31,AU31,AX31,AR31)</f>
        <v>41.5</v>
      </c>
      <c r="C31" s="15"/>
      <c r="D31" s="7">
        <v>2022</v>
      </c>
      <c r="E31" s="84">
        <v>0</v>
      </c>
      <c r="F31" s="83"/>
      <c r="G31" s="7">
        <v>2022</v>
      </c>
      <c r="H31" s="14">
        <v>0</v>
      </c>
      <c r="I31" s="17"/>
      <c r="J31" s="7">
        <v>2022</v>
      </c>
      <c r="K31" s="14">
        <v>67</v>
      </c>
      <c r="L31" s="17"/>
      <c r="M31" s="7">
        <v>2022</v>
      </c>
      <c r="N31" s="14">
        <v>0</v>
      </c>
      <c r="O31" s="17"/>
      <c r="P31" s="7">
        <v>2022</v>
      </c>
      <c r="Q31" s="14">
        <v>100</v>
      </c>
      <c r="R31" s="17"/>
      <c r="S31" s="7">
        <v>2022</v>
      </c>
      <c r="T31" s="14">
        <v>90</v>
      </c>
      <c r="U31" s="17"/>
      <c r="V31" s="7">
        <v>2022</v>
      </c>
      <c r="W31" s="14">
        <v>50</v>
      </c>
      <c r="X31" s="17"/>
      <c r="Y31" s="7">
        <v>2022</v>
      </c>
      <c r="Z31" s="82">
        <v>0</v>
      </c>
      <c r="AA31" s="83"/>
      <c r="AB31" s="7">
        <v>2022</v>
      </c>
      <c r="AC31" s="14">
        <v>0</v>
      </c>
      <c r="AD31" s="17"/>
      <c r="AE31" s="7">
        <v>2022</v>
      </c>
      <c r="AF31" s="31">
        <f t="shared" si="1"/>
        <v>16.5</v>
      </c>
      <c r="AG31" s="17"/>
      <c r="AH31" s="7">
        <v>2022</v>
      </c>
      <c r="AI31" s="14">
        <v>0</v>
      </c>
      <c r="AJ31" s="17"/>
      <c r="AK31" s="7">
        <v>2022</v>
      </c>
      <c r="AL31" s="14">
        <v>50</v>
      </c>
      <c r="AM31" s="17"/>
      <c r="AN31" s="7">
        <v>2022</v>
      </c>
      <c r="AO31" s="14">
        <v>50</v>
      </c>
      <c r="AP31" s="17"/>
      <c r="AQ31" s="7">
        <v>2022</v>
      </c>
      <c r="AR31" s="14">
        <v>0</v>
      </c>
      <c r="AS31" s="17"/>
      <c r="AT31" s="7">
        <v>2022</v>
      </c>
      <c r="AU31" s="14">
        <v>100</v>
      </c>
      <c r="AV31" s="17"/>
      <c r="AW31" s="7">
        <v>2022</v>
      </c>
      <c r="AX31" s="14">
        <v>50</v>
      </c>
      <c r="AY31" s="23"/>
    </row>
    <row r="32" spans="1:51" ht="24.75" customHeight="1">
      <c r="A32" s="7">
        <v>2023</v>
      </c>
      <c r="B32" s="15">
        <f>AVERAGE(E32,H32,K32,T32,AF32,AO32,AU32,AX32,AR32)</f>
        <v>41.5</v>
      </c>
      <c r="C32" s="15"/>
      <c r="D32" s="7">
        <v>2023</v>
      </c>
      <c r="E32" s="84">
        <v>0</v>
      </c>
      <c r="F32" s="83"/>
      <c r="G32" s="7">
        <v>2023</v>
      </c>
      <c r="H32" s="14">
        <v>0</v>
      </c>
      <c r="I32" s="17"/>
      <c r="J32" s="7">
        <v>2023</v>
      </c>
      <c r="K32" s="14">
        <v>67</v>
      </c>
      <c r="L32" s="17"/>
      <c r="M32" s="7">
        <v>2023</v>
      </c>
      <c r="N32" s="14">
        <v>0</v>
      </c>
      <c r="O32" s="17"/>
      <c r="P32" s="7">
        <v>2023</v>
      </c>
      <c r="Q32" s="14">
        <v>100</v>
      </c>
      <c r="R32" s="17"/>
      <c r="S32" s="7">
        <v>2023</v>
      </c>
      <c r="T32" s="14">
        <v>90</v>
      </c>
      <c r="U32" s="17"/>
      <c r="V32" s="7">
        <v>2023</v>
      </c>
      <c r="W32" s="14">
        <v>50</v>
      </c>
      <c r="X32" s="17"/>
      <c r="Y32" s="7">
        <v>2023</v>
      </c>
      <c r="Z32" s="82">
        <v>0</v>
      </c>
      <c r="AA32" s="83" t="s">
        <v>854</v>
      </c>
      <c r="AB32" s="7">
        <v>2023</v>
      </c>
      <c r="AC32" s="14">
        <v>0</v>
      </c>
      <c r="AD32" s="17"/>
      <c r="AE32" s="7">
        <v>2023</v>
      </c>
      <c r="AF32" s="31">
        <f t="shared" si="1"/>
        <v>16.5</v>
      </c>
      <c r="AG32" s="17"/>
      <c r="AH32" s="7">
        <v>2023</v>
      </c>
      <c r="AI32" s="14">
        <v>0</v>
      </c>
      <c r="AJ32" s="17"/>
      <c r="AK32" s="7">
        <v>2023</v>
      </c>
      <c r="AL32" s="14">
        <v>50</v>
      </c>
      <c r="AM32" s="17"/>
      <c r="AN32" s="7">
        <v>2023</v>
      </c>
      <c r="AO32" s="14">
        <v>50</v>
      </c>
      <c r="AP32" s="17"/>
      <c r="AQ32" s="7">
        <v>2023</v>
      </c>
      <c r="AR32" s="14">
        <v>0</v>
      </c>
      <c r="AS32" s="17"/>
      <c r="AT32" s="7">
        <v>2023</v>
      </c>
      <c r="AU32" s="14">
        <v>100</v>
      </c>
      <c r="AV32" s="17"/>
      <c r="AW32" s="7">
        <v>2023</v>
      </c>
      <c r="AX32" s="14">
        <v>50</v>
      </c>
      <c r="AY32" s="23"/>
    </row>
    <row r="33" spans="1:51" ht="24.75" customHeight="1">
      <c r="A33" s="7">
        <v>2024</v>
      </c>
      <c r="B33" s="15">
        <f>AVERAGE(E33,H33,K33,T33,AF33,AO33,AU33,AX33,AR33)</f>
        <v>41.5</v>
      </c>
      <c r="C33" s="15"/>
      <c r="D33" s="7">
        <v>2024</v>
      </c>
      <c r="E33" s="84">
        <v>0</v>
      </c>
      <c r="F33" s="83"/>
      <c r="G33" s="7">
        <v>2024</v>
      </c>
      <c r="H33" s="14">
        <v>0</v>
      </c>
      <c r="I33" s="17"/>
      <c r="J33" s="7">
        <v>2024</v>
      </c>
      <c r="K33" s="14">
        <v>67</v>
      </c>
      <c r="L33" s="17"/>
      <c r="M33" s="7">
        <v>2024</v>
      </c>
      <c r="N33" s="14">
        <v>0</v>
      </c>
      <c r="O33" s="17"/>
      <c r="P33" s="7">
        <v>2024</v>
      </c>
      <c r="Q33" s="14">
        <v>100</v>
      </c>
      <c r="R33" s="17"/>
      <c r="S33" s="7">
        <v>2024</v>
      </c>
      <c r="T33" s="14">
        <v>90</v>
      </c>
      <c r="U33" s="17"/>
      <c r="V33" s="7">
        <v>2024</v>
      </c>
      <c r="W33" s="14">
        <v>50</v>
      </c>
      <c r="X33" s="17"/>
      <c r="Y33" s="7">
        <v>2024</v>
      </c>
      <c r="Z33" s="82">
        <v>0</v>
      </c>
      <c r="AA33" s="83"/>
      <c r="AB33" s="7">
        <v>2024</v>
      </c>
      <c r="AC33" s="14">
        <v>0</v>
      </c>
      <c r="AD33" s="17"/>
      <c r="AE33" s="7">
        <v>2024</v>
      </c>
      <c r="AF33" s="31">
        <f t="shared" si="1"/>
        <v>16.5</v>
      </c>
      <c r="AG33" s="17"/>
      <c r="AH33" s="7">
        <v>2024</v>
      </c>
      <c r="AI33" s="14">
        <v>0</v>
      </c>
      <c r="AJ33" s="17"/>
      <c r="AK33" s="7">
        <v>2024</v>
      </c>
      <c r="AL33" s="14">
        <v>50</v>
      </c>
      <c r="AM33" s="17"/>
      <c r="AN33" s="7">
        <v>2024</v>
      </c>
      <c r="AO33" s="14">
        <v>50</v>
      </c>
      <c r="AP33" s="17"/>
      <c r="AQ33" s="7">
        <v>2024</v>
      </c>
      <c r="AR33" s="14">
        <v>0</v>
      </c>
      <c r="AS33" s="17"/>
      <c r="AT33" s="7">
        <v>2024</v>
      </c>
      <c r="AU33" s="14">
        <v>100</v>
      </c>
      <c r="AV33" s="17"/>
      <c r="AW33" s="7">
        <v>2024</v>
      </c>
      <c r="AX33" s="14">
        <v>50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116.1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c r="AG39" s="310"/>
      <c r="AH39" s="7" t="s">
        <v>30</v>
      </c>
      <c r="AI39" s="310" t="s">
        <v>162</v>
      </c>
      <c r="AJ39" s="310"/>
      <c r="AK39" s="7" t="s">
        <v>30</v>
      </c>
      <c r="AL39" s="310" t="s">
        <v>163</v>
      </c>
      <c r="AM39" s="310"/>
    </row>
    <row r="40" spans="1:51" ht="156"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297" t="s">
        <v>172</v>
      </c>
      <c r="AG40" s="298"/>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54.714285714285715</v>
      </c>
      <c r="C42" s="16"/>
      <c r="D42" s="7">
        <v>2020</v>
      </c>
      <c r="E42" s="14">
        <v>33</v>
      </c>
      <c r="F42" s="17"/>
      <c r="G42" s="7">
        <v>2020</v>
      </c>
      <c r="H42" s="14">
        <v>50</v>
      </c>
      <c r="I42" s="17"/>
      <c r="J42" s="7">
        <v>2020</v>
      </c>
      <c r="K42" s="14">
        <v>50</v>
      </c>
      <c r="L42" s="17" t="s">
        <v>855</v>
      </c>
      <c r="M42" s="7">
        <v>2020</v>
      </c>
      <c r="N42" s="31">
        <f t="shared" ref="N42:N46" si="2">AVERAGE(Q42,T42,W42)</f>
        <v>50</v>
      </c>
      <c r="O42" s="14"/>
      <c r="P42" s="7">
        <v>2020</v>
      </c>
      <c r="Q42" s="14">
        <v>50</v>
      </c>
      <c r="R42" s="17"/>
      <c r="S42" s="7">
        <v>2020</v>
      </c>
      <c r="T42" s="14">
        <v>50</v>
      </c>
      <c r="U42" s="17"/>
      <c r="V42" s="7">
        <v>2020</v>
      </c>
      <c r="W42" s="14">
        <v>50</v>
      </c>
      <c r="X42" s="17"/>
      <c r="Y42" s="7">
        <v>2020</v>
      </c>
      <c r="Z42" s="14">
        <v>50</v>
      </c>
      <c r="AA42" s="17"/>
      <c r="AB42" s="7">
        <v>2020</v>
      </c>
      <c r="AC42" s="14">
        <v>50</v>
      </c>
      <c r="AD42" s="17"/>
      <c r="AE42" s="7">
        <v>2020</v>
      </c>
      <c r="AF42" s="14">
        <v>100</v>
      </c>
      <c r="AG42" s="14"/>
      <c r="AH42" s="7">
        <v>2020</v>
      </c>
      <c r="AI42" s="21">
        <v>100</v>
      </c>
      <c r="AJ42" s="17"/>
      <c r="AK42" s="7">
        <v>2020</v>
      </c>
      <c r="AL42" s="14">
        <v>50</v>
      </c>
      <c r="AM42" s="23"/>
    </row>
    <row r="43" spans="1:51" ht="24.75" customHeight="1">
      <c r="A43" s="7">
        <v>2021</v>
      </c>
      <c r="B43" s="16">
        <f>AVERAGE(E43,H43,K43,N43,Z43,AC43,AF43)</f>
        <v>54.714285714285715</v>
      </c>
      <c r="C43" s="16"/>
      <c r="D43" s="7">
        <v>2021</v>
      </c>
      <c r="E43" s="14">
        <v>33</v>
      </c>
      <c r="F43" s="17"/>
      <c r="G43" s="7">
        <v>2021</v>
      </c>
      <c r="H43" s="14">
        <v>50</v>
      </c>
      <c r="I43" s="17"/>
      <c r="J43" s="7">
        <v>2021</v>
      </c>
      <c r="K43" s="14">
        <v>50</v>
      </c>
      <c r="L43" s="17"/>
      <c r="M43" s="7">
        <v>2021</v>
      </c>
      <c r="N43" s="31">
        <f t="shared" si="2"/>
        <v>50</v>
      </c>
      <c r="O43" s="14"/>
      <c r="P43" s="7">
        <v>2021</v>
      </c>
      <c r="Q43" s="14">
        <v>50</v>
      </c>
      <c r="R43" s="17"/>
      <c r="S43" s="7">
        <v>2021</v>
      </c>
      <c r="T43" s="14">
        <v>50</v>
      </c>
      <c r="U43" s="17"/>
      <c r="V43" s="7">
        <v>2021</v>
      </c>
      <c r="W43" s="14">
        <v>50</v>
      </c>
      <c r="X43" s="17"/>
      <c r="Y43" s="7">
        <v>2021</v>
      </c>
      <c r="Z43" s="14">
        <v>50</v>
      </c>
      <c r="AA43" s="17"/>
      <c r="AB43" s="7">
        <v>2021</v>
      </c>
      <c r="AC43" s="14">
        <v>50</v>
      </c>
      <c r="AD43" s="17"/>
      <c r="AE43" s="7">
        <v>2021</v>
      </c>
      <c r="AF43" s="14">
        <v>100</v>
      </c>
      <c r="AG43" s="14"/>
      <c r="AH43" s="7">
        <v>2021</v>
      </c>
      <c r="AI43" s="21">
        <v>100</v>
      </c>
      <c r="AJ43" s="17"/>
      <c r="AK43" s="7">
        <v>2021</v>
      </c>
      <c r="AL43" s="14">
        <v>50</v>
      </c>
      <c r="AM43" s="23"/>
    </row>
    <row r="44" spans="1:51" ht="24.75" customHeight="1">
      <c r="A44" s="7">
        <v>2022</v>
      </c>
      <c r="B44" s="16">
        <f>AVERAGE(E44,H44,K44,N44,Z44,AC44,AF44)</f>
        <v>54.714285714285715</v>
      </c>
      <c r="C44" s="16"/>
      <c r="D44" s="7">
        <v>2022</v>
      </c>
      <c r="E44" s="14">
        <v>33</v>
      </c>
      <c r="F44" s="17"/>
      <c r="G44" s="7">
        <v>2022</v>
      </c>
      <c r="H44" s="82">
        <v>50</v>
      </c>
      <c r="I44" s="83" t="s">
        <v>856</v>
      </c>
      <c r="J44" s="7">
        <v>2022</v>
      </c>
      <c r="K44" s="14">
        <v>50</v>
      </c>
      <c r="L44" s="17"/>
      <c r="M44" s="7">
        <v>2022</v>
      </c>
      <c r="N44" s="31">
        <f t="shared" si="2"/>
        <v>50</v>
      </c>
      <c r="O44" s="14"/>
      <c r="P44" s="7">
        <v>2022</v>
      </c>
      <c r="Q44" s="14">
        <v>50</v>
      </c>
      <c r="R44" s="17" t="s">
        <v>857</v>
      </c>
      <c r="S44" s="7">
        <v>2022</v>
      </c>
      <c r="T44" s="14">
        <v>50</v>
      </c>
      <c r="U44" s="17"/>
      <c r="V44" s="7">
        <v>2022</v>
      </c>
      <c r="W44" s="14">
        <v>50</v>
      </c>
      <c r="X44" s="17"/>
      <c r="Y44" s="7">
        <v>2022</v>
      </c>
      <c r="Z44" s="14">
        <v>50</v>
      </c>
      <c r="AA44" s="17"/>
      <c r="AB44" s="7">
        <v>2022</v>
      </c>
      <c r="AC44" s="14">
        <v>50</v>
      </c>
      <c r="AD44" s="17"/>
      <c r="AE44" s="7">
        <v>2022</v>
      </c>
      <c r="AF44" s="14">
        <v>100</v>
      </c>
      <c r="AG44" s="14"/>
      <c r="AH44" s="7">
        <v>2022</v>
      </c>
      <c r="AI44" s="21">
        <v>100</v>
      </c>
      <c r="AJ44" s="17"/>
      <c r="AK44" s="7">
        <v>2022</v>
      </c>
      <c r="AL44" s="14">
        <v>50</v>
      </c>
      <c r="AM44" s="23"/>
    </row>
    <row r="45" spans="1:51" ht="24.75" customHeight="1">
      <c r="A45" s="7">
        <v>2023</v>
      </c>
      <c r="B45" s="16">
        <f>AVERAGE(E45,H45,K45,N45,Z45,AC45,AF45)</f>
        <v>54.714285714285715</v>
      </c>
      <c r="C45" s="16"/>
      <c r="D45" s="7">
        <v>2023</v>
      </c>
      <c r="E45" s="14">
        <v>33</v>
      </c>
      <c r="F45" s="17"/>
      <c r="G45" s="7">
        <v>2023</v>
      </c>
      <c r="H45" s="82">
        <v>50</v>
      </c>
      <c r="I45" s="83"/>
      <c r="J45" s="7">
        <v>2023</v>
      </c>
      <c r="K45" s="14">
        <v>50</v>
      </c>
      <c r="L45" s="17"/>
      <c r="M45" s="7">
        <v>2023</v>
      </c>
      <c r="N45" s="31">
        <f t="shared" si="2"/>
        <v>50</v>
      </c>
      <c r="O45" s="14"/>
      <c r="P45" s="7">
        <v>2023</v>
      </c>
      <c r="Q45" s="14">
        <v>50</v>
      </c>
      <c r="R45" s="17"/>
      <c r="S45" s="7">
        <v>2023</v>
      </c>
      <c r="T45" s="14">
        <v>50</v>
      </c>
      <c r="U45" s="17"/>
      <c r="V45" s="7">
        <v>2023</v>
      </c>
      <c r="W45" s="14">
        <v>50</v>
      </c>
      <c r="X45" s="17"/>
      <c r="Y45" s="7">
        <v>2023</v>
      </c>
      <c r="Z45" s="14">
        <v>50</v>
      </c>
      <c r="AA45" s="17"/>
      <c r="AB45" s="7">
        <v>2023</v>
      </c>
      <c r="AC45" s="14">
        <v>50</v>
      </c>
      <c r="AD45" s="17"/>
      <c r="AE45" s="7">
        <v>2023</v>
      </c>
      <c r="AF45" s="14">
        <v>100</v>
      </c>
      <c r="AG45" s="14"/>
      <c r="AH45" s="7">
        <v>2023</v>
      </c>
      <c r="AI45" s="21">
        <v>100</v>
      </c>
      <c r="AJ45" s="17"/>
      <c r="AK45" s="7">
        <v>2023</v>
      </c>
      <c r="AL45" s="14">
        <v>50</v>
      </c>
      <c r="AM45" s="23" t="s">
        <v>858</v>
      </c>
    </row>
    <row r="46" spans="1:51" ht="24.75" customHeight="1">
      <c r="A46" s="7">
        <v>2024</v>
      </c>
      <c r="B46" s="16">
        <f>AVERAGE(E46,H46,K46,N46,Z46,AC46,AF46)</f>
        <v>54.714285714285715</v>
      </c>
      <c r="C46" s="16"/>
      <c r="D46" s="7">
        <v>2024</v>
      </c>
      <c r="E46" s="14">
        <v>33</v>
      </c>
      <c r="F46" s="17"/>
      <c r="G46" s="7">
        <v>2024</v>
      </c>
      <c r="H46" s="82">
        <v>50</v>
      </c>
      <c r="I46" s="83"/>
      <c r="J46" s="7">
        <v>2024</v>
      </c>
      <c r="K46" s="14">
        <v>50</v>
      </c>
      <c r="L46" s="17"/>
      <c r="M46" s="7">
        <v>2024</v>
      </c>
      <c r="N46" s="31">
        <f t="shared" si="2"/>
        <v>50</v>
      </c>
      <c r="O46" s="14"/>
      <c r="P46" s="7">
        <v>2024</v>
      </c>
      <c r="Q46" s="14">
        <v>50</v>
      </c>
      <c r="R46" s="17"/>
      <c r="S46" s="7">
        <v>2024</v>
      </c>
      <c r="T46" s="14">
        <v>50</v>
      </c>
      <c r="U46" s="17"/>
      <c r="V46" s="7">
        <v>2024</v>
      </c>
      <c r="W46" s="14">
        <v>50</v>
      </c>
      <c r="X46" s="17"/>
      <c r="Y46" s="7">
        <v>2024</v>
      </c>
      <c r="Z46" s="14">
        <v>50</v>
      </c>
      <c r="AA46" s="17"/>
      <c r="AB46" s="7">
        <v>2024</v>
      </c>
      <c r="AC46" s="14">
        <v>50</v>
      </c>
      <c r="AD46" s="17"/>
      <c r="AE46" s="7">
        <v>2024</v>
      </c>
      <c r="AF46" s="14">
        <v>100</v>
      </c>
      <c r="AG46" s="14"/>
      <c r="AH46" s="7">
        <v>2024</v>
      </c>
      <c r="AI46" s="21">
        <v>100</v>
      </c>
      <c r="AJ46" s="17"/>
      <c r="AK46" s="7">
        <v>2024</v>
      </c>
      <c r="AL46" s="14">
        <v>50</v>
      </c>
      <c r="AM46" s="23"/>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3">AVERAGE(E55,H55,K55,N55,Q55)</f>
        <v>60</v>
      </c>
      <c r="C55" s="16"/>
      <c r="D55" s="7">
        <v>2020</v>
      </c>
      <c r="E55" s="14">
        <v>0</v>
      </c>
      <c r="F55" s="17"/>
      <c r="G55" s="7">
        <v>2020</v>
      </c>
      <c r="H55" s="14">
        <v>100</v>
      </c>
      <c r="I55" s="17"/>
      <c r="J55" s="7">
        <v>2020</v>
      </c>
      <c r="K55" s="82">
        <v>50</v>
      </c>
      <c r="L55" s="83"/>
      <c r="M55" s="7">
        <v>2020</v>
      </c>
      <c r="N55" s="14">
        <v>50</v>
      </c>
      <c r="O55" s="17"/>
      <c r="P55" s="7">
        <v>2020</v>
      </c>
      <c r="Q55" s="14">
        <v>100</v>
      </c>
      <c r="R55" s="23"/>
    </row>
    <row r="56" spans="1:24" ht="24.75" customHeight="1">
      <c r="A56" s="7">
        <v>2021</v>
      </c>
      <c r="B56" s="15">
        <f t="shared" si="3"/>
        <v>60</v>
      </c>
      <c r="C56" s="15"/>
      <c r="D56" s="7">
        <v>2021</v>
      </c>
      <c r="E56" s="14">
        <v>0</v>
      </c>
      <c r="F56" s="17"/>
      <c r="G56" s="7">
        <v>2021</v>
      </c>
      <c r="H56" s="14">
        <v>100</v>
      </c>
      <c r="I56" s="17"/>
      <c r="J56" s="7">
        <v>2021</v>
      </c>
      <c r="K56" s="82">
        <v>50</v>
      </c>
      <c r="L56" s="83"/>
      <c r="M56" s="7">
        <v>2021</v>
      </c>
      <c r="N56" s="14">
        <v>50</v>
      </c>
      <c r="O56" s="17"/>
      <c r="P56" s="7">
        <v>2021</v>
      </c>
      <c r="Q56" s="14">
        <v>100</v>
      </c>
      <c r="R56" s="23"/>
    </row>
    <row r="57" spans="1:24" ht="24.75" customHeight="1">
      <c r="A57" s="7">
        <v>2022</v>
      </c>
      <c r="B57" s="15">
        <f t="shared" si="3"/>
        <v>60</v>
      </c>
      <c r="C57" s="15"/>
      <c r="D57" s="7">
        <v>2022</v>
      </c>
      <c r="E57" s="14">
        <v>0</v>
      </c>
      <c r="F57" s="17"/>
      <c r="G57" s="7">
        <v>2022</v>
      </c>
      <c r="H57" s="14">
        <v>100</v>
      </c>
      <c r="I57" s="17"/>
      <c r="J57" s="7">
        <v>2022</v>
      </c>
      <c r="K57" s="82">
        <v>50</v>
      </c>
      <c r="L57" s="83"/>
      <c r="M57" s="7">
        <v>2022</v>
      </c>
      <c r="N57" s="14">
        <v>50</v>
      </c>
      <c r="O57" s="17"/>
      <c r="P57" s="7">
        <v>2022</v>
      </c>
      <c r="Q57" s="14">
        <v>100</v>
      </c>
      <c r="R57" s="23"/>
    </row>
    <row r="58" spans="1:24" ht="24.75" customHeight="1">
      <c r="A58" s="7">
        <v>2023</v>
      </c>
      <c r="B58" s="15">
        <f t="shared" si="3"/>
        <v>60</v>
      </c>
      <c r="C58" s="15"/>
      <c r="D58" s="7">
        <v>2023</v>
      </c>
      <c r="E58" s="14">
        <v>0</v>
      </c>
      <c r="F58" s="17"/>
      <c r="G58" s="7">
        <v>2023</v>
      </c>
      <c r="H58" s="14">
        <v>100</v>
      </c>
      <c r="I58" s="17"/>
      <c r="J58" s="7">
        <v>2023</v>
      </c>
      <c r="K58" s="82">
        <v>50</v>
      </c>
      <c r="L58" s="83"/>
      <c r="M58" s="7">
        <v>2023</v>
      </c>
      <c r="N58" s="14">
        <v>50</v>
      </c>
      <c r="O58" s="17"/>
      <c r="P58" s="7">
        <v>2023</v>
      </c>
      <c r="Q58" s="14">
        <v>100</v>
      </c>
      <c r="R58" s="23"/>
    </row>
    <row r="59" spans="1:24" ht="24.75" customHeight="1">
      <c r="A59" s="7">
        <v>2024</v>
      </c>
      <c r="B59" s="15">
        <f t="shared" si="3"/>
        <v>60</v>
      </c>
      <c r="C59" s="15"/>
      <c r="D59" s="7">
        <v>2024</v>
      </c>
      <c r="E59" s="14">
        <v>0</v>
      </c>
      <c r="F59" s="17"/>
      <c r="G59" s="7">
        <v>2024</v>
      </c>
      <c r="H59" s="14">
        <v>100</v>
      </c>
      <c r="I59" s="17"/>
      <c r="J59" s="7">
        <v>2024</v>
      </c>
      <c r="K59" s="82">
        <v>50</v>
      </c>
      <c r="L59" s="83"/>
      <c r="M59" s="7">
        <v>2024</v>
      </c>
      <c r="N59" s="14">
        <v>50</v>
      </c>
      <c r="O59" s="17"/>
      <c r="P59" s="7">
        <v>2024</v>
      </c>
      <c r="Q59" s="14">
        <v>100</v>
      </c>
      <c r="R59" s="23"/>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4">AVERAGE(E68,((H68+K68)/2),((N68+Q68+T68)/3),W68)</f>
        <v>54.166666666666671</v>
      </c>
      <c r="C68" s="16"/>
      <c r="D68" s="7">
        <v>2020</v>
      </c>
      <c r="E68" s="84">
        <v>50</v>
      </c>
      <c r="F68" s="83"/>
      <c r="G68" s="7">
        <v>2020</v>
      </c>
      <c r="H68" s="14">
        <v>0</v>
      </c>
      <c r="I68" s="17"/>
      <c r="J68" s="7">
        <v>2020</v>
      </c>
      <c r="K68" s="14">
        <v>0</v>
      </c>
      <c r="L68" s="17"/>
      <c r="M68" s="7">
        <v>2020</v>
      </c>
      <c r="N68" s="14">
        <v>100</v>
      </c>
      <c r="O68" s="17"/>
      <c r="P68" s="7">
        <v>2020</v>
      </c>
      <c r="Q68" s="14">
        <v>100</v>
      </c>
      <c r="R68" s="17"/>
      <c r="S68" s="7">
        <v>2020</v>
      </c>
      <c r="T68" s="14">
        <v>0</v>
      </c>
      <c r="U68" s="17" t="s">
        <v>859</v>
      </c>
      <c r="V68" s="7">
        <v>2020</v>
      </c>
      <c r="W68" s="14">
        <v>100</v>
      </c>
      <c r="X68" s="23"/>
    </row>
    <row r="69" spans="1:27" ht="24.75" customHeight="1">
      <c r="A69" s="7">
        <v>2021</v>
      </c>
      <c r="B69" s="15">
        <f t="shared" si="4"/>
        <v>54.166666666666671</v>
      </c>
      <c r="C69" s="15"/>
      <c r="D69" s="7">
        <v>2021</v>
      </c>
      <c r="E69" s="84">
        <v>50</v>
      </c>
      <c r="F69" s="83"/>
      <c r="G69" s="7">
        <v>2021</v>
      </c>
      <c r="H69" s="14">
        <v>0</v>
      </c>
      <c r="I69" s="17"/>
      <c r="J69" s="7">
        <v>2021</v>
      </c>
      <c r="K69" s="14">
        <v>0</v>
      </c>
      <c r="L69" s="17"/>
      <c r="M69" s="7">
        <v>2021</v>
      </c>
      <c r="N69" s="14">
        <v>100</v>
      </c>
      <c r="O69" s="17"/>
      <c r="P69" s="7">
        <v>2021</v>
      </c>
      <c r="Q69" s="14">
        <v>100</v>
      </c>
      <c r="R69" s="17"/>
      <c r="S69" s="7">
        <v>2021</v>
      </c>
      <c r="T69" s="14">
        <v>0</v>
      </c>
      <c r="U69" s="17"/>
      <c r="V69" s="7">
        <v>2021</v>
      </c>
      <c r="W69" s="14">
        <v>100</v>
      </c>
      <c r="X69" s="23"/>
    </row>
    <row r="70" spans="1:27" ht="24.75" customHeight="1">
      <c r="A70" s="7">
        <v>2022</v>
      </c>
      <c r="B70" s="15">
        <f t="shared" si="4"/>
        <v>54.166666666666671</v>
      </c>
      <c r="C70" s="15"/>
      <c r="D70" s="7">
        <v>2022</v>
      </c>
      <c r="E70" s="84">
        <v>50</v>
      </c>
      <c r="F70" s="83"/>
      <c r="G70" s="7">
        <v>2022</v>
      </c>
      <c r="H70" s="14">
        <v>0</v>
      </c>
      <c r="I70" s="17"/>
      <c r="J70" s="7">
        <v>2022</v>
      </c>
      <c r="K70" s="14">
        <v>0</v>
      </c>
      <c r="L70" s="17"/>
      <c r="M70" s="7">
        <v>2022</v>
      </c>
      <c r="N70" s="14">
        <v>100</v>
      </c>
      <c r="O70" s="17"/>
      <c r="P70" s="7">
        <v>2022</v>
      </c>
      <c r="Q70" s="14">
        <v>100</v>
      </c>
      <c r="R70" s="17"/>
      <c r="S70" s="7">
        <v>2022</v>
      </c>
      <c r="T70" s="14">
        <v>0</v>
      </c>
      <c r="U70" s="17"/>
      <c r="V70" s="7">
        <v>2022</v>
      </c>
      <c r="W70" s="14">
        <v>100</v>
      </c>
      <c r="X70" s="23"/>
    </row>
    <row r="71" spans="1:27" ht="24.75" customHeight="1">
      <c r="A71" s="7">
        <v>2023</v>
      </c>
      <c r="B71" s="15">
        <f t="shared" si="4"/>
        <v>54.166666666666671</v>
      </c>
      <c r="C71" s="15"/>
      <c r="D71" s="7">
        <v>2023</v>
      </c>
      <c r="E71" s="84">
        <v>50</v>
      </c>
      <c r="F71" s="83" t="s">
        <v>860</v>
      </c>
      <c r="G71" s="7">
        <v>2023</v>
      </c>
      <c r="H71" s="14">
        <v>0</v>
      </c>
      <c r="I71" s="17" t="s">
        <v>861</v>
      </c>
      <c r="J71" s="7">
        <v>2023</v>
      </c>
      <c r="K71" s="14">
        <v>0</v>
      </c>
      <c r="L71" s="17"/>
      <c r="M71" s="7">
        <v>2023</v>
      </c>
      <c r="N71" s="14">
        <v>100</v>
      </c>
      <c r="O71" s="17"/>
      <c r="P71" s="7">
        <v>2023</v>
      </c>
      <c r="Q71" s="14">
        <v>100</v>
      </c>
      <c r="R71" s="17"/>
      <c r="S71" s="7">
        <v>2023</v>
      </c>
      <c r="T71" s="14">
        <v>0</v>
      </c>
      <c r="U71" s="17"/>
      <c r="V71" s="7">
        <v>2023</v>
      </c>
      <c r="W71" s="14">
        <v>100</v>
      </c>
      <c r="X71" s="23"/>
    </row>
    <row r="72" spans="1:27" ht="24.75" customHeight="1">
      <c r="A72" s="7">
        <v>2024</v>
      </c>
      <c r="B72" s="15">
        <f t="shared" si="4"/>
        <v>54.166666666666671</v>
      </c>
      <c r="C72" s="15"/>
      <c r="D72" s="7">
        <v>2024</v>
      </c>
      <c r="E72" s="84">
        <v>50</v>
      </c>
      <c r="F72" s="83"/>
      <c r="G72" s="7">
        <v>2024</v>
      </c>
      <c r="H72" s="14">
        <v>0</v>
      </c>
      <c r="I72" s="17"/>
      <c r="J72" s="7">
        <v>2024</v>
      </c>
      <c r="K72" s="14">
        <v>0</v>
      </c>
      <c r="L72" s="17"/>
      <c r="M72" s="7">
        <v>2024</v>
      </c>
      <c r="N72" s="14">
        <v>100</v>
      </c>
      <c r="O72" s="17"/>
      <c r="P72" s="7">
        <v>2024</v>
      </c>
      <c r="Q72" s="14">
        <v>100</v>
      </c>
      <c r="R72" s="17"/>
      <c r="S72" s="7">
        <v>2024</v>
      </c>
      <c r="T72" s="14">
        <v>0</v>
      </c>
      <c r="U72" s="17"/>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4" si="5">AVERAGE(E81,H81,K81,Z81)</f>
        <v>41.75</v>
      </c>
      <c r="C81" s="15"/>
      <c r="D81" s="7">
        <v>2020</v>
      </c>
      <c r="E81" s="14">
        <v>50</v>
      </c>
      <c r="F81" s="17"/>
      <c r="G81" s="7">
        <v>2020</v>
      </c>
      <c r="H81" s="14">
        <v>67</v>
      </c>
      <c r="I81" s="17"/>
      <c r="J81" s="7">
        <v>2020</v>
      </c>
      <c r="K81" s="31">
        <f t="shared" ref="K81:K85" si="6">AVERAGE(N81,Q81,T81,W81)</f>
        <v>0</v>
      </c>
      <c r="L81" s="14"/>
      <c r="M81" s="7">
        <v>2020</v>
      </c>
      <c r="N81" s="21">
        <v>0</v>
      </c>
      <c r="O81" s="17"/>
      <c r="P81" s="7">
        <v>2020</v>
      </c>
      <c r="Q81" s="21">
        <v>0</v>
      </c>
      <c r="R81" s="17"/>
      <c r="S81" s="7">
        <v>2020</v>
      </c>
      <c r="T81" s="21">
        <v>0</v>
      </c>
      <c r="U81" s="17"/>
      <c r="V81" s="7">
        <v>2020</v>
      </c>
      <c r="W81" s="21">
        <v>0</v>
      </c>
      <c r="X81" s="17"/>
      <c r="Y81" s="7">
        <v>2020</v>
      </c>
      <c r="Z81" s="14">
        <v>50</v>
      </c>
      <c r="AA81" s="23"/>
    </row>
    <row r="82" spans="1:33" ht="24.75" customHeight="1">
      <c r="A82" s="7">
        <v>2021</v>
      </c>
      <c r="B82" s="15">
        <f t="shared" si="5"/>
        <v>41.75</v>
      </c>
      <c r="C82" s="15"/>
      <c r="D82" s="7">
        <v>2021</v>
      </c>
      <c r="E82" s="14">
        <v>50</v>
      </c>
      <c r="F82" s="17"/>
      <c r="G82" s="7">
        <v>2021</v>
      </c>
      <c r="H82" s="14">
        <v>67</v>
      </c>
      <c r="I82" s="17"/>
      <c r="J82" s="7">
        <v>2021</v>
      </c>
      <c r="K82" s="31">
        <f t="shared" si="6"/>
        <v>0</v>
      </c>
      <c r="L82" s="14"/>
      <c r="M82" s="7">
        <v>2021</v>
      </c>
      <c r="N82" s="21">
        <v>0</v>
      </c>
      <c r="O82" s="17"/>
      <c r="P82" s="7">
        <v>2021</v>
      </c>
      <c r="Q82" s="21">
        <v>0</v>
      </c>
      <c r="R82" s="17"/>
      <c r="S82" s="7">
        <v>2021</v>
      </c>
      <c r="T82" s="21">
        <v>0</v>
      </c>
      <c r="U82" s="17"/>
      <c r="V82" s="7">
        <v>2021</v>
      </c>
      <c r="W82" s="21">
        <v>0</v>
      </c>
      <c r="X82" s="17"/>
      <c r="Y82" s="7">
        <v>2021</v>
      </c>
      <c r="Z82" s="14">
        <v>50</v>
      </c>
      <c r="AA82" s="23"/>
    </row>
    <row r="83" spans="1:33" ht="24.75" customHeight="1">
      <c r="A83" s="7">
        <v>2022</v>
      </c>
      <c r="B83" s="15">
        <f t="shared" si="5"/>
        <v>41.75</v>
      </c>
      <c r="C83" s="15"/>
      <c r="D83" s="7">
        <v>2022</v>
      </c>
      <c r="E83" s="14">
        <v>50</v>
      </c>
      <c r="F83" s="17"/>
      <c r="G83" s="7">
        <v>2022</v>
      </c>
      <c r="H83" s="14">
        <v>67</v>
      </c>
      <c r="I83" s="17"/>
      <c r="J83" s="7">
        <v>2022</v>
      </c>
      <c r="K83" s="31">
        <f t="shared" si="6"/>
        <v>0</v>
      </c>
      <c r="L83" s="14"/>
      <c r="M83" s="7">
        <v>2022</v>
      </c>
      <c r="N83" s="21">
        <v>0</v>
      </c>
      <c r="O83" s="17"/>
      <c r="P83" s="7">
        <v>2022</v>
      </c>
      <c r="Q83" s="21">
        <v>0</v>
      </c>
      <c r="R83" s="17"/>
      <c r="S83" s="7">
        <v>2022</v>
      </c>
      <c r="T83" s="21">
        <v>0</v>
      </c>
      <c r="U83" s="17"/>
      <c r="V83" s="7">
        <v>2022</v>
      </c>
      <c r="W83" s="21">
        <v>0</v>
      </c>
      <c r="X83" s="17"/>
      <c r="Y83" s="7">
        <v>2022</v>
      </c>
      <c r="Z83" s="14">
        <v>50</v>
      </c>
      <c r="AA83" s="23"/>
    </row>
    <row r="84" spans="1:33" ht="24.75" customHeight="1">
      <c r="A84" s="7">
        <v>2023</v>
      </c>
      <c r="B84" s="15">
        <f t="shared" si="5"/>
        <v>41.75</v>
      </c>
      <c r="C84" s="15"/>
      <c r="D84" s="7">
        <v>2023</v>
      </c>
      <c r="E84" s="14">
        <v>50</v>
      </c>
      <c r="F84" s="83" t="s">
        <v>862</v>
      </c>
      <c r="G84" s="7">
        <v>2023</v>
      </c>
      <c r="H84" s="14">
        <v>67</v>
      </c>
      <c r="I84" s="17"/>
      <c r="J84" s="7">
        <v>2023</v>
      </c>
      <c r="K84" s="31">
        <f t="shared" si="6"/>
        <v>0</v>
      </c>
      <c r="L84" s="14"/>
      <c r="M84" s="7">
        <v>2023</v>
      </c>
      <c r="N84" s="21">
        <v>0</v>
      </c>
      <c r="O84" s="83" t="s">
        <v>863</v>
      </c>
      <c r="P84" s="7">
        <v>2023</v>
      </c>
      <c r="Q84" s="21">
        <v>0</v>
      </c>
      <c r="R84" s="83" t="s">
        <v>864</v>
      </c>
      <c r="S84" s="7">
        <v>2023</v>
      </c>
      <c r="T84" s="21">
        <v>0</v>
      </c>
      <c r="U84" s="83" t="s">
        <v>865</v>
      </c>
      <c r="V84" s="7">
        <v>2023</v>
      </c>
      <c r="W84" s="21">
        <v>0</v>
      </c>
      <c r="X84" s="83" t="s">
        <v>866</v>
      </c>
      <c r="Y84" s="7">
        <v>2023</v>
      </c>
      <c r="Z84" s="14">
        <v>50</v>
      </c>
      <c r="AA84" s="86" t="s">
        <v>867</v>
      </c>
    </row>
    <row r="85" spans="1:33" ht="24.75" customHeight="1">
      <c r="A85" s="7">
        <v>2024</v>
      </c>
      <c r="B85" s="15">
        <f>AVERAGE(E85,H85,K85,Z85)</f>
        <v>66.75</v>
      </c>
      <c r="C85" s="104"/>
      <c r="D85" s="7">
        <v>2024</v>
      </c>
      <c r="E85" s="104">
        <v>100</v>
      </c>
      <c r="F85" s="104"/>
      <c r="G85" s="7">
        <v>2024</v>
      </c>
      <c r="H85" s="104">
        <v>67</v>
      </c>
      <c r="I85" s="104"/>
      <c r="J85" s="7">
        <v>2024</v>
      </c>
      <c r="K85" s="104">
        <f t="shared" si="6"/>
        <v>0</v>
      </c>
      <c r="L85" s="104"/>
      <c r="M85" s="7">
        <v>2024</v>
      </c>
      <c r="N85" s="104">
        <v>0</v>
      </c>
      <c r="O85" s="104"/>
      <c r="P85" s="7">
        <v>2024</v>
      </c>
      <c r="Q85" s="104">
        <v>0</v>
      </c>
      <c r="R85" s="104"/>
      <c r="S85" s="7">
        <v>2024</v>
      </c>
      <c r="T85" s="104">
        <v>0</v>
      </c>
      <c r="U85" s="104"/>
      <c r="V85" s="7">
        <v>2024</v>
      </c>
      <c r="W85" s="74">
        <v>0</v>
      </c>
      <c r="X85" s="104"/>
      <c r="Y85" s="7">
        <v>2024</v>
      </c>
      <c r="Z85" s="104">
        <v>100</v>
      </c>
      <c r="AA85" s="104"/>
    </row>
    <row r="86" spans="1:33" ht="24.75" customHeight="1">
      <c r="B86" s="255"/>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70.458333333333329</v>
      </c>
      <c r="C94" s="15"/>
      <c r="D94" s="7">
        <v>2020</v>
      </c>
      <c r="E94" s="21">
        <v>50</v>
      </c>
      <c r="F94" s="17"/>
      <c r="G94" s="7">
        <v>2020</v>
      </c>
      <c r="H94" s="31">
        <f t="shared" ref="H94:H98" si="7">AVERAGE(K94,N94,Q94,T94)</f>
        <v>87.5</v>
      </c>
      <c r="I94" s="14"/>
      <c r="J94" s="7">
        <v>2020</v>
      </c>
      <c r="K94" s="14">
        <v>100</v>
      </c>
      <c r="L94" s="17"/>
      <c r="M94" s="7">
        <v>2020</v>
      </c>
      <c r="N94" s="14">
        <v>100</v>
      </c>
      <c r="O94" s="17" t="s">
        <v>868</v>
      </c>
      <c r="P94" s="7">
        <v>2020</v>
      </c>
      <c r="Q94" s="21">
        <v>100</v>
      </c>
      <c r="R94" s="17"/>
      <c r="S94" s="7">
        <v>2020</v>
      </c>
      <c r="T94" s="14">
        <v>50</v>
      </c>
      <c r="U94" s="17"/>
      <c r="V94" s="7">
        <v>2020</v>
      </c>
      <c r="W94" s="14">
        <v>100</v>
      </c>
      <c r="X94" s="17"/>
      <c r="Y94" s="7">
        <v>2020</v>
      </c>
      <c r="Z94" s="14">
        <v>50</v>
      </c>
      <c r="AA94" s="17"/>
      <c r="AB94" s="7">
        <v>2020</v>
      </c>
      <c r="AC94" s="14">
        <v>33</v>
      </c>
      <c r="AD94" s="17"/>
      <c r="AE94" s="7">
        <v>2020</v>
      </c>
      <c r="AF94" s="14">
        <v>50</v>
      </c>
      <c r="AG94" s="23"/>
    </row>
    <row r="95" spans="1:33" ht="24.75" customHeight="1">
      <c r="A95" s="7">
        <v>2021</v>
      </c>
      <c r="B95" s="15">
        <f>AVERAGE(E95,H95, W95,((Z95+AC95+AF95)/3))</f>
        <v>70.458333333333329</v>
      </c>
      <c r="C95" s="15"/>
      <c r="D95" s="7">
        <v>2021</v>
      </c>
      <c r="E95" s="21">
        <v>50</v>
      </c>
      <c r="F95" s="17"/>
      <c r="G95" s="7">
        <v>2021</v>
      </c>
      <c r="H95" s="31">
        <f t="shared" si="7"/>
        <v>87.5</v>
      </c>
      <c r="I95" s="14"/>
      <c r="J95" s="7">
        <v>2021</v>
      </c>
      <c r="K95" s="14">
        <v>100</v>
      </c>
      <c r="L95" s="17"/>
      <c r="M95" s="7">
        <v>2021</v>
      </c>
      <c r="N95" s="14">
        <v>100</v>
      </c>
      <c r="O95" s="17"/>
      <c r="P95" s="7">
        <v>2021</v>
      </c>
      <c r="Q95" s="21">
        <v>100</v>
      </c>
      <c r="R95" s="17"/>
      <c r="S95" s="7">
        <v>2021</v>
      </c>
      <c r="T95" s="14">
        <v>50</v>
      </c>
      <c r="U95" s="17"/>
      <c r="V95" s="7">
        <v>2021</v>
      </c>
      <c r="W95" s="14">
        <v>100</v>
      </c>
      <c r="X95" s="17"/>
      <c r="Y95" s="7">
        <v>2021</v>
      </c>
      <c r="Z95" s="14">
        <v>50</v>
      </c>
      <c r="AA95" s="17"/>
      <c r="AB95" s="7">
        <v>2021</v>
      </c>
      <c r="AC95" s="14">
        <v>33</v>
      </c>
      <c r="AD95" s="17"/>
      <c r="AE95" s="7">
        <v>2021</v>
      </c>
      <c r="AF95" s="14">
        <v>50</v>
      </c>
      <c r="AG95" s="23"/>
    </row>
    <row r="96" spans="1:33" ht="24.75" customHeight="1">
      <c r="A96" s="7">
        <v>2022</v>
      </c>
      <c r="B96" s="15">
        <f>AVERAGE(E96,H96, W96,((Z96+AC96+AF96)/3))</f>
        <v>70.458333333333329</v>
      </c>
      <c r="C96" s="15"/>
      <c r="D96" s="7">
        <v>2022</v>
      </c>
      <c r="E96" s="21">
        <v>50</v>
      </c>
      <c r="F96" s="17"/>
      <c r="G96" s="7">
        <v>2022</v>
      </c>
      <c r="H96" s="31">
        <f t="shared" si="7"/>
        <v>87.5</v>
      </c>
      <c r="I96" s="14"/>
      <c r="J96" s="7">
        <v>2022</v>
      </c>
      <c r="K96" s="14">
        <v>100</v>
      </c>
      <c r="L96" s="17" t="s">
        <v>869</v>
      </c>
      <c r="M96" s="7">
        <v>2022</v>
      </c>
      <c r="N96" s="14">
        <v>100</v>
      </c>
      <c r="O96" s="17"/>
      <c r="P96" s="7">
        <v>2022</v>
      </c>
      <c r="Q96" s="21">
        <v>100</v>
      </c>
      <c r="R96" s="17"/>
      <c r="S96" s="7">
        <v>2022</v>
      </c>
      <c r="T96" s="14">
        <v>50</v>
      </c>
      <c r="U96" s="17"/>
      <c r="V96" s="7">
        <v>2022</v>
      </c>
      <c r="W96" s="14">
        <v>100</v>
      </c>
      <c r="X96" s="17"/>
      <c r="Y96" s="7">
        <v>2022</v>
      </c>
      <c r="Z96" s="14">
        <v>50</v>
      </c>
      <c r="AA96" s="17"/>
      <c r="AB96" s="7">
        <v>2022</v>
      </c>
      <c r="AC96" s="14">
        <v>33</v>
      </c>
      <c r="AD96" s="17" t="s">
        <v>870</v>
      </c>
      <c r="AE96" s="7">
        <v>2022</v>
      </c>
      <c r="AF96" s="14">
        <v>50</v>
      </c>
      <c r="AG96" s="23"/>
    </row>
    <row r="97" spans="1:51" ht="24.75" customHeight="1">
      <c r="A97" s="7">
        <v>2023</v>
      </c>
      <c r="B97" s="15">
        <f>AVERAGE(E97,H97, W97,((Z97+AC97+AF97)/3))</f>
        <v>70.458333333333329</v>
      </c>
      <c r="C97" s="15"/>
      <c r="D97" s="7">
        <v>2023</v>
      </c>
      <c r="E97" s="21">
        <v>50</v>
      </c>
      <c r="F97" s="17" t="s">
        <v>871</v>
      </c>
      <c r="G97" s="7">
        <v>2023</v>
      </c>
      <c r="H97" s="31">
        <f t="shared" si="7"/>
        <v>87.5</v>
      </c>
      <c r="I97" s="14"/>
      <c r="J97" s="7">
        <v>2023</v>
      </c>
      <c r="K97" s="14">
        <v>100</v>
      </c>
      <c r="L97" s="17" t="s">
        <v>872</v>
      </c>
      <c r="M97" s="7">
        <v>2023</v>
      </c>
      <c r="N97" s="14">
        <v>100</v>
      </c>
      <c r="O97" s="17"/>
      <c r="P97" s="7">
        <v>2023</v>
      </c>
      <c r="Q97" s="21">
        <v>100</v>
      </c>
      <c r="R97" s="17" t="s">
        <v>873</v>
      </c>
      <c r="S97" s="7">
        <v>2023</v>
      </c>
      <c r="T97" s="14">
        <v>50</v>
      </c>
      <c r="U97" s="17" t="s">
        <v>874</v>
      </c>
      <c r="V97" s="7">
        <v>2023</v>
      </c>
      <c r="W97" s="14">
        <v>100</v>
      </c>
      <c r="X97" s="17" t="s">
        <v>875</v>
      </c>
      <c r="Y97" s="7">
        <v>2023</v>
      </c>
      <c r="Z97" s="14">
        <v>50</v>
      </c>
      <c r="AA97" s="17" t="s">
        <v>876</v>
      </c>
      <c r="AB97" s="7">
        <v>2023</v>
      </c>
      <c r="AC97" s="14">
        <v>33</v>
      </c>
      <c r="AD97" s="17" t="s">
        <v>877</v>
      </c>
      <c r="AE97" s="7">
        <v>2023</v>
      </c>
      <c r="AF97" s="14">
        <v>50</v>
      </c>
      <c r="AG97" s="23"/>
    </row>
    <row r="98" spans="1:51" ht="24.75" customHeight="1">
      <c r="A98" s="7">
        <v>2024</v>
      </c>
      <c r="B98" s="15">
        <f>AVERAGE(E98,H98, W98,((Z98+AC98+AF98)/3))</f>
        <v>70.458333333333329</v>
      </c>
      <c r="C98" s="15"/>
      <c r="D98" s="7">
        <v>2024</v>
      </c>
      <c r="E98" s="21">
        <v>50</v>
      </c>
      <c r="F98" s="17"/>
      <c r="G98" s="7">
        <v>2024</v>
      </c>
      <c r="H98" s="31">
        <f t="shared" si="7"/>
        <v>87.5</v>
      </c>
      <c r="I98" s="14"/>
      <c r="J98" s="7">
        <v>2024</v>
      </c>
      <c r="K98" s="14">
        <v>100</v>
      </c>
      <c r="L98" s="17"/>
      <c r="M98" s="7">
        <v>2024</v>
      </c>
      <c r="N98" s="14">
        <v>100</v>
      </c>
      <c r="O98" s="17"/>
      <c r="P98" s="7">
        <v>2024</v>
      </c>
      <c r="Q98" s="21">
        <v>100</v>
      </c>
      <c r="R98" s="17"/>
      <c r="S98" s="7">
        <v>2024</v>
      </c>
      <c r="T98" s="14">
        <v>50</v>
      </c>
      <c r="U98" s="17"/>
      <c r="V98" s="7">
        <v>2024</v>
      </c>
      <c r="W98" s="14">
        <v>100</v>
      </c>
      <c r="X98" s="17"/>
      <c r="Y98" s="7">
        <v>2024</v>
      </c>
      <c r="Z98" s="14">
        <v>50</v>
      </c>
      <c r="AA98" s="17"/>
      <c r="AB98" s="7">
        <v>2024</v>
      </c>
      <c r="AC98" s="14">
        <v>33</v>
      </c>
      <c r="AD98" s="17"/>
      <c r="AE98" s="7">
        <v>2024</v>
      </c>
      <c r="AF98" s="14">
        <v>50</v>
      </c>
      <c r="AG98" s="23"/>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62.583333333333329</v>
      </c>
      <c r="C107" s="43"/>
      <c r="D107" s="27">
        <v>2020</v>
      </c>
      <c r="E107" s="14">
        <v>100</v>
      </c>
      <c r="F107" s="23"/>
      <c r="G107" s="7">
        <v>2020</v>
      </c>
      <c r="H107" s="44">
        <v>100</v>
      </c>
      <c r="I107" s="23"/>
      <c r="J107" s="27">
        <v>2020</v>
      </c>
      <c r="K107" s="85">
        <v>50</v>
      </c>
      <c r="L107" s="86" t="s">
        <v>878</v>
      </c>
      <c r="M107" s="7">
        <v>2020</v>
      </c>
      <c r="N107" s="21">
        <v>0</v>
      </c>
      <c r="O107" s="23"/>
      <c r="P107" s="27">
        <v>2020</v>
      </c>
      <c r="Q107" s="82">
        <v>100</v>
      </c>
      <c r="R107" s="86"/>
      <c r="S107" s="7">
        <v>2020</v>
      </c>
      <c r="T107" s="21">
        <v>0</v>
      </c>
      <c r="U107" s="23"/>
      <c r="V107" s="7">
        <v>2020</v>
      </c>
      <c r="W107" s="14">
        <v>67</v>
      </c>
      <c r="X107" s="23"/>
      <c r="Y107" s="7">
        <v>2020</v>
      </c>
      <c r="Z107" s="14">
        <v>67</v>
      </c>
      <c r="AA107" s="23"/>
      <c r="AB107" s="7">
        <v>2020</v>
      </c>
      <c r="AC107" s="21">
        <v>100</v>
      </c>
      <c r="AD107" s="23"/>
      <c r="AE107" s="7">
        <v>2020</v>
      </c>
      <c r="AF107" s="14">
        <v>50</v>
      </c>
      <c r="AG107" s="23"/>
      <c r="AH107" s="7">
        <v>2020</v>
      </c>
      <c r="AI107" s="21">
        <v>100</v>
      </c>
      <c r="AJ107" s="23"/>
      <c r="AK107" s="7">
        <v>2020</v>
      </c>
      <c r="AL107" s="21">
        <v>0</v>
      </c>
      <c r="AM107" s="23"/>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62.583333333333329</v>
      </c>
      <c r="C108" s="49"/>
      <c r="D108" s="27">
        <v>2021</v>
      </c>
      <c r="E108" s="14">
        <v>100</v>
      </c>
      <c r="F108" s="23"/>
      <c r="G108" s="7">
        <v>2021</v>
      </c>
      <c r="H108" s="44">
        <v>100</v>
      </c>
      <c r="I108" s="23"/>
      <c r="J108" s="27">
        <v>2021</v>
      </c>
      <c r="K108" s="85">
        <v>50</v>
      </c>
      <c r="L108" s="86"/>
      <c r="M108" s="7">
        <v>2021</v>
      </c>
      <c r="N108" s="21">
        <v>0</v>
      </c>
      <c r="O108" s="23"/>
      <c r="P108" s="27">
        <v>2021</v>
      </c>
      <c r="Q108" s="82">
        <v>100</v>
      </c>
      <c r="R108" s="86"/>
      <c r="S108" s="7">
        <v>2021</v>
      </c>
      <c r="T108" s="21">
        <v>0</v>
      </c>
      <c r="U108" s="23"/>
      <c r="V108" s="7">
        <v>2021</v>
      </c>
      <c r="W108" s="14">
        <v>67</v>
      </c>
      <c r="X108" s="23"/>
      <c r="Y108" s="7">
        <v>2021</v>
      </c>
      <c r="Z108" s="14">
        <v>67</v>
      </c>
      <c r="AA108" s="23"/>
      <c r="AB108" s="7">
        <v>2021</v>
      </c>
      <c r="AC108" s="21">
        <v>100</v>
      </c>
      <c r="AD108" s="23"/>
      <c r="AE108" s="7">
        <v>2021</v>
      </c>
      <c r="AF108" s="14">
        <v>50</v>
      </c>
      <c r="AG108" s="23"/>
      <c r="AH108" s="7">
        <v>2021</v>
      </c>
      <c r="AI108" s="21">
        <v>100</v>
      </c>
      <c r="AJ108" s="23"/>
      <c r="AK108" s="7">
        <v>2021</v>
      </c>
      <c r="AL108" s="21">
        <v>0</v>
      </c>
      <c r="AM108" s="23"/>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62.583333333333329</v>
      </c>
      <c r="C109" s="49"/>
      <c r="D109" s="27">
        <v>2022</v>
      </c>
      <c r="E109" s="14">
        <v>100</v>
      </c>
      <c r="F109" s="23"/>
      <c r="G109" s="27">
        <v>2022</v>
      </c>
      <c r="H109" s="44">
        <v>100</v>
      </c>
      <c r="I109" s="23"/>
      <c r="J109" s="27">
        <v>2022</v>
      </c>
      <c r="K109" s="85">
        <v>50</v>
      </c>
      <c r="L109" s="86"/>
      <c r="M109" s="27">
        <v>2022</v>
      </c>
      <c r="N109" s="21">
        <v>0</v>
      </c>
      <c r="O109" s="23"/>
      <c r="P109" s="27">
        <v>2022</v>
      </c>
      <c r="Q109" s="82">
        <v>100</v>
      </c>
      <c r="R109" s="86"/>
      <c r="S109" s="27">
        <v>2022</v>
      </c>
      <c r="T109" s="21">
        <v>0</v>
      </c>
      <c r="U109" s="23"/>
      <c r="V109" s="27">
        <v>2022</v>
      </c>
      <c r="W109" s="14">
        <v>67</v>
      </c>
      <c r="X109" s="23"/>
      <c r="Y109" s="27">
        <v>2022</v>
      </c>
      <c r="Z109" s="14">
        <v>67</v>
      </c>
      <c r="AA109" s="23"/>
      <c r="AB109" s="27">
        <v>2022</v>
      </c>
      <c r="AC109" s="21">
        <v>100</v>
      </c>
      <c r="AD109" s="23"/>
      <c r="AE109" s="27">
        <v>2022</v>
      </c>
      <c r="AF109" s="14">
        <v>50</v>
      </c>
      <c r="AG109" s="23"/>
      <c r="AH109" s="27">
        <v>2022</v>
      </c>
      <c r="AI109" s="21">
        <v>100</v>
      </c>
      <c r="AJ109" s="23"/>
      <c r="AK109" s="27">
        <v>2022</v>
      </c>
      <c r="AL109" s="21">
        <v>0</v>
      </c>
      <c r="AM109" s="23"/>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62.583333333333329</v>
      </c>
      <c r="C110" s="49"/>
      <c r="D110" s="27">
        <v>2023</v>
      </c>
      <c r="E110" s="14">
        <v>100</v>
      </c>
      <c r="F110" s="23"/>
      <c r="G110" s="27">
        <v>2023</v>
      </c>
      <c r="H110" s="44">
        <v>100</v>
      </c>
      <c r="I110" s="23"/>
      <c r="J110" s="27">
        <v>2023</v>
      </c>
      <c r="K110" s="85">
        <v>50</v>
      </c>
      <c r="L110" s="86"/>
      <c r="M110" s="27">
        <v>2023</v>
      </c>
      <c r="N110" s="21">
        <v>0</v>
      </c>
      <c r="O110" s="23"/>
      <c r="P110" s="27">
        <v>2023</v>
      </c>
      <c r="Q110" s="82">
        <v>100</v>
      </c>
      <c r="R110" s="86"/>
      <c r="S110" s="27">
        <v>2023</v>
      </c>
      <c r="T110" s="21">
        <v>0</v>
      </c>
      <c r="U110" s="23" t="s">
        <v>879</v>
      </c>
      <c r="V110" s="27">
        <v>2023</v>
      </c>
      <c r="W110" s="14">
        <v>67</v>
      </c>
      <c r="X110" s="23" t="s">
        <v>880</v>
      </c>
      <c r="Y110" s="27">
        <v>2023</v>
      </c>
      <c r="Z110" s="14">
        <v>67</v>
      </c>
      <c r="AA110" s="23" t="s">
        <v>880</v>
      </c>
      <c r="AB110" s="27">
        <v>2023</v>
      </c>
      <c r="AC110" s="21">
        <v>100</v>
      </c>
      <c r="AD110" s="23"/>
      <c r="AE110" s="27">
        <v>2023</v>
      </c>
      <c r="AF110" s="14">
        <v>50</v>
      </c>
      <c r="AG110" s="23" t="s">
        <v>881</v>
      </c>
      <c r="AH110" s="27">
        <v>2023</v>
      </c>
      <c r="AI110" s="21">
        <v>100</v>
      </c>
      <c r="AJ110" s="23" t="s">
        <v>882</v>
      </c>
      <c r="AK110" s="27">
        <v>2023</v>
      </c>
      <c r="AL110" s="21">
        <v>0</v>
      </c>
      <c r="AM110" s="23"/>
    </row>
    <row r="111" spans="1:51" ht="24" customHeight="1">
      <c r="A111" s="27">
        <v>2024</v>
      </c>
      <c r="B111" s="42">
        <f>AVERAGE((E111+K111+Q111)/3+(H111+N111+T111)/3+W111+Z111+AC111+AF111+AI111+AL111)/8</f>
        <v>62.583333333333329</v>
      </c>
      <c r="C111" s="49"/>
      <c r="D111" s="27">
        <v>2024</v>
      </c>
      <c r="E111" s="14">
        <v>100</v>
      </c>
      <c r="F111" s="23"/>
      <c r="G111" s="27">
        <v>2024</v>
      </c>
      <c r="H111" s="44">
        <v>100</v>
      </c>
      <c r="I111" s="23"/>
      <c r="J111" s="27">
        <v>2024</v>
      </c>
      <c r="K111" s="85">
        <v>50</v>
      </c>
      <c r="L111" s="86"/>
      <c r="M111" s="27">
        <v>2024</v>
      </c>
      <c r="N111" s="21">
        <v>0</v>
      </c>
      <c r="O111" s="23"/>
      <c r="P111" s="27">
        <v>2024</v>
      </c>
      <c r="Q111" s="82">
        <v>100</v>
      </c>
      <c r="R111" s="86"/>
      <c r="S111" s="27">
        <v>2024</v>
      </c>
      <c r="T111" s="21">
        <v>0</v>
      </c>
      <c r="U111" s="23"/>
      <c r="V111" s="27">
        <v>2024</v>
      </c>
      <c r="W111" s="14">
        <v>67</v>
      </c>
      <c r="X111" s="23"/>
      <c r="Y111" s="27">
        <v>2024</v>
      </c>
      <c r="Z111" s="14">
        <v>67</v>
      </c>
      <c r="AA111" s="23"/>
      <c r="AB111" s="27">
        <v>2024</v>
      </c>
      <c r="AC111" s="21">
        <v>100</v>
      </c>
      <c r="AD111" s="23"/>
      <c r="AE111" s="27">
        <v>2024</v>
      </c>
      <c r="AF111" s="14">
        <v>50</v>
      </c>
      <c r="AG111" s="23"/>
      <c r="AH111" s="27">
        <v>2024</v>
      </c>
      <c r="AI111" s="21">
        <v>100</v>
      </c>
      <c r="AJ111" s="23"/>
      <c r="AK111" s="27">
        <v>2024</v>
      </c>
      <c r="AL111" s="21">
        <v>0</v>
      </c>
      <c r="AM111" s="23"/>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B14:C14"/>
    <mergeCell ref="E14:F14"/>
    <mergeCell ref="H14:I14"/>
    <mergeCell ref="K14:L14"/>
    <mergeCell ref="N14:O14"/>
    <mergeCell ref="Q14:R14"/>
    <mergeCell ref="T14:U14"/>
    <mergeCell ref="W14:X14"/>
    <mergeCell ref="Z14:AA14"/>
    <mergeCell ref="AC14:AD14"/>
    <mergeCell ref="B22:AY22"/>
    <mergeCell ref="B23:C23"/>
    <mergeCell ref="E23:F23"/>
    <mergeCell ref="H23:I23"/>
    <mergeCell ref="K23:L23"/>
    <mergeCell ref="N23:O23"/>
    <mergeCell ref="AI23:AJ23"/>
    <mergeCell ref="AL23:AM23"/>
    <mergeCell ref="AO23:AP23"/>
    <mergeCell ref="AR23:AS23"/>
    <mergeCell ref="AU23:AV23"/>
    <mergeCell ref="AX23:AY23"/>
    <mergeCell ref="Q23:R23"/>
    <mergeCell ref="T23:U23"/>
    <mergeCell ref="W23:X23"/>
    <mergeCell ref="Z23:AA23"/>
    <mergeCell ref="AC23:AD23"/>
    <mergeCell ref="AF23:AG23"/>
    <mergeCell ref="Z24:AA24"/>
    <mergeCell ref="AC24:AD24"/>
    <mergeCell ref="AF24:AG24"/>
    <mergeCell ref="AI24:AJ24"/>
    <mergeCell ref="AL24:AM24"/>
    <mergeCell ref="AO24:AP24"/>
    <mergeCell ref="H24:I24"/>
    <mergeCell ref="K24:L24"/>
    <mergeCell ref="N24:O24"/>
    <mergeCell ref="Q24:R24"/>
    <mergeCell ref="T24:U24"/>
    <mergeCell ref="W24:X24"/>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H37:I37"/>
    <mergeCell ref="K37:L37"/>
    <mergeCell ref="N37:O37"/>
    <mergeCell ref="Q37:R37"/>
    <mergeCell ref="T37:U37"/>
    <mergeCell ref="W37:X37"/>
    <mergeCell ref="AC37:AD37"/>
    <mergeCell ref="AI37:AJ37"/>
    <mergeCell ref="AL37:AM37"/>
    <mergeCell ref="T36:U36"/>
    <mergeCell ref="W36:X36"/>
    <mergeCell ref="Z36:AA36"/>
    <mergeCell ref="AC36:AD36"/>
    <mergeCell ref="AF36:AG36"/>
    <mergeCell ref="AI36:AJ36"/>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B48:R48"/>
    <mergeCell ref="B49:C49"/>
    <mergeCell ref="E49:F49"/>
    <mergeCell ref="H49:I49"/>
    <mergeCell ref="K49:L49"/>
    <mergeCell ref="N49:O49"/>
    <mergeCell ref="Q49:R49"/>
    <mergeCell ref="T40:U40"/>
    <mergeCell ref="W40:X40"/>
    <mergeCell ref="Z40:AA40"/>
    <mergeCell ref="AC40:AD40"/>
    <mergeCell ref="AF40:AG40"/>
    <mergeCell ref="AI40:AJ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H76:I76"/>
    <mergeCell ref="K76:L76"/>
    <mergeCell ref="N76:O76"/>
    <mergeCell ref="Q76:R76"/>
    <mergeCell ref="T76:U76"/>
    <mergeCell ref="W76:X76"/>
    <mergeCell ref="Z76:AA76"/>
    <mergeCell ref="T77:U77"/>
    <mergeCell ref="W77:X77"/>
    <mergeCell ref="Z77:AA77"/>
    <mergeCell ref="B78:C78"/>
    <mergeCell ref="E78:F78"/>
    <mergeCell ref="H78:I78"/>
    <mergeCell ref="K78:L78"/>
    <mergeCell ref="N78:O78"/>
    <mergeCell ref="Q78:R78"/>
    <mergeCell ref="T78:U78"/>
    <mergeCell ref="B77:C77"/>
    <mergeCell ref="E77:F77"/>
    <mergeCell ref="H77:I77"/>
    <mergeCell ref="K77:L77"/>
    <mergeCell ref="N77:O77"/>
    <mergeCell ref="Q77:R77"/>
    <mergeCell ref="W78:X78"/>
    <mergeCell ref="Z78:AA78"/>
    <mergeCell ref="B79:C79"/>
    <mergeCell ref="E79:F79"/>
    <mergeCell ref="H79:I79"/>
    <mergeCell ref="K79:L79"/>
    <mergeCell ref="N79:O79"/>
    <mergeCell ref="Q79:R79"/>
    <mergeCell ref="T79:U79"/>
    <mergeCell ref="W79:X79"/>
    <mergeCell ref="Z79:AA79"/>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B90:C90"/>
    <mergeCell ref="E90:F90"/>
    <mergeCell ref="H90:I90"/>
    <mergeCell ref="K90:L90"/>
    <mergeCell ref="N90:O90"/>
    <mergeCell ref="Q90:R90"/>
    <mergeCell ref="T90:U90"/>
    <mergeCell ref="W90:X90"/>
    <mergeCell ref="Z90:AA90"/>
    <mergeCell ref="AC90:AD90"/>
    <mergeCell ref="AF90:AG90"/>
    <mergeCell ref="B91:C91"/>
    <mergeCell ref="E91:F91"/>
    <mergeCell ref="H91:I91"/>
    <mergeCell ref="K91:L91"/>
    <mergeCell ref="N91:O91"/>
    <mergeCell ref="Q91:R91"/>
    <mergeCell ref="T91:U91"/>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7F56-BBE0-41CC-8608-E3F725EC4607}">
  <dimension ref="A1:CC111"/>
  <sheetViews>
    <sheetView topLeftCell="A51" zoomScale="85" zoomScaleNormal="85" workbookViewId="0">
      <selection activeCell="F59" sqref="F59"/>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27" customHeight="1">
      <c r="A1" s="323" t="s">
        <v>0</v>
      </c>
      <c r="B1" s="323"/>
      <c r="C1" s="323"/>
      <c r="D1" s="323"/>
    </row>
    <row r="2" spans="1:81" ht="37.75" customHeight="1">
      <c r="A2" s="2" t="s">
        <v>1</v>
      </c>
      <c r="B2" s="2" t="s">
        <v>2</v>
      </c>
      <c r="C2" s="2" t="s">
        <v>3</v>
      </c>
      <c r="D2" s="2" t="s">
        <v>4</v>
      </c>
    </row>
    <row r="3" spans="1:81" ht="15" customHeight="1">
      <c r="A3" s="3">
        <v>2020</v>
      </c>
      <c r="B3" s="16">
        <f>AVERAGE(B16,B29,B42,B55,B68,B81,B94,B107)</f>
        <v>48.582589285714292</v>
      </c>
      <c r="C3" s="16">
        <f>AVERAGE(B16,B29,B42,B55,B68,B81,B94)</f>
        <v>46.892006802721092</v>
      </c>
      <c r="D3" s="16">
        <f>AVERAGE(B16,B29,B55,B68,B81,B94)</f>
        <v>47.159722222222229</v>
      </c>
    </row>
    <row r="4" spans="1:81" ht="15" customHeight="1">
      <c r="A4" s="3">
        <v>2021</v>
      </c>
      <c r="B4" s="16">
        <f t="shared" ref="B4:B7" si="0">AVERAGE(B17,B30,B43,B56,B69,B82,B95,B108)</f>
        <v>48.582589285714292</v>
      </c>
      <c r="C4" s="16">
        <f t="shared" ref="C4:C7" si="1">AVERAGE(B17,B30,B43,B56,B69,B82,B95)</f>
        <v>46.892006802721092</v>
      </c>
      <c r="D4" s="16">
        <f>AVERAGE(B17,B30,B56,B69,B82,B95)</f>
        <v>47.159722222222229</v>
      </c>
    </row>
    <row r="5" spans="1:81" ht="15" customHeight="1">
      <c r="A5" s="3">
        <v>2022</v>
      </c>
      <c r="B5" s="16">
        <f t="shared" si="0"/>
        <v>48.582589285714292</v>
      </c>
      <c r="C5" s="16">
        <f t="shared" si="1"/>
        <v>46.892006802721092</v>
      </c>
      <c r="D5" s="16">
        <f>AVERAGE(B18,B31,B57,B70,B83,B96)</f>
        <v>47.159722222222229</v>
      </c>
    </row>
    <row r="6" spans="1:81" ht="15" customHeight="1">
      <c r="A6" s="3">
        <v>2023</v>
      </c>
      <c r="B6" s="16">
        <f t="shared" si="0"/>
        <v>48.582589285714292</v>
      </c>
      <c r="C6" s="16">
        <f t="shared" si="1"/>
        <v>46.892006802721092</v>
      </c>
      <c r="D6" s="16">
        <f t="shared" ref="D6" si="2">AVERAGE(B19,B32,B58,B71,B84,B97)</f>
        <v>47.159722222222229</v>
      </c>
    </row>
    <row r="7" spans="1:81" ht="15" customHeight="1">
      <c r="A7" s="3">
        <v>2024</v>
      </c>
      <c r="B7" s="16">
        <f t="shared" si="0"/>
        <v>48.582589285714292</v>
      </c>
      <c r="C7" s="16">
        <f t="shared" si="1"/>
        <v>46.892006802721092</v>
      </c>
      <c r="D7" s="16">
        <f>AVERAGE(B20,B33,B59,B72,B85,B98)</f>
        <v>47.159722222222229</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64.777777777777771</v>
      </c>
      <c r="C16" s="16"/>
      <c r="D16" s="7">
        <v>2020</v>
      </c>
      <c r="E16" s="33">
        <v>50</v>
      </c>
      <c r="F16" s="17" t="s">
        <v>683</v>
      </c>
      <c r="G16" s="7">
        <v>2020</v>
      </c>
      <c r="H16" s="33">
        <v>100</v>
      </c>
      <c r="I16" s="20" t="s">
        <v>684</v>
      </c>
      <c r="J16" s="7">
        <v>2020</v>
      </c>
      <c r="K16" s="33">
        <v>100</v>
      </c>
      <c r="L16" s="20" t="s">
        <v>684</v>
      </c>
      <c r="M16" s="7">
        <v>2020</v>
      </c>
      <c r="N16" s="82">
        <v>50</v>
      </c>
      <c r="O16" s="83"/>
      <c r="P16" s="7">
        <v>2020</v>
      </c>
      <c r="Q16" s="33">
        <v>33</v>
      </c>
      <c r="R16" s="17" t="s">
        <v>685</v>
      </c>
      <c r="S16" s="7">
        <v>2020</v>
      </c>
      <c r="T16" s="92">
        <v>50</v>
      </c>
      <c r="U16" s="83"/>
      <c r="V16" s="7">
        <v>2020</v>
      </c>
      <c r="W16" s="82">
        <v>100</v>
      </c>
      <c r="X16" s="83" t="s">
        <v>686</v>
      </c>
      <c r="Y16" s="7">
        <v>2020</v>
      </c>
      <c r="Z16" s="82">
        <v>100</v>
      </c>
      <c r="AA16" s="83" t="s">
        <v>687</v>
      </c>
      <c r="AB16" s="7">
        <v>2020</v>
      </c>
      <c r="AC16" s="48">
        <v>0</v>
      </c>
      <c r="AD16" s="23"/>
    </row>
    <row r="17" spans="1:51" ht="24.75" customHeight="1">
      <c r="A17" s="7">
        <v>2021</v>
      </c>
      <c r="B17" s="15">
        <f t="shared" si="3"/>
        <v>64.777777777777771</v>
      </c>
      <c r="C17" s="16"/>
      <c r="D17" s="7">
        <v>2021</v>
      </c>
      <c r="E17" s="33">
        <v>50</v>
      </c>
      <c r="F17" s="17" t="s">
        <v>683</v>
      </c>
      <c r="G17" s="7">
        <v>2021</v>
      </c>
      <c r="H17" s="33">
        <v>100</v>
      </c>
      <c r="I17" s="20" t="s">
        <v>684</v>
      </c>
      <c r="J17" s="7">
        <v>2021</v>
      </c>
      <c r="K17" s="33">
        <v>100</v>
      </c>
      <c r="L17" s="20" t="s">
        <v>684</v>
      </c>
      <c r="M17" s="7">
        <v>2021</v>
      </c>
      <c r="N17" s="82">
        <v>50</v>
      </c>
      <c r="O17" s="83"/>
      <c r="P17" s="7">
        <v>2021</v>
      </c>
      <c r="Q17" s="33">
        <v>33</v>
      </c>
      <c r="R17" s="17" t="s">
        <v>685</v>
      </c>
      <c r="S17" s="7">
        <v>2021</v>
      </c>
      <c r="T17" s="92">
        <v>50</v>
      </c>
      <c r="U17" s="83"/>
      <c r="V17" s="7">
        <v>2021</v>
      </c>
      <c r="W17" s="82">
        <v>100</v>
      </c>
      <c r="X17" s="83"/>
      <c r="Y17" s="7">
        <v>2021</v>
      </c>
      <c r="Z17" s="82">
        <v>100</v>
      </c>
      <c r="AA17" s="83" t="s">
        <v>688</v>
      </c>
      <c r="AB17" s="7">
        <v>2021</v>
      </c>
      <c r="AC17" s="48">
        <v>0</v>
      </c>
      <c r="AD17" s="23"/>
    </row>
    <row r="18" spans="1:51" ht="24.75" customHeight="1">
      <c r="A18" s="7">
        <v>2022</v>
      </c>
      <c r="B18" s="15">
        <f t="shared" si="3"/>
        <v>64.777777777777771</v>
      </c>
      <c r="C18" s="16"/>
      <c r="D18" s="7">
        <v>2022</v>
      </c>
      <c r="E18" s="33">
        <v>50</v>
      </c>
      <c r="F18" s="17" t="s">
        <v>683</v>
      </c>
      <c r="G18" s="7">
        <v>2022</v>
      </c>
      <c r="H18" s="33">
        <v>100</v>
      </c>
      <c r="I18" s="20" t="s">
        <v>684</v>
      </c>
      <c r="J18" s="7">
        <v>2022</v>
      </c>
      <c r="K18" s="33">
        <v>100</v>
      </c>
      <c r="L18" s="20" t="s">
        <v>684</v>
      </c>
      <c r="M18" s="7">
        <v>2022</v>
      </c>
      <c r="N18" s="82">
        <v>50</v>
      </c>
      <c r="O18" s="83"/>
      <c r="P18" s="7">
        <v>2022</v>
      </c>
      <c r="Q18" s="33">
        <v>33</v>
      </c>
      <c r="R18" s="17" t="s">
        <v>685</v>
      </c>
      <c r="S18" s="7">
        <v>2022</v>
      </c>
      <c r="T18" s="92">
        <v>50</v>
      </c>
      <c r="U18" s="83"/>
      <c r="V18" s="7">
        <v>2022</v>
      </c>
      <c r="W18" s="82">
        <v>100</v>
      </c>
      <c r="X18" s="83"/>
      <c r="Y18" s="7">
        <v>2022</v>
      </c>
      <c r="Z18" s="82">
        <v>100</v>
      </c>
      <c r="AA18" s="83" t="s">
        <v>689</v>
      </c>
      <c r="AB18" s="7">
        <v>2022</v>
      </c>
      <c r="AC18" s="48">
        <v>0</v>
      </c>
      <c r="AD18" s="23"/>
    </row>
    <row r="19" spans="1:51" ht="24.75" customHeight="1">
      <c r="A19" s="7">
        <v>2023</v>
      </c>
      <c r="B19" s="15">
        <f t="shared" si="3"/>
        <v>64.777777777777771</v>
      </c>
      <c r="C19" s="16"/>
      <c r="D19" s="7">
        <v>2023</v>
      </c>
      <c r="E19" s="33">
        <v>50</v>
      </c>
      <c r="F19" s="17" t="s">
        <v>683</v>
      </c>
      <c r="G19" s="7">
        <v>2023</v>
      </c>
      <c r="H19" s="33">
        <v>100</v>
      </c>
      <c r="I19" s="20" t="s">
        <v>684</v>
      </c>
      <c r="J19" s="7">
        <v>2023</v>
      </c>
      <c r="K19" s="33">
        <v>100</v>
      </c>
      <c r="L19" s="20" t="s">
        <v>684</v>
      </c>
      <c r="M19" s="7">
        <v>2023</v>
      </c>
      <c r="N19" s="82">
        <v>50</v>
      </c>
      <c r="O19" s="83"/>
      <c r="P19" s="7">
        <v>2023</v>
      </c>
      <c r="Q19" s="33">
        <v>33</v>
      </c>
      <c r="R19" s="17" t="s">
        <v>685</v>
      </c>
      <c r="S19" s="7">
        <v>2023</v>
      </c>
      <c r="T19" s="92">
        <v>50</v>
      </c>
      <c r="U19" s="83"/>
      <c r="V19" s="7">
        <v>2023</v>
      </c>
      <c r="W19" s="82">
        <v>100</v>
      </c>
      <c r="X19" s="83" t="s">
        <v>690</v>
      </c>
      <c r="Y19" s="7">
        <v>2023</v>
      </c>
      <c r="Z19" s="82">
        <v>100</v>
      </c>
      <c r="AA19" s="86" t="s">
        <v>691</v>
      </c>
      <c r="AB19" s="7">
        <v>2023</v>
      </c>
      <c r="AC19" s="48">
        <v>0</v>
      </c>
      <c r="AD19" s="23"/>
    </row>
    <row r="20" spans="1:51" ht="24.75" customHeight="1">
      <c r="A20" s="7">
        <v>2024</v>
      </c>
      <c r="B20" s="15">
        <f t="shared" si="3"/>
        <v>64.777777777777771</v>
      </c>
      <c r="C20" s="16"/>
      <c r="D20" s="7">
        <v>2024</v>
      </c>
      <c r="E20" s="33">
        <v>50</v>
      </c>
      <c r="F20" s="17" t="s">
        <v>692</v>
      </c>
      <c r="G20" s="7">
        <v>2024</v>
      </c>
      <c r="H20" s="33">
        <v>100</v>
      </c>
      <c r="I20" s="20" t="s">
        <v>684</v>
      </c>
      <c r="J20" s="7">
        <v>2024</v>
      </c>
      <c r="K20" s="33">
        <v>100</v>
      </c>
      <c r="L20" s="20" t="s">
        <v>684</v>
      </c>
      <c r="M20" s="7">
        <v>2024</v>
      </c>
      <c r="N20" s="82">
        <v>50</v>
      </c>
      <c r="O20" s="83"/>
      <c r="P20" s="7">
        <v>2024</v>
      </c>
      <c r="Q20" s="33">
        <v>33</v>
      </c>
      <c r="R20" s="17" t="s">
        <v>693</v>
      </c>
      <c r="S20" s="7">
        <v>2024</v>
      </c>
      <c r="T20" s="92">
        <v>50</v>
      </c>
      <c r="U20" s="83"/>
      <c r="V20" s="7">
        <v>2024</v>
      </c>
      <c r="W20" s="82">
        <v>100</v>
      </c>
      <c r="X20" s="83" t="s">
        <v>694</v>
      </c>
      <c r="Y20" s="7">
        <v>2024</v>
      </c>
      <c r="Z20" s="82">
        <v>100</v>
      </c>
      <c r="AA20" s="147" t="s">
        <v>695</v>
      </c>
      <c r="AB20" s="7">
        <v>2024</v>
      </c>
      <c r="AC20" s="48">
        <v>0</v>
      </c>
      <c r="AD20" s="23" t="s">
        <v>696</v>
      </c>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c r="L26" s="325"/>
      <c r="M26" s="27" t="s">
        <v>30</v>
      </c>
      <c r="N26" s="325" t="s">
        <v>96</v>
      </c>
      <c r="O26" s="325"/>
      <c r="P26" s="27" t="s">
        <v>30</v>
      </c>
      <c r="Q26" s="325" t="s">
        <v>97</v>
      </c>
      <c r="R26" s="325"/>
      <c r="S26" s="27" t="s">
        <v>30</v>
      </c>
      <c r="T26" s="325"/>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697</v>
      </c>
      <c r="L27" s="325"/>
      <c r="M27" s="27" t="s">
        <v>41</v>
      </c>
      <c r="N27" s="325" t="s">
        <v>109</v>
      </c>
      <c r="O27" s="325"/>
      <c r="P27" s="27" t="s">
        <v>41</v>
      </c>
      <c r="Q27" s="325" t="s">
        <v>110</v>
      </c>
      <c r="R27" s="325"/>
      <c r="S27" s="27" t="s">
        <v>41</v>
      </c>
      <c r="T27" s="329" t="s">
        <v>698</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25.222222222222221</v>
      </c>
      <c r="C29" s="16"/>
      <c r="D29" s="7">
        <v>2020</v>
      </c>
      <c r="E29" s="48">
        <v>0</v>
      </c>
      <c r="F29" s="17"/>
      <c r="G29" s="7">
        <v>2020</v>
      </c>
      <c r="H29" s="33">
        <v>0</v>
      </c>
      <c r="I29" s="17"/>
      <c r="J29" s="7">
        <v>2020</v>
      </c>
      <c r="K29" s="14">
        <v>67</v>
      </c>
      <c r="L29" s="17"/>
      <c r="M29" s="7">
        <v>2020</v>
      </c>
      <c r="N29" s="33">
        <v>0</v>
      </c>
      <c r="O29" s="17"/>
      <c r="P29" s="7">
        <v>2020</v>
      </c>
      <c r="Q29" s="82">
        <v>100</v>
      </c>
      <c r="R29" s="83"/>
      <c r="S29" s="7">
        <v>2020</v>
      </c>
      <c r="T29" s="14">
        <v>10</v>
      </c>
      <c r="U29" s="17"/>
      <c r="V29" s="7">
        <v>2020</v>
      </c>
      <c r="W29" s="33">
        <v>0</v>
      </c>
      <c r="X29" s="17"/>
      <c r="Y29" s="7">
        <v>2020</v>
      </c>
      <c r="Z29" s="33">
        <v>50</v>
      </c>
      <c r="AA29" s="17"/>
      <c r="AB29" s="7">
        <v>2020</v>
      </c>
      <c r="AC29" s="82">
        <v>0</v>
      </c>
      <c r="AD29" s="83"/>
      <c r="AE29" s="7">
        <v>2020</v>
      </c>
      <c r="AF29" s="31">
        <f t="shared" ref="AF29:AF33" si="4">0.67*AI29+0.33*AL29</f>
        <v>0</v>
      </c>
      <c r="AG29" s="17"/>
      <c r="AH29" s="7">
        <v>2020</v>
      </c>
      <c r="AI29" s="33">
        <v>0</v>
      </c>
      <c r="AJ29" s="17"/>
      <c r="AK29" s="7">
        <v>2020</v>
      </c>
      <c r="AL29" s="33">
        <v>0</v>
      </c>
      <c r="AM29" s="17"/>
      <c r="AN29" s="7">
        <v>2020</v>
      </c>
      <c r="AO29" s="33">
        <v>50</v>
      </c>
      <c r="AP29" s="17"/>
      <c r="AQ29" s="7">
        <v>2020</v>
      </c>
      <c r="AR29" s="82">
        <v>0</v>
      </c>
      <c r="AS29" s="83"/>
      <c r="AT29" s="7">
        <v>2020</v>
      </c>
      <c r="AU29" s="82">
        <v>100</v>
      </c>
      <c r="AV29" s="83"/>
      <c r="AW29" s="7">
        <v>2020</v>
      </c>
      <c r="AX29" s="33">
        <v>0</v>
      </c>
      <c r="AY29" s="23"/>
    </row>
    <row r="30" spans="1:51" ht="24.75" customHeight="1">
      <c r="A30" s="7">
        <v>2021</v>
      </c>
      <c r="B30" s="15">
        <f>AVERAGE(E30,H30,K30,T30,AF30,AO30,AU30,AX30,AR30)</f>
        <v>25.222222222222221</v>
      </c>
      <c r="C30" s="15"/>
      <c r="D30" s="7">
        <v>2021</v>
      </c>
      <c r="E30" s="48">
        <v>0</v>
      </c>
      <c r="F30" s="17"/>
      <c r="G30" s="7">
        <v>2021</v>
      </c>
      <c r="H30" s="33">
        <v>0</v>
      </c>
      <c r="I30" s="17"/>
      <c r="J30" s="7">
        <v>2021</v>
      </c>
      <c r="K30" s="14">
        <v>67</v>
      </c>
      <c r="L30" s="17"/>
      <c r="M30" s="7">
        <v>2021</v>
      </c>
      <c r="N30" s="33">
        <v>0</v>
      </c>
      <c r="O30" s="17"/>
      <c r="P30" s="7">
        <v>2021</v>
      </c>
      <c r="Q30" s="82">
        <v>100</v>
      </c>
      <c r="R30" s="83"/>
      <c r="S30" s="7">
        <v>2021</v>
      </c>
      <c r="T30" s="14">
        <v>10</v>
      </c>
      <c r="U30" s="17"/>
      <c r="V30" s="7">
        <v>2021</v>
      </c>
      <c r="W30" s="33">
        <v>0</v>
      </c>
      <c r="X30" s="17"/>
      <c r="Y30" s="7">
        <v>2021</v>
      </c>
      <c r="Z30" s="33">
        <v>50</v>
      </c>
      <c r="AA30" s="17"/>
      <c r="AB30" s="7">
        <v>2021</v>
      </c>
      <c r="AC30" s="82">
        <v>0</v>
      </c>
      <c r="AD30" s="83"/>
      <c r="AE30" s="7">
        <v>2021</v>
      </c>
      <c r="AF30" s="31">
        <f t="shared" si="4"/>
        <v>0</v>
      </c>
      <c r="AG30" s="17"/>
      <c r="AH30" s="7">
        <v>2021</v>
      </c>
      <c r="AI30" s="33">
        <v>0</v>
      </c>
      <c r="AJ30" s="17"/>
      <c r="AK30" s="7">
        <v>2021</v>
      </c>
      <c r="AL30" s="33">
        <v>0</v>
      </c>
      <c r="AM30" s="17"/>
      <c r="AN30" s="7">
        <v>2021</v>
      </c>
      <c r="AO30" s="33">
        <v>50</v>
      </c>
      <c r="AP30" s="17"/>
      <c r="AQ30" s="7">
        <v>2021</v>
      </c>
      <c r="AR30" s="82">
        <v>0</v>
      </c>
      <c r="AS30" s="83"/>
      <c r="AT30" s="7">
        <v>2021</v>
      </c>
      <c r="AU30" s="82">
        <v>100</v>
      </c>
      <c r="AV30" s="83"/>
      <c r="AW30" s="7">
        <v>2021</v>
      </c>
      <c r="AX30" s="33">
        <v>0</v>
      </c>
      <c r="AY30" s="23"/>
    </row>
    <row r="31" spans="1:51" ht="24.75" customHeight="1">
      <c r="A31" s="7">
        <v>2022</v>
      </c>
      <c r="B31" s="15">
        <f>AVERAGE(E31,H31,K31,T31,AF31,AO31,AU31,AX31,AR31)</f>
        <v>25.222222222222221</v>
      </c>
      <c r="C31" s="15"/>
      <c r="D31" s="7">
        <v>2022</v>
      </c>
      <c r="E31" s="48">
        <v>0</v>
      </c>
      <c r="F31" s="17"/>
      <c r="G31" s="7">
        <v>2022</v>
      </c>
      <c r="H31" s="33">
        <v>0</v>
      </c>
      <c r="I31" s="17"/>
      <c r="J31" s="7">
        <v>2022</v>
      </c>
      <c r="K31" s="14">
        <v>67</v>
      </c>
      <c r="L31" s="17"/>
      <c r="M31" s="7">
        <v>2022</v>
      </c>
      <c r="N31" s="33">
        <v>0</v>
      </c>
      <c r="O31" s="17"/>
      <c r="P31" s="7">
        <v>2022</v>
      </c>
      <c r="Q31" s="82">
        <v>100</v>
      </c>
      <c r="R31" s="83"/>
      <c r="S31" s="7">
        <v>2022</v>
      </c>
      <c r="T31" s="14">
        <v>10</v>
      </c>
      <c r="U31" s="17"/>
      <c r="V31" s="7">
        <v>2022</v>
      </c>
      <c r="W31" s="33">
        <v>0</v>
      </c>
      <c r="X31" s="17"/>
      <c r="Y31" s="7">
        <v>2022</v>
      </c>
      <c r="Z31" s="33">
        <v>50</v>
      </c>
      <c r="AA31" s="17"/>
      <c r="AB31" s="7">
        <v>2022</v>
      </c>
      <c r="AC31" s="82">
        <v>0</v>
      </c>
      <c r="AD31" s="83"/>
      <c r="AE31" s="7">
        <v>2022</v>
      </c>
      <c r="AF31" s="31">
        <f t="shared" si="4"/>
        <v>0</v>
      </c>
      <c r="AG31" s="17"/>
      <c r="AH31" s="7">
        <v>2022</v>
      </c>
      <c r="AI31" s="33">
        <v>0</v>
      </c>
      <c r="AJ31" s="17"/>
      <c r="AK31" s="7">
        <v>2022</v>
      </c>
      <c r="AL31" s="33">
        <v>0</v>
      </c>
      <c r="AM31" s="17"/>
      <c r="AN31" s="7">
        <v>2022</v>
      </c>
      <c r="AO31" s="33">
        <v>50</v>
      </c>
      <c r="AP31" s="17"/>
      <c r="AQ31" s="7">
        <v>2022</v>
      </c>
      <c r="AR31" s="82">
        <v>0</v>
      </c>
      <c r="AS31" s="83"/>
      <c r="AT31" s="7">
        <v>2022</v>
      </c>
      <c r="AU31" s="82">
        <v>100</v>
      </c>
      <c r="AV31" s="83"/>
      <c r="AW31" s="7">
        <v>2022</v>
      </c>
      <c r="AX31" s="33">
        <v>0</v>
      </c>
      <c r="AY31" s="23"/>
    </row>
    <row r="32" spans="1:51" ht="24.75" customHeight="1">
      <c r="A32" s="7">
        <v>2023</v>
      </c>
      <c r="B32" s="15">
        <f>AVERAGE(E32,H32,K32,T32,AF32,AO32,AU32,AX32,AR32)</f>
        <v>25.222222222222221</v>
      </c>
      <c r="C32" s="15"/>
      <c r="D32" s="7">
        <v>2023</v>
      </c>
      <c r="E32" s="48">
        <v>0</v>
      </c>
      <c r="F32" s="17"/>
      <c r="G32" s="7">
        <v>2023</v>
      </c>
      <c r="H32" s="33">
        <v>0</v>
      </c>
      <c r="I32" s="17"/>
      <c r="J32" s="7">
        <v>2023</v>
      </c>
      <c r="K32" s="14">
        <v>67</v>
      </c>
      <c r="L32" s="17"/>
      <c r="M32" s="7">
        <v>2023</v>
      </c>
      <c r="N32" s="33">
        <v>0</v>
      </c>
      <c r="O32" s="17"/>
      <c r="P32" s="7">
        <v>2023</v>
      </c>
      <c r="Q32" s="82">
        <v>100</v>
      </c>
      <c r="R32" s="83"/>
      <c r="S32" s="7">
        <v>2023</v>
      </c>
      <c r="T32" s="14">
        <v>10</v>
      </c>
      <c r="U32" s="17"/>
      <c r="V32" s="7">
        <v>2023</v>
      </c>
      <c r="W32" s="33">
        <v>0</v>
      </c>
      <c r="X32" s="17"/>
      <c r="Y32" s="7">
        <v>2023</v>
      </c>
      <c r="Z32" s="33">
        <v>50</v>
      </c>
      <c r="AA32" s="17"/>
      <c r="AB32" s="7">
        <v>2023</v>
      </c>
      <c r="AC32" s="82">
        <v>0</v>
      </c>
      <c r="AD32" s="83"/>
      <c r="AE32" s="7">
        <v>2023</v>
      </c>
      <c r="AF32" s="31">
        <f t="shared" si="4"/>
        <v>0</v>
      </c>
      <c r="AG32" s="17"/>
      <c r="AH32" s="7">
        <v>2023</v>
      </c>
      <c r="AI32" s="33">
        <v>0</v>
      </c>
      <c r="AJ32" s="17"/>
      <c r="AK32" s="7">
        <v>2023</v>
      </c>
      <c r="AL32" s="33">
        <v>0</v>
      </c>
      <c r="AM32" s="17"/>
      <c r="AN32" s="7">
        <v>2023</v>
      </c>
      <c r="AO32" s="33">
        <v>50</v>
      </c>
      <c r="AP32" s="17"/>
      <c r="AQ32" s="7">
        <v>2023</v>
      </c>
      <c r="AR32" s="82">
        <v>0</v>
      </c>
      <c r="AS32" s="83"/>
      <c r="AT32" s="7">
        <v>2023</v>
      </c>
      <c r="AU32" s="82">
        <v>100</v>
      </c>
      <c r="AV32" s="83"/>
      <c r="AW32" s="7">
        <v>2023</v>
      </c>
      <c r="AX32" s="33">
        <v>0</v>
      </c>
      <c r="AY32" s="23"/>
    </row>
    <row r="33" spans="1:51" ht="24.75" customHeight="1">
      <c r="A33" s="7">
        <v>2024</v>
      </c>
      <c r="B33" s="15">
        <f>AVERAGE(E33,H33,K33,T33,AF33,AO33,AU33,AX33,AR33)</f>
        <v>25.222222222222221</v>
      </c>
      <c r="C33" s="15"/>
      <c r="D33" s="7">
        <v>2024</v>
      </c>
      <c r="E33" s="48">
        <v>0</v>
      </c>
      <c r="F33" s="17" t="s">
        <v>699</v>
      </c>
      <c r="G33" s="7">
        <v>2024</v>
      </c>
      <c r="H33" s="33">
        <v>0</v>
      </c>
      <c r="I33" s="17" t="s">
        <v>700</v>
      </c>
      <c r="J33" s="7">
        <v>2024</v>
      </c>
      <c r="K33" s="14">
        <v>67</v>
      </c>
      <c r="L33" s="17"/>
      <c r="M33" s="7">
        <v>2024</v>
      </c>
      <c r="N33" s="33">
        <v>0</v>
      </c>
      <c r="O33" s="17" t="s">
        <v>701</v>
      </c>
      <c r="P33" s="7">
        <v>2024</v>
      </c>
      <c r="Q33" s="82">
        <v>100</v>
      </c>
      <c r="R33" s="83" t="s">
        <v>702</v>
      </c>
      <c r="S33" s="7">
        <v>2024</v>
      </c>
      <c r="T33" s="14">
        <v>10</v>
      </c>
      <c r="U33" s="17"/>
      <c r="V33" s="7">
        <v>2024</v>
      </c>
      <c r="W33" s="33">
        <v>0</v>
      </c>
      <c r="X33" s="17" t="s">
        <v>703</v>
      </c>
      <c r="Y33" s="7">
        <v>2024</v>
      </c>
      <c r="Z33" s="33">
        <v>50</v>
      </c>
      <c r="AA33" s="17" t="s">
        <v>704</v>
      </c>
      <c r="AB33" s="7">
        <v>2024</v>
      </c>
      <c r="AC33" s="82">
        <v>0</v>
      </c>
      <c r="AD33" s="83" t="s">
        <v>705</v>
      </c>
      <c r="AE33" s="7">
        <v>2024</v>
      </c>
      <c r="AF33" s="31">
        <f t="shared" si="4"/>
        <v>0</v>
      </c>
      <c r="AG33" s="17"/>
      <c r="AH33" s="7">
        <v>2024</v>
      </c>
      <c r="AI33" s="33">
        <v>0</v>
      </c>
      <c r="AJ33" s="17" t="s">
        <v>706</v>
      </c>
      <c r="AK33" s="7">
        <v>2024</v>
      </c>
      <c r="AL33" s="33">
        <v>0</v>
      </c>
      <c r="AM33" s="17" t="s">
        <v>707</v>
      </c>
      <c r="AN33" s="7">
        <v>2024</v>
      </c>
      <c r="AO33" s="33">
        <v>50</v>
      </c>
      <c r="AP33" s="17" t="s">
        <v>708</v>
      </c>
      <c r="AQ33" s="7">
        <v>2024</v>
      </c>
      <c r="AR33" s="82">
        <v>0</v>
      </c>
      <c r="AS33" s="83"/>
      <c r="AT33" s="7">
        <v>2024</v>
      </c>
      <c r="AU33" s="82">
        <v>100</v>
      </c>
      <c r="AV33" s="83" t="s">
        <v>709</v>
      </c>
      <c r="AW33" s="7">
        <v>2024</v>
      </c>
      <c r="AX33" s="33">
        <v>0</v>
      </c>
      <c r="AY33" s="23" t="s">
        <v>710</v>
      </c>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t="s">
        <v>432</v>
      </c>
      <c r="AG39" s="310"/>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45.285714285714285</v>
      </c>
      <c r="C42" s="16"/>
      <c r="D42" s="7">
        <v>2020</v>
      </c>
      <c r="E42" s="82">
        <v>67</v>
      </c>
      <c r="F42" s="83"/>
      <c r="G42" s="7">
        <v>2020</v>
      </c>
      <c r="H42" s="82">
        <v>0</v>
      </c>
      <c r="I42" s="83"/>
      <c r="J42" s="7">
        <v>2020</v>
      </c>
      <c r="K42" s="82">
        <v>50</v>
      </c>
      <c r="L42" s="83"/>
      <c r="M42" s="7">
        <v>2020</v>
      </c>
      <c r="N42" s="31">
        <f t="shared" ref="N42:N46" si="5">AVERAGE(Q42,T42,W42)</f>
        <v>100</v>
      </c>
      <c r="O42" s="14"/>
      <c r="P42" s="7">
        <v>2020</v>
      </c>
      <c r="Q42" s="33">
        <v>100</v>
      </c>
      <c r="R42" s="17" t="s">
        <v>711</v>
      </c>
      <c r="S42" s="7">
        <v>2020</v>
      </c>
      <c r="T42" s="33">
        <v>100</v>
      </c>
      <c r="U42" s="20" t="s">
        <v>712</v>
      </c>
      <c r="V42" s="7">
        <v>2020</v>
      </c>
      <c r="W42" s="33">
        <v>100</v>
      </c>
      <c r="X42" s="17"/>
      <c r="Y42" s="7">
        <v>2020</v>
      </c>
      <c r="Z42" s="82">
        <v>100</v>
      </c>
      <c r="AA42" s="83"/>
      <c r="AB42" s="7">
        <v>2020</v>
      </c>
      <c r="AC42" s="33">
        <v>0</v>
      </c>
      <c r="AD42" s="17"/>
      <c r="AE42" s="7">
        <v>2020</v>
      </c>
      <c r="AF42" s="14">
        <v>0</v>
      </c>
      <c r="AG42" s="14"/>
      <c r="AH42" s="7">
        <v>2020</v>
      </c>
      <c r="AI42" s="48">
        <v>0</v>
      </c>
      <c r="AJ42" s="20"/>
      <c r="AK42" s="7">
        <v>2020</v>
      </c>
      <c r="AL42" s="33">
        <v>0</v>
      </c>
      <c r="AM42" s="23"/>
    </row>
    <row r="43" spans="1:51" ht="24.75" customHeight="1">
      <c r="A43" s="7">
        <v>2021</v>
      </c>
      <c r="B43" s="16">
        <f>AVERAGE(E43,H43,K43,N43,Z43,AC43,AF43)</f>
        <v>45.285714285714285</v>
      </c>
      <c r="C43" s="16"/>
      <c r="D43" s="7">
        <v>2021</v>
      </c>
      <c r="E43" s="82">
        <v>67</v>
      </c>
      <c r="F43" s="83"/>
      <c r="G43" s="7">
        <v>2021</v>
      </c>
      <c r="H43" s="82">
        <v>0</v>
      </c>
      <c r="I43" s="83"/>
      <c r="J43" s="7">
        <v>2021</v>
      </c>
      <c r="K43" s="82">
        <v>50</v>
      </c>
      <c r="L43" s="83"/>
      <c r="M43" s="7">
        <v>2021</v>
      </c>
      <c r="N43" s="31">
        <f t="shared" si="5"/>
        <v>100</v>
      </c>
      <c r="O43" s="14"/>
      <c r="P43" s="7">
        <v>2021</v>
      </c>
      <c r="Q43" s="33">
        <v>100</v>
      </c>
      <c r="R43" s="17"/>
      <c r="S43" s="7">
        <v>2021</v>
      </c>
      <c r="T43" s="33">
        <v>100</v>
      </c>
      <c r="U43" s="20"/>
      <c r="V43" s="7">
        <v>2021</v>
      </c>
      <c r="W43" s="33">
        <v>100</v>
      </c>
      <c r="X43" s="17"/>
      <c r="Y43" s="7">
        <v>2021</v>
      </c>
      <c r="Z43" s="82">
        <v>100</v>
      </c>
      <c r="AA43" s="83"/>
      <c r="AB43" s="7">
        <v>2021</v>
      </c>
      <c r="AC43" s="33">
        <v>0</v>
      </c>
      <c r="AD43" s="17"/>
      <c r="AE43" s="7">
        <v>2021</v>
      </c>
      <c r="AF43" s="14">
        <v>0</v>
      </c>
      <c r="AG43" s="14"/>
      <c r="AH43" s="7">
        <v>2021</v>
      </c>
      <c r="AI43" s="48">
        <v>0</v>
      </c>
      <c r="AJ43" s="20"/>
      <c r="AK43" s="7">
        <v>2021</v>
      </c>
      <c r="AL43" s="33">
        <v>0</v>
      </c>
      <c r="AM43" s="23"/>
    </row>
    <row r="44" spans="1:51" ht="24.75" customHeight="1">
      <c r="A44" s="7">
        <v>2022</v>
      </c>
      <c r="B44" s="16">
        <f>AVERAGE(E44,H44,K44,N44,Z44,AC44,AF44)</f>
        <v>45.285714285714285</v>
      </c>
      <c r="C44" s="16"/>
      <c r="D44" s="7">
        <v>2022</v>
      </c>
      <c r="E44" s="82">
        <v>67</v>
      </c>
      <c r="F44" s="83"/>
      <c r="G44" s="7">
        <v>2022</v>
      </c>
      <c r="H44" s="82">
        <v>0</v>
      </c>
      <c r="I44" s="83"/>
      <c r="J44" s="7">
        <v>2022</v>
      </c>
      <c r="K44" s="82">
        <v>50</v>
      </c>
      <c r="L44" s="83"/>
      <c r="M44" s="7">
        <v>2022</v>
      </c>
      <c r="N44" s="31">
        <f t="shared" si="5"/>
        <v>100</v>
      </c>
      <c r="O44" s="14"/>
      <c r="P44" s="7">
        <v>2022</v>
      </c>
      <c r="Q44" s="33">
        <v>100</v>
      </c>
      <c r="R44" s="17"/>
      <c r="S44" s="7">
        <v>2022</v>
      </c>
      <c r="T44" s="33">
        <v>100</v>
      </c>
      <c r="U44" s="20"/>
      <c r="V44" s="7">
        <v>2022</v>
      </c>
      <c r="W44" s="33">
        <v>100</v>
      </c>
      <c r="X44" s="17"/>
      <c r="Y44" s="7">
        <v>2022</v>
      </c>
      <c r="Z44" s="82">
        <v>100</v>
      </c>
      <c r="AA44" s="83"/>
      <c r="AB44" s="7">
        <v>2022</v>
      </c>
      <c r="AC44" s="33">
        <v>0</v>
      </c>
      <c r="AD44" s="17"/>
      <c r="AE44" s="7">
        <v>2022</v>
      </c>
      <c r="AF44" s="14">
        <v>0</v>
      </c>
      <c r="AG44" s="14"/>
      <c r="AH44" s="7">
        <v>2022</v>
      </c>
      <c r="AI44" s="48">
        <v>0</v>
      </c>
      <c r="AJ44" s="20"/>
      <c r="AK44" s="7">
        <v>2022</v>
      </c>
      <c r="AL44" s="33">
        <v>0</v>
      </c>
      <c r="AM44" s="23"/>
    </row>
    <row r="45" spans="1:51" ht="24.75" customHeight="1">
      <c r="A45" s="7">
        <v>2023</v>
      </c>
      <c r="B45" s="16">
        <f>AVERAGE(E45,H45,K45,N45,Z45,AC45,AF45)</f>
        <v>45.285714285714285</v>
      </c>
      <c r="C45" s="16"/>
      <c r="D45" s="7">
        <v>2023</v>
      </c>
      <c r="E45" s="82">
        <v>67</v>
      </c>
      <c r="F45" s="83"/>
      <c r="G45" s="7">
        <v>2023</v>
      </c>
      <c r="H45" s="82">
        <v>0</v>
      </c>
      <c r="I45" s="83"/>
      <c r="J45" s="7">
        <v>2023</v>
      </c>
      <c r="K45" s="82">
        <v>50</v>
      </c>
      <c r="L45" s="83"/>
      <c r="M45" s="7">
        <v>2023</v>
      </c>
      <c r="N45" s="31">
        <f t="shared" si="5"/>
        <v>100</v>
      </c>
      <c r="O45" s="14"/>
      <c r="P45" s="7">
        <v>2023</v>
      </c>
      <c r="Q45" s="33">
        <v>100</v>
      </c>
      <c r="R45" s="17"/>
      <c r="S45" s="7">
        <v>2023</v>
      </c>
      <c r="T45" s="33">
        <v>100</v>
      </c>
      <c r="U45" s="20"/>
      <c r="V45" s="7">
        <v>2023</v>
      </c>
      <c r="W45" s="33">
        <v>100</v>
      </c>
      <c r="X45" s="17"/>
      <c r="Y45" s="7">
        <v>2023</v>
      </c>
      <c r="Z45" s="82">
        <v>100</v>
      </c>
      <c r="AA45" s="83"/>
      <c r="AB45" s="7">
        <v>2023</v>
      </c>
      <c r="AC45" s="33">
        <v>0</v>
      </c>
      <c r="AD45" s="17"/>
      <c r="AE45" s="7">
        <v>2023</v>
      </c>
      <c r="AF45" s="14">
        <v>0</v>
      </c>
      <c r="AG45" s="14"/>
      <c r="AH45" s="7">
        <v>2023</v>
      </c>
      <c r="AI45" s="48">
        <v>0</v>
      </c>
      <c r="AJ45" s="20"/>
      <c r="AK45" s="7">
        <v>2023</v>
      </c>
      <c r="AL45" s="33">
        <v>0</v>
      </c>
      <c r="AM45" s="23"/>
    </row>
    <row r="46" spans="1:51" ht="24.75" customHeight="1">
      <c r="A46" s="7">
        <v>2024</v>
      </c>
      <c r="B46" s="16">
        <f>AVERAGE(E46,H46,K46,N46,Z46,AC46,AF46)</f>
        <v>45.285714285714285</v>
      </c>
      <c r="C46" s="16"/>
      <c r="D46" s="7">
        <v>2024</v>
      </c>
      <c r="E46" s="82">
        <v>67</v>
      </c>
      <c r="F46" s="86" t="s">
        <v>713</v>
      </c>
      <c r="G46" s="7">
        <v>2024</v>
      </c>
      <c r="H46" s="82">
        <v>0</v>
      </c>
      <c r="I46" s="83" t="s">
        <v>714</v>
      </c>
      <c r="J46" s="7">
        <v>2024</v>
      </c>
      <c r="K46" s="82">
        <v>50</v>
      </c>
      <c r="L46" s="83" t="s">
        <v>715</v>
      </c>
      <c r="M46" s="7">
        <v>2024</v>
      </c>
      <c r="N46" s="31">
        <f t="shared" si="5"/>
        <v>100</v>
      </c>
      <c r="O46" s="14"/>
      <c r="P46" s="7">
        <v>2024</v>
      </c>
      <c r="Q46" s="33">
        <v>100</v>
      </c>
      <c r="R46" s="17" t="s">
        <v>716</v>
      </c>
      <c r="S46" s="7">
        <v>2024</v>
      </c>
      <c r="T46" s="33">
        <v>100</v>
      </c>
      <c r="U46" s="20" t="s">
        <v>712</v>
      </c>
      <c r="V46" s="7">
        <v>2024</v>
      </c>
      <c r="W46" s="33">
        <v>100</v>
      </c>
      <c r="X46" s="17" t="s">
        <v>717</v>
      </c>
      <c r="Y46" s="7">
        <v>2024</v>
      </c>
      <c r="Z46" s="82">
        <v>100</v>
      </c>
      <c r="AA46" s="83" t="s">
        <v>718</v>
      </c>
      <c r="AB46" s="7">
        <v>2024</v>
      </c>
      <c r="AC46" s="33">
        <v>0</v>
      </c>
      <c r="AD46" s="17" t="s">
        <v>719</v>
      </c>
      <c r="AE46" s="7">
        <v>2024</v>
      </c>
      <c r="AF46" s="14">
        <v>0</v>
      </c>
      <c r="AG46" s="14"/>
      <c r="AH46" s="7">
        <v>2024</v>
      </c>
      <c r="AI46" s="48">
        <v>0</v>
      </c>
      <c r="AJ46" s="20" t="s">
        <v>583</v>
      </c>
      <c r="AK46" s="7">
        <v>2024</v>
      </c>
      <c r="AL46" s="33">
        <v>0</v>
      </c>
      <c r="AM46" s="23" t="s">
        <v>720</v>
      </c>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60</v>
      </c>
      <c r="C55" s="16"/>
      <c r="D55" s="7">
        <v>2020</v>
      </c>
      <c r="E55" s="82">
        <v>50</v>
      </c>
      <c r="F55" s="83" t="s">
        <v>721</v>
      </c>
      <c r="G55" s="7">
        <v>2020</v>
      </c>
      <c r="H55" s="33">
        <v>100</v>
      </c>
      <c r="I55" s="17"/>
      <c r="J55" s="7">
        <v>2020</v>
      </c>
      <c r="K55" s="82">
        <v>50</v>
      </c>
      <c r="L55" s="83" t="s">
        <v>722</v>
      </c>
      <c r="M55" s="7">
        <v>2020</v>
      </c>
      <c r="N55" s="82">
        <v>50</v>
      </c>
      <c r="O55" s="83"/>
      <c r="P55" s="7">
        <v>2020</v>
      </c>
      <c r="Q55" s="33">
        <v>50</v>
      </c>
      <c r="R55" s="22"/>
    </row>
    <row r="56" spans="1:24" ht="24.75" customHeight="1">
      <c r="A56" s="7">
        <v>2021</v>
      </c>
      <c r="B56" s="15">
        <f t="shared" si="6"/>
        <v>60</v>
      </c>
      <c r="C56" s="15"/>
      <c r="D56" s="7">
        <v>2021</v>
      </c>
      <c r="E56" s="82">
        <v>50</v>
      </c>
      <c r="F56" s="83"/>
      <c r="G56" s="7">
        <v>2021</v>
      </c>
      <c r="H56" s="33">
        <v>100</v>
      </c>
      <c r="I56" s="17"/>
      <c r="J56" s="7">
        <v>2021</v>
      </c>
      <c r="K56" s="82">
        <v>50</v>
      </c>
      <c r="L56" s="83" t="s">
        <v>723</v>
      </c>
      <c r="M56" s="7">
        <v>2021</v>
      </c>
      <c r="N56" s="82">
        <v>50</v>
      </c>
      <c r="O56" s="83" t="s">
        <v>724</v>
      </c>
      <c r="P56" s="7">
        <v>2021</v>
      </c>
      <c r="Q56" s="33">
        <v>50</v>
      </c>
      <c r="R56" s="22" t="s">
        <v>725</v>
      </c>
    </row>
    <row r="57" spans="1:24" ht="24.75" customHeight="1">
      <c r="A57" s="7">
        <v>2022</v>
      </c>
      <c r="B57" s="15">
        <f t="shared" si="6"/>
        <v>60</v>
      </c>
      <c r="C57" s="15"/>
      <c r="D57" s="7">
        <v>2022</v>
      </c>
      <c r="E57" s="82">
        <v>50</v>
      </c>
      <c r="F57" s="83"/>
      <c r="G57" s="7">
        <v>2022</v>
      </c>
      <c r="H57" s="33">
        <v>100</v>
      </c>
      <c r="I57" s="17"/>
      <c r="J57" s="7">
        <v>2022</v>
      </c>
      <c r="K57" s="84">
        <v>50</v>
      </c>
      <c r="L57" s="83"/>
      <c r="M57" s="7">
        <v>2022</v>
      </c>
      <c r="N57" s="82">
        <v>50</v>
      </c>
      <c r="O57" s="83"/>
      <c r="P57" s="7">
        <v>2022</v>
      </c>
      <c r="Q57" s="33">
        <v>50</v>
      </c>
      <c r="R57" s="22"/>
    </row>
    <row r="58" spans="1:24" ht="24.75" customHeight="1">
      <c r="A58" s="7">
        <v>2023</v>
      </c>
      <c r="B58" s="15">
        <f t="shared" si="6"/>
        <v>60</v>
      </c>
      <c r="C58" s="15"/>
      <c r="D58" s="7">
        <v>2023</v>
      </c>
      <c r="E58" s="82">
        <v>50</v>
      </c>
      <c r="F58" s="83"/>
      <c r="G58" s="7">
        <v>2023</v>
      </c>
      <c r="H58" s="33">
        <v>100</v>
      </c>
      <c r="I58" s="17"/>
      <c r="J58" s="7">
        <v>2023</v>
      </c>
      <c r="K58" s="82">
        <v>50</v>
      </c>
      <c r="L58" s="83"/>
      <c r="M58" s="7">
        <v>2023</v>
      </c>
      <c r="N58" s="82">
        <v>50</v>
      </c>
      <c r="O58" s="83"/>
      <c r="P58" s="7">
        <v>2023</v>
      </c>
      <c r="Q58" s="33">
        <v>50</v>
      </c>
      <c r="R58" s="22"/>
    </row>
    <row r="59" spans="1:24" ht="24.75" customHeight="1">
      <c r="A59" s="7">
        <v>2024</v>
      </c>
      <c r="B59" s="15">
        <f t="shared" si="6"/>
        <v>60</v>
      </c>
      <c r="C59" s="15"/>
      <c r="D59" s="7">
        <v>2024</v>
      </c>
      <c r="E59" s="82">
        <v>50</v>
      </c>
      <c r="F59" s="83" t="s">
        <v>726</v>
      </c>
      <c r="G59" s="7">
        <v>2024</v>
      </c>
      <c r="H59" s="33">
        <v>100</v>
      </c>
      <c r="I59" s="17" t="s">
        <v>727</v>
      </c>
      <c r="J59" s="7">
        <v>2024</v>
      </c>
      <c r="K59" s="82">
        <v>50</v>
      </c>
      <c r="L59" s="83"/>
      <c r="M59" s="7">
        <v>2024</v>
      </c>
      <c r="N59" s="82">
        <v>50</v>
      </c>
      <c r="O59" s="148"/>
      <c r="P59" s="7">
        <v>2024</v>
      </c>
      <c r="Q59" s="33">
        <v>50</v>
      </c>
      <c r="R59" s="22"/>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41.666666666666671</v>
      </c>
      <c r="C68" s="16"/>
      <c r="D68" s="7">
        <v>2020</v>
      </c>
      <c r="E68" s="48">
        <v>0</v>
      </c>
      <c r="F68" s="17"/>
      <c r="G68" s="7">
        <v>2020</v>
      </c>
      <c r="H68" s="33">
        <v>0</v>
      </c>
      <c r="I68" s="17"/>
      <c r="J68" s="7">
        <v>2020</v>
      </c>
      <c r="K68" s="33">
        <v>0</v>
      </c>
      <c r="L68" s="17"/>
      <c r="M68" s="7">
        <v>2020</v>
      </c>
      <c r="N68" s="33">
        <v>100</v>
      </c>
      <c r="O68" s="17"/>
      <c r="P68" s="7">
        <v>2020</v>
      </c>
      <c r="Q68" s="33">
        <v>100</v>
      </c>
      <c r="R68" s="17"/>
      <c r="S68" s="7">
        <v>2020</v>
      </c>
      <c r="T68" s="82">
        <v>0</v>
      </c>
      <c r="U68" s="83"/>
      <c r="V68" s="7">
        <v>2020</v>
      </c>
      <c r="W68" s="82">
        <v>100</v>
      </c>
      <c r="X68" s="86"/>
    </row>
    <row r="69" spans="1:27" ht="24.75" customHeight="1">
      <c r="A69" s="7">
        <v>2021</v>
      </c>
      <c r="B69" s="15">
        <f t="shared" si="7"/>
        <v>41.666666666666671</v>
      </c>
      <c r="C69" s="15"/>
      <c r="D69" s="7">
        <v>2021</v>
      </c>
      <c r="E69" s="48">
        <v>0</v>
      </c>
      <c r="F69" s="17"/>
      <c r="G69" s="7">
        <v>2021</v>
      </c>
      <c r="H69" s="33">
        <v>0</v>
      </c>
      <c r="I69" s="17"/>
      <c r="J69" s="7">
        <v>2021</v>
      </c>
      <c r="K69" s="33">
        <v>0</v>
      </c>
      <c r="L69" s="17"/>
      <c r="M69" s="7">
        <v>2021</v>
      </c>
      <c r="N69" s="33">
        <v>100</v>
      </c>
      <c r="O69" s="17"/>
      <c r="P69" s="7">
        <v>2021</v>
      </c>
      <c r="Q69" s="33">
        <v>100</v>
      </c>
      <c r="R69" s="17"/>
      <c r="S69" s="7">
        <v>2021</v>
      </c>
      <c r="T69" s="82">
        <v>0</v>
      </c>
      <c r="U69" s="83"/>
      <c r="V69" s="7">
        <v>2021</v>
      </c>
      <c r="W69" s="82">
        <v>100</v>
      </c>
      <c r="X69" s="86"/>
    </row>
    <row r="70" spans="1:27" ht="24.75" customHeight="1">
      <c r="A70" s="7">
        <v>2022</v>
      </c>
      <c r="B70" s="15">
        <f t="shared" si="7"/>
        <v>41.666666666666671</v>
      </c>
      <c r="C70" s="15"/>
      <c r="D70" s="7">
        <v>2022</v>
      </c>
      <c r="E70" s="48">
        <v>0</v>
      </c>
      <c r="F70" s="17"/>
      <c r="G70" s="7">
        <v>2022</v>
      </c>
      <c r="H70" s="33">
        <v>0</v>
      </c>
      <c r="I70" s="17"/>
      <c r="J70" s="7">
        <v>2022</v>
      </c>
      <c r="K70" s="33">
        <v>0</v>
      </c>
      <c r="L70" s="17"/>
      <c r="M70" s="7">
        <v>2022</v>
      </c>
      <c r="N70" s="33">
        <v>100</v>
      </c>
      <c r="O70" s="17"/>
      <c r="P70" s="7">
        <v>2022</v>
      </c>
      <c r="Q70" s="33">
        <v>100</v>
      </c>
      <c r="R70" s="17"/>
      <c r="S70" s="7">
        <v>2022</v>
      </c>
      <c r="T70" s="82">
        <v>0</v>
      </c>
      <c r="U70" s="83"/>
      <c r="V70" s="7">
        <v>2022</v>
      </c>
      <c r="W70" s="82">
        <v>100</v>
      </c>
      <c r="X70" s="86"/>
    </row>
    <row r="71" spans="1:27" ht="24.75" customHeight="1">
      <c r="A71" s="7">
        <v>2023</v>
      </c>
      <c r="B71" s="15">
        <f t="shared" si="7"/>
        <v>41.666666666666671</v>
      </c>
      <c r="C71" s="15"/>
      <c r="D71" s="7">
        <v>2023</v>
      </c>
      <c r="E71" s="48">
        <v>0</v>
      </c>
      <c r="F71" s="17"/>
      <c r="G71" s="7">
        <v>2023</v>
      </c>
      <c r="H71" s="33">
        <v>0</v>
      </c>
      <c r="I71" s="17"/>
      <c r="J71" s="7">
        <v>2023</v>
      </c>
      <c r="K71" s="33">
        <v>0</v>
      </c>
      <c r="L71" s="17"/>
      <c r="M71" s="7">
        <v>2023</v>
      </c>
      <c r="N71" s="33">
        <v>100</v>
      </c>
      <c r="O71" s="17"/>
      <c r="P71" s="7">
        <v>2023</v>
      </c>
      <c r="Q71" s="33">
        <v>100</v>
      </c>
      <c r="R71" s="17"/>
      <c r="S71" s="7">
        <v>2023</v>
      </c>
      <c r="T71" s="82">
        <v>0</v>
      </c>
      <c r="U71" s="147"/>
      <c r="V71" s="7">
        <v>2023</v>
      </c>
      <c r="W71" s="82">
        <v>100</v>
      </c>
      <c r="X71" s="86"/>
    </row>
    <row r="72" spans="1:27" ht="24.75" customHeight="1">
      <c r="A72" s="7">
        <v>2024</v>
      </c>
      <c r="B72" s="15">
        <f t="shared" si="7"/>
        <v>41.666666666666671</v>
      </c>
      <c r="C72" s="15"/>
      <c r="D72" s="7">
        <v>2024</v>
      </c>
      <c r="E72" s="48">
        <v>0</v>
      </c>
      <c r="F72" s="17" t="s">
        <v>728</v>
      </c>
      <c r="G72" s="7">
        <v>2024</v>
      </c>
      <c r="H72" s="33">
        <v>0</v>
      </c>
      <c r="I72" s="32" t="s">
        <v>729</v>
      </c>
      <c r="J72" s="7">
        <v>2024</v>
      </c>
      <c r="K72" s="33">
        <v>0</v>
      </c>
      <c r="L72" s="17" t="s">
        <v>730</v>
      </c>
      <c r="M72" s="7">
        <v>2024</v>
      </c>
      <c r="N72" s="33">
        <v>100</v>
      </c>
      <c r="O72" s="17" t="s">
        <v>731</v>
      </c>
      <c r="P72" s="7">
        <v>2024</v>
      </c>
      <c r="Q72" s="33">
        <v>100</v>
      </c>
      <c r="R72" s="17" t="s">
        <v>732</v>
      </c>
      <c r="S72" s="7">
        <v>2024</v>
      </c>
      <c r="T72" s="82">
        <v>0</v>
      </c>
      <c r="U72" s="83" t="s">
        <v>733</v>
      </c>
      <c r="V72" s="7">
        <v>2024</v>
      </c>
      <c r="W72" s="82">
        <v>100</v>
      </c>
      <c r="X72" s="86" t="s">
        <v>734</v>
      </c>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40.625</v>
      </c>
      <c r="C81" s="15"/>
      <c r="D81" s="7">
        <v>2020</v>
      </c>
      <c r="E81" s="33">
        <v>50</v>
      </c>
      <c r="F81" s="17"/>
      <c r="G81" s="7">
        <v>2020</v>
      </c>
      <c r="H81" s="33">
        <v>0</v>
      </c>
      <c r="I81" s="17"/>
      <c r="J81" s="7">
        <v>2020</v>
      </c>
      <c r="K81" s="149">
        <f t="shared" ref="K81:K85" si="9">AVERAGE(N81,Q81,T81,W81)</f>
        <v>12.5</v>
      </c>
      <c r="L81" s="14"/>
      <c r="M81" s="7">
        <v>2020</v>
      </c>
      <c r="N81" s="48">
        <v>0</v>
      </c>
      <c r="O81" s="17"/>
      <c r="P81" s="7">
        <v>2020</v>
      </c>
      <c r="Q81" s="48">
        <v>0</v>
      </c>
      <c r="R81" s="17"/>
      <c r="S81" s="7">
        <v>2020</v>
      </c>
      <c r="T81" s="48">
        <v>0</v>
      </c>
      <c r="U81" s="17"/>
      <c r="V81" s="7">
        <v>2020</v>
      </c>
      <c r="W81" s="48">
        <v>50</v>
      </c>
      <c r="X81" s="17"/>
      <c r="Y81" s="7">
        <v>2020</v>
      </c>
      <c r="Z81" s="33">
        <v>100</v>
      </c>
      <c r="AA81" s="23"/>
    </row>
    <row r="82" spans="1:33" ht="24.75" customHeight="1">
      <c r="A82" s="7">
        <v>2021</v>
      </c>
      <c r="B82" s="15">
        <f t="shared" si="8"/>
        <v>40.625</v>
      </c>
      <c r="C82" s="15"/>
      <c r="D82" s="7">
        <v>2021</v>
      </c>
      <c r="E82" s="33">
        <v>50</v>
      </c>
      <c r="F82" s="17" t="s">
        <v>735</v>
      </c>
      <c r="G82" s="7">
        <v>2021</v>
      </c>
      <c r="H82" s="33">
        <v>0</v>
      </c>
      <c r="I82" s="17"/>
      <c r="J82" s="7">
        <v>2021</v>
      </c>
      <c r="K82" s="149">
        <f t="shared" si="9"/>
        <v>12.5</v>
      </c>
      <c r="L82" s="14"/>
      <c r="M82" s="7">
        <v>2021</v>
      </c>
      <c r="N82" s="48">
        <v>0</v>
      </c>
      <c r="O82" s="17"/>
      <c r="P82" s="7">
        <v>2021</v>
      </c>
      <c r="Q82" s="48">
        <v>0</v>
      </c>
      <c r="R82" s="17"/>
      <c r="S82" s="7">
        <v>2021</v>
      </c>
      <c r="T82" s="48">
        <v>0</v>
      </c>
      <c r="U82" s="17" t="s">
        <v>736</v>
      </c>
      <c r="V82" s="7">
        <v>2021</v>
      </c>
      <c r="W82" s="48">
        <v>50</v>
      </c>
      <c r="X82" s="150" t="s">
        <v>737</v>
      </c>
      <c r="Y82" s="7">
        <v>2021</v>
      </c>
      <c r="Z82" s="33">
        <v>100</v>
      </c>
      <c r="AA82" s="23"/>
    </row>
    <row r="83" spans="1:33" ht="24.75" customHeight="1">
      <c r="A83" s="7">
        <v>2022</v>
      </c>
      <c r="B83" s="15">
        <f t="shared" si="8"/>
        <v>40.625</v>
      </c>
      <c r="C83" s="15"/>
      <c r="D83" s="7">
        <v>2022</v>
      </c>
      <c r="E83" s="33">
        <v>50</v>
      </c>
      <c r="F83" s="17"/>
      <c r="G83" s="7">
        <v>2022</v>
      </c>
      <c r="H83" s="33">
        <v>0</v>
      </c>
      <c r="I83" s="17"/>
      <c r="J83" s="7">
        <v>2022</v>
      </c>
      <c r="K83" s="149">
        <f t="shared" si="9"/>
        <v>12.5</v>
      </c>
      <c r="L83" s="14"/>
      <c r="M83" s="7">
        <v>2022</v>
      </c>
      <c r="N83" s="48">
        <v>0</v>
      </c>
      <c r="O83" s="17"/>
      <c r="P83" s="7">
        <v>2022</v>
      </c>
      <c r="Q83" s="48">
        <v>0</v>
      </c>
      <c r="R83" s="17"/>
      <c r="S83" s="7">
        <v>2022</v>
      </c>
      <c r="T83" s="48">
        <v>0</v>
      </c>
      <c r="U83" s="17"/>
      <c r="V83" s="7">
        <v>2022</v>
      </c>
      <c r="W83" s="48">
        <v>50</v>
      </c>
      <c r="X83" s="17"/>
      <c r="Y83" s="7">
        <v>2022</v>
      </c>
      <c r="Z83" s="33">
        <v>100</v>
      </c>
      <c r="AA83" s="23"/>
    </row>
    <row r="84" spans="1:33" ht="24.75" customHeight="1">
      <c r="A84" s="7">
        <v>2023</v>
      </c>
      <c r="B84" s="15">
        <f t="shared" si="8"/>
        <v>40.625</v>
      </c>
      <c r="C84" s="15"/>
      <c r="D84" s="7">
        <v>2023</v>
      </c>
      <c r="E84" s="33">
        <v>50</v>
      </c>
      <c r="F84" s="17"/>
      <c r="G84" s="7">
        <v>2023</v>
      </c>
      <c r="H84" s="33">
        <v>0</v>
      </c>
      <c r="I84" s="17"/>
      <c r="J84" s="7">
        <v>2023</v>
      </c>
      <c r="K84" s="149">
        <f t="shared" si="9"/>
        <v>12.5</v>
      </c>
      <c r="L84" s="14"/>
      <c r="M84" s="7">
        <v>2023</v>
      </c>
      <c r="N84" s="48">
        <v>0</v>
      </c>
      <c r="O84" s="17"/>
      <c r="P84" s="7">
        <v>2023</v>
      </c>
      <c r="Q84" s="48">
        <v>0</v>
      </c>
      <c r="R84" s="17"/>
      <c r="S84" s="7">
        <v>2023</v>
      </c>
      <c r="T84" s="48">
        <v>0</v>
      </c>
      <c r="U84" s="17"/>
      <c r="V84" s="7">
        <v>2023</v>
      </c>
      <c r="W84" s="48">
        <v>50</v>
      </c>
      <c r="X84" s="17"/>
      <c r="Y84" s="7">
        <v>2023</v>
      </c>
      <c r="Z84" s="33">
        <v>100</v>
      </c>
      <c r="AA84" s="23"/>
    </row>
    <row r="85" spans="1:33" ht="24.75" customHeight="1">
      <c r="A85" s="7">
        <v>2024</v>
      </c>
      <c r="B85" s="15">
        <f t="shared" si="8"/>
        <v>40.625</v>
      </c>
      <c r="C85" s="15"/>
      <c r="D85" s="7">
        <v>2024</v>
      </c>
      <c r="E85" s="33">
        <v>50</v>
      </c>
      <c r="F85" s="17" t="s">
        <v>738</v>
      </c>
      <c r="G85" s="7">
        <v>2024</v>
      </c>
      <c r="H85" s="33">
        <v>0</v>
      </c>
      <c r="I85" s="17" t="s">
        <v>739</v>
      </c>
      <c r="J85" s="7">
        <v>2024</v>
      </c>
      <c r="K85" s="149">
        <f t="shared" si="9"/>
        <v>12.5</v>
      </c>
      <c r="L85" s="14"/>
      <c r="M85" s="7">
        <v>2024</v>
      </c>
      <c r="N85" s="48">
        <v>0</v>
      </c>
      <c r="O85" s="17" t="s">
        <v>740</v>
      </c>
      <c r="P85" s="7">
        <v>2024</v>
      </c>
      <c r="Q85" s="48">
        <v>0</v>
      </c>
      <c r="R85" s="17" t="s">
        <v>741</v>
      </c>
      <c r="S85" s="7">
        <v>2024</v>
      </c>
      <c r="T85" s="48">
        <v>0</v>
      </c>
      <c r="U85" s="17" t="s">
        <v>742</v>
      </c>
      <c r="V85" s="7">
        <v>2024</v>
      </c>
      <c r="W85" s="48">
        <v>50</v>
      </c>
      <c r="X85" s="17" t="s">
        <v>743</v>
      </c>
      <c r="Y85" s="7">
        <v>2024</v>
      </c>
      <c r="Z85" s="33">
        <v>100</v>
      </c>
      <c r="AA85" s="23" t="s">
        <v>744</v>
      </c>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50.666666666666664</v>
      </c>
      <c r="C94" s="15"/>
      <c r="D94" s="7">
        <v>2020</v>
      </c>
      <c r="E94" s="48">
        <v>50</v>
      </c>
      <c r="F94" s="17"/>
      <c r="G94" s="7">
        <v>2020</v>
      </c>
      <c r="H94" s="31">
        <f t="shared" ref="H94:H98" si="10">AVERAGE(K94,N94,Q94,T94)</f>
        <v>50</v>
      </c>
      <c r="I94" s="14"/>
      <c r="J94" s="7">
        <v>2020</v>
      </c>
      <c r="K94" s="33">
        <v>50</v>
      </c>
      <c r="L94" s="17"/>
      <c r="M94" s="7">
        <v>2020</v>
      </c>
      <c r="N94" s="33">
        <v>50</v>
      </c>
      <c r="O94" s="17"/>
      <c r="P94" s="7">
        <v>2020</v>
      </c>
      <c r="Q94" s="48">
        <v>50</v>
      </c>
      <c r="R94" s="17"/>
      <c r="S94" s="7">
        <v>2020</v>
      </c>
      <c r="T94" s="33">
        <v>50</v>
      </c>
      <c r="U94" s="17"/>
      <c r="V94" s="7">
        <v>2020</v>
      </c>
      <c r="W94" s="82">
        <v>75</v>
      </c>
      <c r="X94" s="83"/>
      <c r="Y94" s="7">
        <v>2020</v>
      </c>
      <c r="Z94" s="33">
        <v>50</v>
      </c>
      <c r="AA94" s="17"/>
      <c r="AB94" s="7">
        <v>2020</v>
      </c>
      <c r="AC94" s="82">
        <v>33</v>
      </c>
      <c r="AD94" s="83"/>
      <c r="AE94" s="7">
        <v>2020</v>
      </c>
      <c r="AF94" s="33">
        <v>0</v>
      </c>
      <c r="AG94" s="22"/>
    </row>
    <row r="95" spans="1:33" ht="24.75" customHeight="1">
      <c r="A95" s="7">
        <v>2021</v>
      </c>
      <c r="B95" s="15">
        <f>AVERAGE(E95,H95, W95,((Z95+AC95+AF95)/3))</f>
        <v>50.666666666666664</v>
      </c>
      <c r="C95" s="15"/>
      <c r="D95" s="7">
        <v>2021</v>
      </c>
      <c r="E95" s="48">
        <v>50</v>
      </c>
      <c r="F95" s="17"/>
      <c r="G95" s="7">
        <v>2021</v>
      </c>
      <c r="H95" s="31">
        <f t="shared" si="10"/>
        <v>50</v>
      </c>
      <c r="I95" s="14"/>
      <c r="J95" s="7">
        <v>2021</v>
      </c>
      <c r="K95" s="33">
        <v>50</v>
      </c>
      <c r="L95" s="17"/>
      <c r="M95" s="7">
        <v>2021</v>
      </c>
      <c r="N95" s="33">
        <v>50</v>
      </c>
      <c r="O95" s="17"/>
      <c r="P95" s="7">
        <v>2021</v>
      </c>
      <c r="Q95" s="48">
        <v>50</v>
      </c>
      <c r="R95" s="17"/>
      <c r="S95" s="7">
        <v>2021</v>
      </c>
      <c r="T95" s="33">
        <v>50</v>
      </c>
      <c r="U95" s="17"/>
      <c r="V95" s="7">
        <v>2021</v>
      </c>
      <c r="W95" s="82">
        <v>75</v>
      </c>
      <c r="X95" s="83"/>
      <c r="Y95" s="7">
        <v>2021</v>
      </c>
      <c r="Z95" s="33">
        <v>50</v>
      </c>
      <c r="AA95" s="17"/>
      <c r="AB95" s="7">
        <v>2021</v>
      </c>
      <c r="AC95" s="82">
        <v>33</v>
      </c>
      <c r="AD95" s="83"/>
      <c r="AE95" s="7">
        <v>2021</v>
      </c>
      <c r="AF95" s="33">
        <v>0</v>
      </c>
      <c r="AG95" s="22"/>
    </row>
    <row r="96" spans="1:33" ht="24.75" customHeight="1">
      <c r="A96" s="7">
        <v>2022</v>
      </c>
      <c r="B96" s="15">
        <f>AVERAGE(E96,H96, W96,((Z96+AC96+AF96)/3))</f>
        <v>50.666666666666664</v>
      </c>
      <c r="C96" s="15"/>
      <c r="D96" s="7">
        <v>2022</v>
      </c>
      <c r="E96" s="48">
        <v>50</v>
      </c>
      <c r="F96" s="17"/>
      <c r="G96" s="7">
        <v>2022</v>
      </c>
      <c r="H96" s="31">
        <f t="shared" si="10"/>
        <v>50</v>
      </c>
      <c r="I96" s="14"/>
      <c r="J96" s="7">
        <v>2022</v>
      </c>
      <c r="K96" s="33">
        <v>50</v>
      </c>
      <c r="L96" s="17"/>
      <c r="M96" s="7">
        <v>2022</v>
      </c>
      <c r="N96" s="33">
        <v>50</v>
      </c>
      <c r="O96" s="17"/>
      <c r="P96" s="7">
        <v>2022</v>
      </c>
      <c r="Q96" s="48">
        <v>50</v>
      </c>
      <c r="R96" s="17"/>
      <c r="S96" s="7">
        <v>2022</v>
      </c>
      <c r="T96" s="33">
        <v>50</v>
      </c>
      <c r="U96" s="17"/>
      <c r="V96" s="7">
        <v>2022</v>
      </c>
      <c r="W96" s="82">
        <v>75</v>
      </c>
      <c r="X96" s="83"/>
      <c r="Y96" s="7">
        <v>2022</v>
      </c>
      <c r="Z96" s="33">
        <v>50</v>
      </c>
      <c r="AA96" s="17"/>
      <c r="AB96" s="7">
        <v>2022</v>
      </c>
      <c r="AC96" s="82">
        <v>33</v>
      </c>
      <c r="AD96" s="83"/>
      <c r="AE96" s="7">
        <v>2022</v>
      </c>
      <c r="AF96" s="33">
        <v>0</v>
      </c>
      <c r="AG96" s="22"/>
    </row>
    <row r="97" spans="1:51" ht="24.75" customHeight="1">
      <c r="A97" s="7">
        <v>2023</v>
      </c>
      <c r="B97" s="15">
        <f>AVERAGE(E97,H97, W97,((Z97+AC97+AF97)/3))</f>
        <v>50.666666666666664</v>
      </c>
      <c r="C97" s="15"/>
      <c r="D97" s="7">
        <v>2023</v>
      </c>
      <c r="E97" s="48">
        <v>50</v>
      </c>
      <c r="F97" s="17"/>
      <c r="G97" s="7">
        <v>2023</v>
      </c>
      <c r="H97" s="31">
        <f t="shared" si="10"/>
        <v>50</v>
      </c>
      <c r="I97" s="14"/>
      <c r="J97" s="7">
        <v>2023</v>
      </c>
      <c r="K97" s="33">
        <v>50</v>
      </c>
      <c r="L97" s="17"/>
      <c r="M97" s="7">
        <v>2023</v>
      </c>
      <c r="N97" s="33">
        <v>50</v>
      </c>
      <c r="O97" s="17"/>
      <c r="P97" s="7">
        <v>2023</v>
      </c>
      <c r="Q97" s="48">
        <v>50</v>
      </c>
      <c r="R97" s="17"/>
      <c r="S97" s="7">
        <v>2023</v>
      </c>
      <c r="T97" s="33">
        <v>50</v>
      </c>
      <c r="U97" s="17"/>
      <c r="V97" s="7">
        <v>2023</v>
      </c>
      <c r="W97" s="82">
        <v>75</v>
      </c>
      <c r="X97" s="83"/>
      <c r="Y97" s="7">
        <v>2023</v>
      </c>
      <c r="Z97" s="33">
        <v>50</v>
      </c>
      <c r="AA97" s="17"/>
      <c r="AB97" s="7">
        <v>2023</v>
      </c>
      <c r="AC97" s="82">
        <v>33</v>
      </c>
      <c r="AD97" s="83"/>
      <c r="AE97" s="7">
        <v>2023</v>
      </c>
      <c r="AF97" s="33">
        <v>0</v>
      </c>
      <c r="AG97" s="22"/>
    </row>
    <row r="98" spans="1:51" ht="24.75" customHeight="1">
      <c r="A98" s="7">
        <v>2024</v>
      </c>
      <c r="B98" s="15">
        <f>AVERAGE(E98,H98, W98,((Z98+AC98+AF98)/3))</f>
        <v>50.666666666666664</v>
      </c>
      <c r="C98" s="15"/>
      <c r="D98" s="7">
        <v>2024</v>
      </c>
      <c r="E98" s="48">
        <v>50</v>
      </c>
      <c r="F98" s="17" t="s">
        <v>745</v>
      </c>
      <c r="G98" s="7">
        <v>2024</v>
      </c>
      <c r="H98" s="31">
        <f t="shared" si="10"/>
        <v>50</v>
      </c>
      <c r="I98" s="14"/>
      <c r="J98" s="7">
        <v>2024</v>
      </c>
      <c r="K98" s="33">
        <v>50</v>
      </c>
      <c r="L98" s="17" t="s">
        <v>746</v>
      </c>
      <c r="M98" s="7">
        <v>2024</v>
      </c>
      <c r="N98" s="33">
        <v>50</v>
      </c>
      <c r="O98" s="23" t="s">
        <v>747</v>
      </c>
      <c r="P98" s="7">
        <v>2024</v>
      </c>
      <c r="Q98" s="48">
        <v>50</v>
      </c>
      <c r="R98" s="17" t="s">
        <v>748</v>
      </c>
      <c r="S98" s="7">
        <v>2024</v>
      </c>
      <c r="T98" s="33">
        <v>50</v>
      </c>
      <c r="U98" s="151" t="s">
        <v>749</v>
      </c>
      <c r="V98" s="7">
        <v>2024</v>
      </c>
      <c r="W98" s="82">
        <v>75</v>
      </c>
      <c r="X98" s="83" t="s">
        <v>750</v>
      </c>
      <c r="Y98" s="7">
        <v>2024</v>
      </c>
      <c r="Z98" s="33">
        <v>50</v>
      </c>
      <c r="AA98" s="17" t="s">
        <v>751</v>
      </c>
      <c r="AB98" s="7">
        <v>2024</v>
      </c>
      <c r="AC98" s="82">
        <v>33</v>
      </c>
      <c r="AD98" s="83" t="s">
        <v>752</v>
      </c>
      <c r="AE98" s="7">
        <v>2024</v>
      </c>
      <c r="AF98" s="33">
        <v>0</v>
      </c>
      <c r="AG98" s="22" t="s">
        <v>753</v>
      </c>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267"/>
      <c r="X102" s="268"/>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60.416666666666671</v>
      </c>
      <c r="C107" s="43"/>
      <c r="D107" s="27">
        <v>2020</v>
      </c>
      <c r="E107" s="33">
        <v>100</v>
      </c>
      <c r="F107" s="23"/>
      <c r="G107" s="7">
        <v>2020</v>
      </c>
      <c r="H107" s="129">
        <v>50</v>
      </c>
      <c r="I107" s="86"/>
      <c r="J107" s="27">
        <v>2020</v>
      </c>
      <c r="K107" s="85">
        <v>100</v>
      </c>
      <c r="L107" s="86"/>
      <c r="M107" s="7">
        <v>2020</v>
      </c>
      <c r="N107" s="84">
        <v>50</v>
      </c>
      <c r="O107" s="86"/>
      <c r="P107" s="27">
        <v>2020</v>
      </c>
      <c r="Q107" s="82">
        <v>100</v>
      </c>
      <c r="R107" s="86"/>
      <c r="S107" s="7">
        <v>2020</v>
      </c>
      <c r="T107" s="84">
        <v>0</v>
      </c>
      <c r="U107" s="86" t="s">
        <v>754</v>
      </c>
      <c r="V107" s="7">
        <v>2020</v>
      </c>
      <c r="W107" s="82">
        <v>67</v>
      </c>
      <c r="X107" s="152" t="s">
        <v>755</v>
      </c>
      <c r="Y107" s="7">
        <v>2020</v>
      </c>
      <c r="Z107" s="82">
        <v>33</v>
      </c>
      <c r="AA107" s="86"/>
      <c r="AB107" s="7">
        <v>2020</v>
      </c>
      <c r="AC107" s="48">
        <v>50</v>
      </c>
      <c r="AD107" s="23" t="s">
        <v>756</v>
      </c>
      <c r="AE107" s="7">
        <v>2020</v>
      </c>
      <c r="AF107" s="33">
        <v>50</v>
      </c>
      <c r="AG107" s="23"/>
      <c r="AH107" s="7">
        <v>2020</v>
      </c>
      <c r="AI107" s="48">
        <v>100</v>
      </c>
      <c r="AJ107" s="23"/>
      <c r="AK107" s="7">
        <v>2020</v>
      </c>
      <c r="AL107" s="48">
        <v>50</v>
      </c>
      <c r="AM107" s="23"/>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60.416666666666671</v>
      </c>
      <c r="C108" s="49"/>
      <c r="D108" s="27">
        <v>2021</v>
      </c>
      <c r="E108" s="33">
        <v>100</v>
      </c>
      <c r="F108" s="23"/>
      <c r="G108" s="7">
        <v>2021</v>
      </c>
      <c r="H108" s="129">
        <v>50</v>
      </c>
      <c r="I108" s="86"/>
      <c r="J108" s="27">
        <v>2021</v>
      </c>
      <c r="K108" s="85">
        <v>100</v>
      </c>
      <c r="L108" s="86"/>
      <c r="M108" s="7">
        <v>2021</v>
      </c>
      <c r="N108" s="84">
        <v>50</v>
      </c>
      <c r="O108" s="86"/>
      <c r="P108" s="27">
        <v>2021</v>
      </c>
      <c r="Q108" s="82">
        <v>100</v>
      </c>
      <c r="R108" s="86"/>
      <c r="S108" s="7">
        <v>2021</v>
      </c>
      <c r="T108" s="84">
        <v>0</v>
      </c>
      <c r="U108" s="86"/>
      <c r="V108" s="7">
        <v>2021</v>
      </c>
      <c r="W108" s="82">
        <v>67</v>
      </c>
      <c r="X108" s="86"/>
      <c r="Y108" s="7">
        <v>2021</v>
      </c>
      <c r="Z108" s="82">
        <v>33</v>
      </c>
      <c r="AA108" s="86"/>
      <c r="AB108" s="7">
        <v>2021</v>
      </c>
      <c r="AC108" s="48">
        <v>50</v>
      </c>
      <c r="AD108" s="23"/>
      <c r="AE108" s="7">
        <v>2021</v>
      </c>
      <c r="AF108" s="33">
        <v>50</v>
      </c>
      <c r="AG108" s="23"/>
      <c r="AH108" s="7">
        <v>2021</v>
      </c>
      <c r="AI108" s="48">
        <v>100</v>
      </c>
      <c r="AJ108" s="23"/>
      <c r="AK108" s="7">
        <v>2021</v>
      </c>
      <c r="AL108" s="48">
        <v>50</v>
      </c>
      <c r="AM108" s="23"/>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60.416666666666671</v>
      </c>
      <c r="C109" s="49"/>
      <c r="D109" s="27">
        <v>2022</v>
      </c>
      <c r="E109" s="33">
        <v>100</v>
      </c>
      <c r="F109" s="23"/>
      <c r="G109" s="27">
        <v>2022</v>
      </c>
      <c r="H109" s="129">
        <v>50</v>
      </c>
      <c r="I109" s="86"/>
      <c r="J109" s="27">
        <v>2022</v>
      </c>
      <c r="K109" s="85">
        <v>100</v>
      </c>
      <c r="L109" s="86"/>
      <c r="M109" s="27">
        <v>2022</v>
      </c>
      <c r="N109" s="84">
        <v>50</v>
      </c>
      <c r="O109" s="86"/>
      <c r="P109" s="27">
        <v>2022</v>
      </c>
      <c r="Q109" s="82">
        <v>100</v>
      </c>
      <c r="R109" s="86"/>
      <c r="S109" s="27">
        <v>2022</v>
      </c>
      <c r="T109" s="84">
        <v>0</v>
      </c>
      <c r="U109" s="86"/>
      <c r="V109" s="27">
        <v>2022</v>
      </c>
      <c r="W109" s="82">
        <v>67</v>
      </c>
      <c r="X109" s="86"/>
      <c r="Y109" s="27">
        <v>2022</v>
      </c>
      <c r="Z109" s="82">
        <v>33</v>
      </c>
      <c r="AA109" s="86"/>
      <c r="AB109" s="27">
        <v>2022</v>
      </c>
      <c r="AC109" s="48">
        <v>50</v>
      </c>
      <c r="AD109" s="23"/>
      <c r="AE109" s="27">
        <v>2022</v>
      </c>
      <c r="AF109" s="33">
        <v>50</v>
      </c>
      <c r="AG109" s="23"/>
      <c r="AH109" s="27">
        <v>2022</v>
      </c>
      <c r="AI109" s="48">
        <v>100</v>
      </c>
      <c r="AJ109" s="23"/>
      <c r="AK109" s="27">
        <v>2022</v>
      </c>
      <c r="AL109" s="48">
        <v>50</v>
      </c>
      <c r="AM109" s="23"/>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60.416666666666671</v>
      </c>
      <c r="C110" s="49"/>
      <c r="D110" s="27">
        <v>2023</v>
      </c>
      <c r="E110" s="33">
        <v>100</v>
      </c>
      <c r="F110" s="23"/>
      <c r="G110" s="27">
        <v>2023</v>
      </c>
      <c r="H110" s="129">
        <v>50</v>
      </c>
      <c r="I110" s="86"/>
      <c r="J110" s="27">
        <v>2023</v>
      </c>
      <c r="K110" s="85">
        <v>100</v>
      </c>
      <c r="L110" s="86"/>
      <c r="M110" s="27">
        <v>2023</v>
      </c>
      <c r="N110" s="84">
        <v>50</v>
      </c>
      <c r="O110" s="86"/>
      <c r="P110" s="27">
        <v>2023</v>
      </c>
      <c r="Q110" s="82">
        <v>100</v>
      </c>
      <c r="R110" s="86"/>
      <c r="S110" s="27">
        <v>2023</v>
      </c>
      <c r="T110" s="84">
        <v>0</v>
      </c>
      <c r="U110" s="86"/>
      <c r="V110" s="27">
        <v>2023</v>
      </c>
      <c r="W110" s="82">
        <v>67</v>
      </c>
      <c r="X110" s="86"/>
      <c r="Y110" s="27">
        <v>2023</v>
      </c>
      <c r="Z110" s="82">
        <v>33</v>
      </c>
      <c r="AA110" s="86"/>
      <c r="AB110" s="27">
        <v>2023</v>
      </c>
      <c r="AC110" s="48">
        <v>50</v>
      </c>
      <c r="AD110" s="23"/>
      <c r="AE110" s="27">
        <v>2023</v>
      </c>
      <c r="AF110" s="33">
        <v>50</v>
      </c>
      <c r="AG110" s="23"/>
      <c r="AH110" s="27">
        <v>2023</v>
      </c>
      <c r="AI110" s="48">
        <v>100</v>
      </c>
      <c r="AJ110" s="23"/>
      <c r="AK110" s="27">
        <v>2023</v>
      </c>
      <c r="AL110" s="48">
        <v>50</v>
      </c>
      <c r="AM110" s="23"/>
    </row>
    <row r="111" spans="1:51" ht="22.5" customHeight="1">
      <c r="A111" s="27">
        <v>2024</v>
      </c>
      <c r="B111" s="42">
        <f>AVERAGE((E111+K111+Q111)/3+(H111+N111+T111)/3+W111+Z111+AC111+AF111+AI111+AL111)/8</f>
        <v>60.416666666666671</v>
      </c>
      <c r="C111" s="49"/>
      <c r="D111" s="27">
        <v>2024</v>
      </c>
      <c r="E111" s="33">
        <v>100</v>
      </c>
      <c r="F111" s="23" t="s">
        <v>757</v>
      </c>
      <c r="G111" s="27">
        <v>2024</v>
      </c>
      <c r="H111" s="129">
        <v>50</v>
      </c>
      <c r="I111" s="86" t="s">
        <v>758</v>
      </c>
      <c r="J111" s="27">
        <v>2024</v>
      </c>
      <c r="K111" s="85">
        <v>100</v>
      </c>
      <c r="L111" s="86" t="s">
        <v>759</v>
      </c>
      <c r="M111" s="27">
        <v>2024</v>
      </c>
      <c r="N111" s="84">
        <v>50</v>
      </c>
      <c r="O111" s="86" t="s">
        <v>760</v>
      </c>
      <c r="P111" s="27">
        <v>2024</v>
      </c>
      <c r="Q111" s="82">
        <v>100</v>
      </c>
      <c r="R111" s="86" t="s">
        <v>761</v>
      </c>
      <c r="S111" s="27">
        <v>2024</v>
      </c>
      <c r="T111" s="84">
        <v>0</v>
      </c>
      <c r="U111" s="86"/>
      <c r="V111" s="27">
        <v>2024</v>
      </c>
      <c r="W111" s="82">
        <v>67</v>
      </c>
      <c r="X111" s="86"/>
      <c r="Y111" s="27">
        <v>2024</v>
      </c>
      <c r="Z111" s="82">
        <v>33</v>
      </c>
      <c r="AA111" s="86" t="s">
        <v>762</v>
      </c>
      <c r="AB111" s="27">
        <v>2024</v>
      </c>
      <c r="AC111" s="48">
        <v>50</v>
      </c>
      <c r="AD111" s="23"/>
      <c r="AE111" s="27">
        <v>2024</v>
      </c>
      <c r="AF111" s="33">
        <v>50</v>
      </c>
      <c r="AG111" s="23" t="s">
        <v>763</v>
      </c>
      <c r="AH111" s="27">
        <v>2024</v>
      </c>
      <c r="AI111" s="48">
        <v>100</v>
      </c>
      <c r="AJ111" s="23" t="s">
        <v>764</v>
      </c>
      <c r="AK111" s="27">
        <v>2024</v>
      </c>
      <c r="AL111" s="48">
        <v>50</v>
      </c>
      <c r="AM111" s="23" t="s">
        <v>765</v>
      </c>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CCB7-843F-4B89-AAC9-7C4CF388B060}">
  <dimension ref="A1:CC111"/>
  <sheetViews>
    <sheetView topLeftCell="A100" zoomScale="141" zoomScaleNormal="111" workbookViewId="0">
      <selection activeCell="AC109" sqref="AC109"/>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24.65" customHeight="1">
      <c r="A1" s="323" t="s">
        <v>0</v>
      </c>
      <c r="B1" s="323"/>
      <c r="C1" s="323"/>
      <c r="D1" s="323"/>
    </row>
    <row r="2" spans="1:81" ht="50.4" customHeight="1">
      <c r="A2" s="2" t="s">
        <v>1</v>
      </c>
      <c r="B2" s="2" t="s">
        <v>2</v>
      </c>
      <c r="C2" s="2" t="s">
        <v>3</v>
      </c>
      <c r="D2" s="2" t="s">
        <v>4</v>
      </c>
    </row>
    <row r="3" spans="1:81" ht="15" customHeight="1">
      <c r="A3" s="3">
        <v>2020</v>
      </c>
      <c r="B3" s="16">
        <f>AVERAGE(B16,B29,B42,B55,B68,B81,B94,B107)</f>
        <v>50.208333333333336</v>
      </c>
      <c r="C3" s="16">
        <f>AVERAGE(B16,B29,B42,B55,B68,B81,B94)</f>
        <v>52.607142857142854</v>
      </c>
      <c r="D3" s="16">
        <f>AVERAGE(B16,B29,B55,B68,B81,B94)</f>
        <v>49.875</v>
      </c>
    </row>
    <row r="4" spans="1:81" ht="15" customHeight="1">
      <c r="A4" s="3">
        <v>2021</v>
      </c>
      <c r="B4" s="16">
        <f t="shared" ref="B4:B7" si="0">AVERAGE(B17,B30,B43,B56,B69,B82,B95,B108)</f>
        <v>50.208333333333336</v>
      </c>
      <c r="C4" s="16">
        <f t="shared" ref="C4:C7" si="1">AVERAGE(B17,B30,B43,B56,B69,B82,B95)</f>
        <v>52.607142857142854</v>
      </c>
      <c r="D4" s="16">
        <f t="shared" ref="D4:D6" si="2">AVERAGE(B17,B30,B56,B69,B82,B95)</f>
        <v>49.875</v>
      </c>
    </row>
    <row r="5" spans="1:81" ht="15" customHeight="1">
      <c r="A5" s="3">
        <v>2022</v>
      </c>
      <c r="B5" s="16">
        <f t="shared" si="0"/>
        <v>50.989583333333336</v>
      </c>
      <c r="C5" s="16">
        <f t="shared" si="1"/>
        <v>52.607142857142854</v>
      </c>
      <c r="D5" s="16">
        <f t="shared" si="2"/>
        <v>49.875</v>
      </c>
    </row>
    <row r="6" spans="1:81" ht="15" customHeight="1">
      <c r="A6" s="3">
        <v>2023</v>
      </c>
      <c r="B6" s="16">
        <f t="shared" si="0"/>
        <v>50.989583333333336</v>
      </c>
      <c r="C6" s="16">
        <f t="shared" si="1"/>
        <v>52.607142857142854</v>
      </c>
      <c r="D6" s="16">
        <f t="shared" si="2"/>
        <v>49.875</v>
      </c>
    </row>
    <row r="7" spans="1:81" ht="15" customHeight="1">
      <c r="A7" s="3">
        <v>2024</v>
      </c>
      <c r="B7" s="16">
        <f t="shared" si="0"/>
        <v>50.989583333333336</v>
      </c>
      <c r="C7" s="16">
        <f t="shared" si="1"/>
        <v>52.607142857142854</v>
      </c>
      <c r="D7" s="16">
        <f>AVERAGE(B20,B33,B59,B72,B85,B98)</f>
        <v>49.875</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284" t="s">
        <v>766</v>
      </c>
      <c r="X13" s="285"/>
      <c r="Y13" s="11" t="s">
        <v>30</v>
      </c>
      <c r="Z13" s="309" t="s">
        <v>767</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768</v>
      </c>
      <c r="R14" s="310"/>
      <c r="S14" s="7" t="s">
        <v>41</v>
      </c>
      <c r="T14" s="280" t="s">
        <v>48</v>
      </c>
      <c r="U14" s="281"/>
      <c r="V14" s="11" t="s">
        <v>41</v>
      </c>
      <c r="W14" s="309" t="s">
        <v>49</v>
      </c>
      <c r="X14" s="309"/>
      <c r="Y14" s="11" t="s">
        <v>41</v>
      </c>
      <c r="Z14" s="309" t="s">
        <v>769</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68.555555555555557</v>
      </c>
      <c r="C16" s="16"/>
      <c r="D16" s="7">
        <v>2020</v>
      </c>
      <c r="E16" s="14">
        <v>50</v>
      </c>
      <c r="F16" s="17"/>
      <c r="G16" s="7">
        <v>2020</v>
      </c>
      <c r="H16" s="14">
        <v>0</v>
      </c>
      <c r="I16" s="17"/>
      <c r="J16" s="7">
        <v>2020</v>
      </c>
      <c r="K16" s="14">
        <v>50</v>
      </c>
      <c r="L16" s="17"/>
      <c r="M16" s="7">
        <v>2020</v>
      </c>
      <c r="N16" s="14">
        <v>100</v>
      </c>
      <c r="O16" s="17"/>
      <c r="P16" s="7">
        <v>2020</v>
      </c>
      <c r="Q16" s="14">
        <v>67</v>
      </c>
      <c r="R16" s="17"/>
      <c r="S16" s="7">
        <v>2020</v>
      </c>
      <c r="T16" s="80">
        <v>100</v>
      </c>
      <c r="U16" s="17"/>
      <c r="V16" s="7">
        <v>2020</v>
      </c>
      <c r="W16" s="82">
        <v>50</v>
      </c>
      <c r="X16" s="83"/>
      <c r="Y16" s="7">
        <v>2020</v>
      </c>
      <c r="Z16" s="82">
        <v>100</v>
      </c>
      <c r="AA16" s="83" t="s">
        <v>770</v>
      </c>
      <c r="AB16" s="7">
        <v>2020</v>
      </c>
      <c r="AC16" s="21">
        <v>100</v>
      </c>
      <c r="AD16" s="23"/>
    </row>
    <row r="17" spans="1:51" ht="24.75" customHeight="1">
      <c r="A17" s="7">
        <v>2021</v>
      </c>
      <c r="B17" s="15">
        <f t="shared" si="3"/>
        <v>68.555555555555557</v>
      </c>
      <c r="C17" s="16"/>
      <c r="D17" s="7">
        <v>2021</v>
      </c>
      <c r="E17" s="14">
        <v>50</v>
      </c>
      <c r="F17" s="17"/>
      <c r="G17" s="7">
        <v>2021</v>
      </c>
      <c r="H17" s="14">
        <v>0</v>
      </c>
      <c r="I17" s="17"/>
      <c r="J17" s="7">
        <v>2021</v>
      </c>
      <c r="K17" s="14">
        <v>50</v>
      </c>
      <c r="L17" s="17"/>
      <c r="M17" s="7">
        <v>2021</v>
      </c>
      <c r="N17" s="14">
        <v>100</v>
      </c>
      <c r="O17" s="17"/>
      <c r="P17" s="7">
        <v>2021</v>
      </c>
      <c r="Q17" s="14">
        <v>67</v>
      </c>
      <c r="R17" s="17"/>
      <c r="S17" s="7">
        <v>2021</v>
      </c>
      <c r="T17" s="80">
        <v>100</v>
      </c>
      <c r="U17" s="17"/>
      <c r="V17" s="7">
        <v>2021</v>
      </c>
      <c r="W17" s="82">
        <v>50</v>
      </c>
      <c r="X17" s="83"/>
      <c r="Y17" s="7">
        <v>2021</v>
      </c>
      <c r="Z17" s="82">
        <v>100</v>
      </c>
      <c r="AA17" s="83"/>
      <c r="AB17" s="7">
        <v>2021</v>
      </c>
      <c r="AC17" s="21">
        <v>100</v>
      </c>
      <c r="AD17" s="23"/>
    </row>
    <row r="18" spans="1:51" ht="24.75" customHeight="1">
      <c r="A18" s="7">
        <v>2022</v>
      </c>
      <c r="B18" s="15">
        <f t="shared" si="3"/>
        <v>68.555555555555557</v>
      </c>
      <c r="C18" s="16"/>
      <c r="D18" s="7">
        <v>2022</v>
      </c>
      <c r="E18" s="14">
        <v>50</v>
      </c>
      <c r="F18" s="17"/>
      <c r="G18" s="7">
        <v>2022</v>
      </c>
      <c r="H18" s="14">
        <v>0</v>
      </c>
      <c r="I18" s="17"/>
      <c r="J18" s="7">
        <v>2022</v>
      </c>
      <c r="K18" s="14">
        <v>50</v>
      </c>
      <c r="L18" s="17"/>
      <c r="M18" s="7">
        <v>2022</v>
      </c>
      <c r="N18" s="14">
        <v>100</v>
      </c>
      <c r="O18" s="17"/>
      <c r="P18" s="7">
        <v>2022</v>
      </c>
      <c r="Q18" s="14">
        <v>67</v>
      </c>
      <c r="R18" s="17"/>
      <c r="S18" s="7">
        <v>2022</v>
      </c>
      <c r="T18" s="80">
        <v>100</v>
      </c>
      <c r="U18" s="17"/>
      <c r="V18" s="7">
        <v>2022</v>
      </c>
      <c r="W18" s="82">
        <v>50</v>
      </c>
      <c r="X18" s="83"/>
      <c r="Y18" s="7">
        <v>2022</v>
      </c>
      <c r="Z18" s="82">
        <v>100</v>
      </c>
      <c r="AA18" s="83"/>
      <c r="AB18" s="7">
        <v>2022</v>
      </c>
      <c r="AC18" s="21">
        <v>100</v>
      </c>
      <c r="AD18" s="23"/>
    </row>
    <row r="19" spans="1:51" ht="24.75" customHeight="1">
      <c r="A19" s="7">
        <v>2023</v>
      </c>
      <c r="B19" s="15">
        <f t="shared" si="3"/>
        <v>68.555555555555557</v>
      </c>
      <c r="C19" s="16"/>
      <c r="D19" s="7">
        <v>2023</v>
      </c>
      <c r="E19" s="14">
        <v>50</v>
      </c>
      <c r="F19" s="17"/>
      <c r="G19" s="7">
        <v>2023</v>
      </c>
      <c r="H19" s="14">
        <v>0</v>
      </c>
      <c r="I19" s="17"/>
      <c r="J19" s="7">
        <v>2023</v>
      </c>
      <c r="K19" s="14">
        <v>50</v>
      </c>
      <c r="L19" s="17"/>
      <c r="M19" s="7">
        <v>2023</v>
      </c>
      <c r="N19" s="14">
        <v>100</v>
      </c>
      <c r="O19" s="17"/>
      <c r="P19" s="7">
        <v>2023</v>
      </c>
      <c r="Q19" s="14">
        <v>67</v>
      </c>
      <c r="R19" s="17"/>
      <c r="S19" s="7">
        <v>2023</v>
      </c>
      <c r="T19" s="80">
        <v>100</v>
      </c>
      <c r="U19" s="17"/>
      <c r="V19" s="7">
        <v>2023</v>
      </c>
      <c r="W19" s="82">
        <v>50</v>
      </c>
      <c r="X19" s="83"/>
      <c r="Y19" s="7">
        <v>2023</v>
      </c>
      <c r="Z19" s="82">
        <v>100</v>
      </c>
      <c r="AA19" s="83"/>
      <c r="AB19" s="7">
        <v>2023</v>
      </c>
      <c r="AC19" s="21">
        <v>100</v>
      </c>
      <c r="AD19" s="23"/>
    </row>
    <row r="20" spans="1:51" ht="24.75" customHeight="1">
      <c r="A20" s="7">
        <v>2024</v>
      </c>
      <c r="B20" s="15">
        <f t="shared" si="3"/>
        <v>68.555555555555557</v>
      </c>
      <c r="C20" s="16"/>
      <c r="D20" s="7">
        <v>2024</v>
      </c>
      <c r="E20" s="14">
        <v>50</v>
      </c>
      <c r="F20" s="17" t="s">
        <v>771</v>
      </c>
      <c r="G20" s="7">
        <v>2024</v>
      </c>
      <c r="H20" s="14">
        <v>0</v>
      </c>
      <c r="I20" s="17" t="s">
        <v>772</v>
      </c>
      <c r="J20" s="7">
        <v>2024</v>
      </c>
      <c r="K20" s="14">
        <v>50</v>
      </c>
      <c r="L20" s="17" t="s">
        <v>773</v>
      </c>
      <c r="M20" s="7">
        <v>2024</v>
      </c>
      <c r="N20" s="14">
        <v>100</v>
      </c>
      <c r="O20" s="17" t="s">
        <v>774</v>
      </c>
      <c r="P20" s="7">
        <v>2024</v>
      </c>
      <c r="Q20" s="14">
        <v>67</v>
      </c>
      <c r="R20" s="17" t="s">
        <v>775</v>
      </c>
      <c r="S20" s="7">
        <v>2024</v>
      </c>
      <c r="T20" s="80">
        <v>100</v>
      </c>
      <c r="U20" s="17" t="s">
        <v>776</v>
      </c>
      <c r="V20" s="7">
        <v>2024</v>
      </c>
      <c r="W20" s="82">
        <v>50</v>
      </c>
      <c r="X20" s="86" t="s">
        <v>777</v>
      </c>
      <c r="Y20" s="7">
        <v>2024</v>
      </c>
      <c r="Z20" s="82">
        <v>100</v>
      </c>
      <c r="AA20" s="83" t="s">
        <v>778</v>
      </c>
      <c r="AB20" s="7">
        <v>2024</v>
      </c>
      <c r="AC20" s="21">
        <v>100</v>
      </c>
      <c r="AD20" s="23" t="s">
        <v>779</v>
      </c>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t="s">
        <v>427</v>
      </c>
      <c r="L26" s="325"/>
      <c r="M26" s="27" t="s">
        <v>30</v>
      </c>
      <c r="N26" s="325" t="s">
        <v>96</v>
      </c>
      <c r="O26" s="325"/>
      <c r="P26" s="27" t="s">
        <v>30</v>
      </c>
      <c r="Q26" s="325" t="s">
        <v>97</v>
      </c>
      <c r="R26" s="325"/>
      <c r="S26" s="27" t="s">
        <v>30</v>
      </c>
      <c r="T26" s="325" t="s">
        <v>780</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429</v>
      </c>
      <c r="L27" s="325"/>
      <c r="M27" s="27" t="s">
        <v>41</v>
      </c>
      <c r="N27" s="325" t="s">
        <v>109</v>
      </c>
      <c r="O27" s="325"/>
      <c r="P27" s="27" t="s">
        <v>41</v>
      </c>
      <c r="Q27" s="325" t="s">
        <v>781</v>
      </c>
      <c r="R27" s="325"/>
      <c r="S27" s="27" t="s">
        <v>41</v>
      </c>
      <c r="T27" s="329" t="s">
        <v>429</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75.944444444444443</v>
      </c>
      <c r="C29" s="16"/>
      <c r="D29" s="7">
        <v>2020</v>
      </c>
      <c r="E29" s="21">
        <v>100</v>
      </c>
      <c r="F29" s="17"/>
      <c r="G29" s="7">
        <v>2020</v>
      </c>
      <c r="H29" s="14">
        <v>50</v>
      </c>
      <c r="I29" s="17" t="s">
        <v>782</v>
      </c>
      <c r="J29" s="7">
        <v>2020</v>
      </c>
      <c r="K29" s="14">
        <v>100</v>
      </c>
      <c r="L29" s="17"/>
      <c r="M29" s="7">
        <v>2020</v>
      </c>
      <c r="N29" s="14">
        <v>100</v>
      </c>
      <c r="O29" s="17" t="s">
        <v>583</v>
      </c>
      <c r="P29" s="7">
        <v>2020</v>
      </c>
      <c r="Q29" s="14">
        <v>100</v>
      </c>
      <c r="R29" s="17" t="s">
        <v>583</v>
      </c>
      <c r="S29" s="7">
        <v>2020</v>
      </c>
      <c r="T29" s="14">
        <v>100</v>
      </c>
      <c r="U29" s="17"/>
      <c r="V29" s="7">
        <v>2020</v>
      </c>
      <c r="W29" s="14">
        <v>100</v>
      </c>
      <c r="X29" s="17" t="s">
        <v>783</v>
      </c>
      <c r="Y29" s="7">
        <v>2020</v>
      </c>
      <c r="Z29" s="14">
        <v>100</v>
      </c>
      <c r="AA29" s="17"/>
      <c r="AB29" s="7">
        <v>2020</v>
      </c>
      <c r="AC29" s="14">
        <v>100</v>
      </c>
      <c r="AD29" s="17" t="s">
        <v>784</v>
      </c>
      <c r="AE29" s="7">
        <v>2020</v>
      </c>
      <c r="AF29" s="31">
        <f t="shared" ref="AF29:AF33" si="4">0.67*AI29+0.33*AL29</f>
        <v>83.5</v>
      </c>
      <c r="AG29" s="17"/>
      <c r="AH29" s="7">
        <v>2020</v>
      </c>
      <c r="AI29" s="14">
        <v>100</v>
      </c>
      <c r="AJ29" s="17" t="s">
        <v>785</v>
      </c>
      <c r="AK29" s="7">
        <v>2020</v>
      </c>
      <c r="AL29" s="34">
        <v>50</v>
      </c>
      <c r="AM29" s="83" t="s">
        <v>786</v>
      </c>
      <c r="AN29" s="7">
        <v>2020</v>
      </c>
      <c r="AO29" s="14">
        <v>100</v>
      </c>
      <c r="AP29" s="17" t="s">
        <v>787</v>
      </c>
      <c r="AQ29" s="7">
        <v>2020</v>
      </c>
      <c r="AR29" s="14">
        <v>0</v>
      </c>
      <c r="AS29" s="23" t="s">
        <v>788</v>
      </c>
      <c r="AT29" s="7">
        <v>2020</v>
      </c>
      <c r="AU29" s="34">
        <v>50</v>
      </c>
      <c r="AV29" s="19"/>
      <c r="AW29" s="7">
        <v>2020</v>
      </c>
      <c r="AX29" s="14">
        <v>100</v>
      </c>
      <c r="AY29" s="23" t="s">
        <v>789</v>
      </c>
    </row>
    <row r="30" spans="1:51" ht="24.75" customHeight="1">
      <c r="A30" s="7">
        <v>2021</v>
      </c>
      <c r="B30" s="15">
        <f>AVERAGE(E30,H30,K30,T30,AF30,AO30,AU30,AX30,AR30)</f>
        <v>75.944444444444443</v>
      </c>
      <c r="C30" s="15"/>
      <c r="D30" s="7">
        <v>2021</v>
      </c>
      <c r="E30" s="21">
        <v>100</v>
      </c>
      <c r="F30" s="17"/>
      <c r="G30" s="7">
        <v>2021</v>
      </c>
      <c r="H30" s="14">
        <v>50</v>
      </c>
      <c r="I30" s="17"/>
      <c r="J30" s="7">
        <v>2021</v>
      </c>
      <c r="K30" s="14">
        <v>100</v>
      </c>
      <c r="L30" s="17"/>
      <c r="M30" s="7">
        <v>2021</v>
      </c>
      <c r="N30" s="14">
        <v>100</v>
      </c>
      <c r="O30" s="17"/>
      <c r="P30" s="7">
        <v>2021</v>
      </c>
      <c r="Q30" s="14">
        <v>100</v>
      </c>
      <c r="R30" s="17"/>
      <c r="S30" s="7">
        <v>2021</v>
      </c>
      <c r="T30" s="14">
        <v>100</v>
      </c>
      <c r="U30" s="17"/>
      <c r="V30" s="7">
        <v>2021</v>
      </c>
      <c r="W30" s="14">
        <v>100</v>
      </c>
      <c r="X30" s="17"/>
      <c r="Y30" s="7">
        <v>2021</v>
      </c>
      <c r="Z30" s="14">
        <v>100</v>
      </c>
      <c r="AA30" s="17"/>
      <c r="AB30" s="7">
        <v>2021</v>
      </c>
      <c r="AC30" s="14">
        <v>100</v>
      </c>
      <c r="AD30" s="17"/>
      <c r="AE30" s="7">
        <v>2021</v>
      </c>
      <c r="AF30" s="31">
        <f t="shared" si="4"/>
        <v>83.5</v>
      </c>
      <c r="AG30" s="17"/>
      <c r="AH30" s="7">
        <v>2021</v>
      </c>
      <c r="AI30" s="14">
        <v>100</v>
      </c>
      <c r="AJ30" s="17"/>
      <c r="AK30" s="7">
        <v>2021</v>
      </c>
      <c r="AL30" s="34">
        <v>50</v>
      </c>
      <c r="AM30" s="83"/>
      <c r="AN30" s="7">
        <v>2021</v>
      </c>
      <c r="AO30" s="14">
        <v>100</v>
      </c>
      <c r="AP30" s="17"/>
      <c r="AQ30" s="7">
        <v>2021</v>
      </c>
      <c r="AR30" s="14">
        <v>0</v>
      </c>
      <c r="AS30" s="17"/>
      <c r="AT30" s="7">
        <v>2021</v>
      </c>
      <c r="AU30" s="34">
        <v>50</v>
      </c>
      <c r="AV30" s="19"/>
      <c r="AW30" s="7">
        <v>2021</v>
      </c>
      <c r="AX30" s="14">
        <v>100</v>
      </c>
      <c r="AY30" s="23"/>
    </row>
    <row r="31" spans="1:51" ht="24.75" customHeight="1">
      <c r="A31" s="7">
        <v>2022</v>
      </c>
      <c r="B31" s="15">
        <f>AVERAGE(E31,H31,K31,T31,AF31,AO31,AU31,AX31,AR31)</f>
        <v>75.944444444444443</v>
      </c>
      <c r="C31" s="15"/>
      <c r="D31" s="7">
        <v>2022</v>
      </c>
      <c r="E31" s="21">
        <v>100</v>
      </c>
      <c r="F31" s="83" t="s">
        <v>790</v>
      </c>
      <c r="G31" s="7">
        <v>2022</v>
      </c>
      <c r="H31" s="14">
        <v>50</v>
      </c>
      <c r="I31" s="17"/>
      <c r="J31" s="7">
        <v>2022</v>
      </c>
      <c r="K31" s="14">
        <v>100</v>
      </c>
      <c r="L31" s="17"/>
      <c r="M31" s="7">
        <v>2022</v>
      </c>
      <c r="N31" s="14">
        <v>100</v>
      </c>
      <c r="O31" s="17"/>
      <c r="P31" s="7">
        <v>2022</v>
      </c>
      <c r="Q31" s="14">
        <v>100</v>
      </c>
      <c r="R31" s="17"/>
      <c r="S31" s="7">
        <v>2022</v>
      </c>
      <c r="T31" s="14">
        <v>100</v>
      </c>
      <c r="U31" s="17"/>
      <c r="V31" s="7">
        <v>2022</v>
      </c>
      <c r="W31" s="14">
        <v>100</v>
      </c>
      <c r="X31" s="17"/>
      <c r="Y31" s="7">
        <v>2022</v>
      </c>
      <c r="Z31" s="14">
        <v>100</v>
      </c>
      <c r="AA31" s="17"/>
      <c r="AB31" s="7">
        <v>2022</v>
      </c>
      <c r="AC31" s="14">
        <v>100</v>
      </c>
      <c r="AD31" s="17"/>
      <c r="AE31" s="7">
        <v>2022</v>
      </c>
      <c r="AF31" s="31">
        <f>0.67*AI31+0.33*AL31</f>
        <v>83.5</v>
      </c>
      <c r="AG31" s="17"/>
      <c r="AH31" s="7">
        <v>2022</v>
      </c>
      <c r="AI31" s="14">
        <v>100</v>
      </c>
      <c r="AJ31" s="17"/>
      <c r="AK31" s="7">
        <v>2022</v>
      </c>
      <c r="AL31" s="34">
        <v>50</v>
      </c>
      <c r="AM31" s="83"/>
      <c r="AN31" s="7">
        <v>2022</v>
      </c>
      <c r="AO31" s="14">
        <v>100</v>
      </c>
      <c r="AP31" s="17"/>
      <c r="AQ31" s="7">
        <v>2022</v>
      </c>
      <c r="AR31" s="14">
        <v>0</v>
      </c>
      <c r="AS31" s="17"/>
      <c r="AT31" s="7">
        <v>2022</v>
      </c>
      <c r="AU31" s="34">
        <v>50</v>
      </c>
      <c r="AV31" s="19"/>
      <c r="AW31" s="7">
        <v>2022</v>
      </c>
      <c r="AX31" s="14">
        <v>100</v>
      </c>
      <c r="AY31" s="23"/>
    </row>
    <row r="32" spans="1:51" ht="24.75" customHeight="1">
      <c r="A32" s="7">
        <v>2023</v>
      </c>
      <c r="B32" s="15">
        <f>AVERAGE(E32,H32,K32,T32,AF32,AO32,AU32,AX32,AR32)</f>
        <v>75.944444444444443</v>
      </c>
      <c r="C32" s="15"/>
      <c r="D32" s="7">
        <v>2023</v>
      </c>
      <c r="E32" s="21">
        <v>100</v>
      </c>
      <c r="F32" s="17"/>
      <c r="G32" s="7">
        <v>2023</v>
      </c>
      <c r="H32" s="14">
        <v>50</v>
      </c>
      <c r="I32" s="17"/>
      <c r="J32" s="7">
        <v>2023</v>
      </c>
      <c r="K32" s="14">
        <v>100</v>
      </c>
      <c r="L32" s="17"/>
      <c r="M32" s="7">
        <v>2023</v>
      </c>
      <c r="N32" s="14">
        <v>100</v>
      </c>
      <c r="O32" s="17"/>
      <c r="P32" s="7">
        <v>2023</v>
      </c>
      <c r="Q32" s="14">
        <v>100</v>
      </c>
      <c r="R32" s="17"/>
      <c r="S32" s="7">
        <v>2023</v>
      </c>
      <c r="T32" s="14">
        <v>100</v>
      </c>
      <c r="U32" s="17"/>
      <c r="V32" s="7">
        <v>2023</v>
      </c>
      <c r="W32" s="14">
        <v>100</v>
      </c>
      <c r="X32" s="17"/>
      <c r="Y32" s="7">
        <v>2023</v>
      </c>
      <c r="Z32" s="14">
        <v>100</v>
      </c>
      <c r="AA32" s="17"/>
      <c r="AB32" s="7">
        <v>2023</v>
      </c>
      <c r="AC32" s="14">
        <v>100</v>
      </c>
      <c r="AD32" s="17"/>
      <c r="AE32" s="7">
        <v>2023</v>
      </c>
      <c r="AF32" s="31">
        <f>0.67*AI32+0.33*AL32</f>
        <v>83.5</v>
      </c>
      <c r="AG32" s="17"/>
      <c r="AH32" s="7">
        <v>2023</v>
      </c>
      <c r="AI32" s="14">
        <v>100</v>
      </c>
      <c r="AJ32" s="17"/>
      <c r="AK32" s="7">
        <v>2023</v>
      </c>
      <c r="AL32" s="34">
        <v>50</v>
      </c>
      <c r="AM32" s="83"/>
      <c r="AN32" s="7">
        <v>2023</v>
      </c>
      <c r="AO32" s="14">
        <v>100</v>
      </c>
      <c r="AP32" s="17"/>
      <c r="AQ32" s="7">
        <v>2023</v>
      </c>
      <c r="AR32" s="14">
        <v>0</v>
      </c>
      <c r="AS32" s="17"/>
      <c r="AT32" s="7">
        <v>2023</v>
      </c>
      <c r="AU32" s="34">
        <v>50</v>
      </c>
      <c r="AV32" s="19"/>
      <c r="AW32" s="7">
        <v>2023</v>
      </c>
      <c r="AX32" s="14">
        <v>100</v>
      </c>
      <c r="AY32" s="23"/>
    </row>
    <row r="33" spans="1:51" ht="24.75" customHeight="1">
      <c r="A33" s="7">
        <v>2024</v>
      </c>
      <c r="B33" s="15">
        <f>AVERAGE(E33,H33,K33,T33,AF33,AO33,AU33,AX33,AR33)</f>
        <v>75.944444444444443</v>
      </c>
      <c r="C33" s="15"/>
      <c r="D33" s="7">
        <v>2024</v>
      </c>
      <c r="E33" s="21">
        <v>100</v>
      </c>
      <c r="F33" s="17"/>
      <c r="G33" s="7">
        <v>2024</v>
      </c>
      <c r="H33" s="14">
        <v>50</v>
      </c>
      <c r="I33" s="17"/>
      <c r="J33" s="7">
        <v>2024</v>
      </c>
      <c r="K33" s="14">
        <v>100</v>
      </c>
      <c r="L33" s="17"/>
      <c r="M33" s="7">
        <v>2024</v>
      </c>
      <c r="N33" s="14">
        <v>100</v>
      </c>
      <c r="O33" s="17"/>
      <c r="P33" s="7">
        <v>2024</v>
      </c>
      <c r="Q33" s="14">
        <v>100</v>
      </c>
      <c r="R33" s="17"/>
      <c r="S33" s="7">
        <v>2024</v>
      </c>
      <c r="T33" s="14">
        <v>100</v>
      </c>
      <c r="U33" s="17"/>
      <c r="V33" s="7">
        <v>2024</v>
      </c>
      <c r="W33" s="14">
        <v>100</v>
      </c>
      <c r="X33" s="17"/>
      <c r="Y33" s="7">
        <v>2024</v>
      </c>
      <c r="Z33" s="14">
        <v>100</v>
      </c>
      <c r="AA33" s="17"/>
      <c r="AB33" s="7">
        <v>2024</v>
      </c>
      <c r="AC33" s="14">
        <v>100</v>
      </c>
      <c r="AD33" s="17"/>
      <c r="AE33" s="7">
        <v>2024</v>
      </c>
      <c r="AF33" s="31">
        <f t="shared" si="4"/>
        <v>83.5</v>
      </c>
      <c r="AG33" s="17"/>
      <c r="AH33" s="7">
        <v>2024</v>
      </c>
      <c r="AI33" s="14">
        <v>100</v>
      </c>
      <c r="AJ33" s="17"/>
      <c r="AK33" s="7">
        <v>2024</v>
      </c>
      <c r="AL33" s="34">
        <v>50</v>
      </c>
      <c r="AM33" s="83"/>
      <c r="AN33" s="7">
        <v>2024</v>
      </c>
      <c r="AO33" s="14">
        <v>100</v>
      </c>
      <c r="AP33" s="17"/>
      <c r="AQ33" s="7">
        <v>2024</v>
      </c>
      <c r="AR33" s="14">
        <v>0</v>
      </c>
      <c r="AS33" s="17"/>
      <c r="AT33" s="7">
        <v>2024</v>
      </c>
      <c r="AU33" s="34">
        <v>50</v>
      </c>
      <c r="AV33" s="35" t="s">
        <v>791</v>
      </c>
      <c r="AW33" s="7">
        <v>2024</v>
      </c>
      <c r="AX33" s="14">
        <v>100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271" t="s">
        <v>161</v>
      </c>
      <c r="AD39" s="272"/>
      <c r="AE39" s="7" t="s">
        <v>30</v>
      </c>
      <c r="AF39" s="310" t="s">
        <v>432</v>
      </c>
      <c r="AG39" s="310"/>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792</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69</v>
      </c>
      <c r="C42" s="16"/>
      <c r="D42" s="7">
        <v>2020</v>
      </c>
      <c r="E42" s="14">
        <v>100</v>
      </c>
      <c r="F42" s="17"/>
      <c r="G42" s="7">
        <v>2020</v>
      </c>
      <c r="H42" s="14">
        <v>50</v>
      </c>
      <c r="I42" s="17" t="s">
        <v>793</v>
      </c>
      <c r="J42" s="7">
        <v>2020</v>
      </c>
      <c r="K42" s="34">
        <v>50</v>
      </c>
      <c r="L42" s="19" t="s">
        <v>794</v>
      </c>
      <c r="M42" s="7">
        <v>2020</v>
      </c>
      <c r="N42" s="31">
        <f t="shared" ref="N42:N46" si="5">AVERAGE(Q42,T42,W42)</f>
        <v>100</v>
      </c>
      <c r="O42" s="14"/>
      <c r="P42" s="7">
        <v>2020</v>
      </c>
      <c r="Q42" s="14">
        <v>100</v>
      </c>
      <c r="R42" s="17" t="s">
        <v>795</v>
      </c>
      <c r="S42" s="7">
        <v>2020</v>
      </c>
      <c r="T42" s="14">
        <v>100</v>
      </c>
      <c r="U42" s="17" t="s">
        <v>796</v>
      </c>
      <c r="V42" s="7">
        <v>2020</v>
      </c>
      <c r="W42" s="14">
        <v>100</v>
      </c>
      <c r="X42" s="23" t="s">
        <v>797</v>
      </c>
      <c r="Y42" s="7">
        <v>2020</v>
      </c>
      <c r="Z42" s="14">
        <v>100</v>
      </c>
      <c r="AA42" s="17" t="s">
        <v>798</v>
      </c>
      <c r="AB42" s="7">
        <v>2020</v>
      </c>
      <c r="AC42" s="34">
        <v>50</v>
      </c>
      <c r="AD42" s="35" t="s">
        <v>799</v>
      </c>
      <c r="AE42" s="7">
        <v>2020</v>
      </c>
      <c r="AF42" s="14">
        <v>33</v>
      </c>
      <c r="AG42" s="14"/>
      <c r="AH42" s="7">
        <v>2020</v>
      </c>
      <c r="AI42" s="21">
        <v>0</v>
      </c>
      <c r="AJ42" s="17"/>
      <c r="AK42" s="7">
        <v>2020</v>
      </c>
      <c r="AL42" s="14">
        <v>50</v>
      </c>
      <c r="AM42" s="23" t="s">
        <v>800</v>
      </c>
    </row>
    <row r="43" spans="1:51" ht="24.75" customHeight="1">
      <c r="A43" s="7">
        <v>2021</v>
      </c>
      <c r="B43" s="16">
        <f>AVERAGE(E43,H43,K43,N43,Z43,AC43,AF43)</f>
        <v>69</v>
      </c>
      <c r="C43" s="16"/>
      <c r="D43" s="7">
        <v>2021</v>
      </c>
      <c r="E43" s="14">
        <v>100</v>
      </c>
      <c r="F43" s="17"/>
      <c r="G43" s="7">
        <v>2021</v>
      </c>
      <c r="H43" s="14">
        <v>50</v>
      </c>
      <c r="I43" s="17"/>
      <c r="J43" s="7">
        <v>2021</v>
      </c>
      <c r="K43" s="34">
        <v>50</v>
      </c>
      <c r="L43" s="19"/>
      <c r="M43" s="7">
        <v>2021</v>
      </c>
      <c r="N43" s="31">
        <f t="shared" si="5"/>
        <v>100</v>
      </c>
      <c r="O43" s="14"/>
      <c r="P43" s="7">
        <v>2021</v>
      </c>
      <c r="Q43" s="14">
        <v>100</v>
      </c>
      <c r="R43" s="17"/>
      <c r="S43" s="7">
        <v>2021</v>
      </c>
      <c r="T43" s="14">
        <v>100</v>
      </c>
      <c r="U43" s="17"/>
      <c r="V43" s="7">
        <v>2021</v>
      </c>
      <c r="W43" s="14">
        <v>100</v>
      </c>
      <c r="X43" s="17"/>
      <c r="Y43" s="7">
        <v>2021</v>
      </c>
      <c r="Z43" s="14">
        <v>100</v>
      </c>
      <c r="AA43" s="17"/>
      <c r="AB43" s="7">
        <v>2021</v>
      </c>
      <c r="AC43" s="34">
        <v>50</v>
      </c>
      <c r="AD43" s="19"/>
      <c r="AE43" s="7">
        <v>2021</v>
      </c>
      <c r="AF43" s="14">
        <v>33</v>
      </c>
      <c r="AG43" s="14"/>
      <c r="AH43" s="7">
        <v>2021</v>
      </c>
      <c r="AI43" s="21">
        <v>0</v>
      </c>
      <c r="AJ43" s="17"/>
      <c r="AK43" s="7">
        <v>2021</v>
      </c>
      <c r="AL43" s="14">
        <v>50</v>
      </c>
      <c r="AM43" s="23"/>
    </row>
    <row r="44" spans="1:51" ht="24.75" customHeight="1">
      <c r="A44" s="7">
        <v>2022</v>
      </c>
      <c r="B44" s="16">
        <f>AVERAGE(E44,H44,K44,N44,Z44,AC44,AF44)</f>
        <v>69</v>
      </c>
      <c r="C44" s="16"/>
      <c r="D44" s="7">
        <v>2022</v>
      </c>
      <c r="E44" s="14">
        <v>100</v>
      </c>
      <c r="F44" s="17"/>
      <c r="G44" s="7">
        <v>2022</v>
      </c>
      <c r="H44" s="14">
        <v>50</v>
      </c>
      <c r="I44" s="17"/>
      <c r="J44" s="7">
        <v>2022</v>
      </c>
      <c r="K44" s="34">
        <v>50</v>
      </c>
      <c r="L44" s="19"/>
      <c r="M44" s="7">
        <v>2022</v>
      </c>
      <c r="N44" s="31">
        <f t="shared" si="5"/>
        <v>100</v>
      </c>
      <c r="O44" s="14"/>
      <c r="P44" s="7">
        <v>2022</v>
      </c>
      <c r="Q44" s="14">
        <v>100</v>
      </c>
      <c r="R44" s="17"/>
      <c r="S44" s="7">
        <v>2022</v>
      </c>
      <c r="T44" s="14">
        <v>100</v>
      </c>
      <c r="U44" s="17"/>
      <c r="V44" s="7">
        <v>2022</v>
      </c>
      <c r="W44" s="14">
        <v>100</v>
      </c>
      <c r="X44" s="17"/>
      <c r="Y44" s="7">
        <v>2022</v>
      </c>
      <c r="Z44" s="14">
        <v>100</v>
      </c>
      <c r="AA44" s="17"/>
      <c r="AB44" s="7">
        <v>2022</v>
      </c>
      <c r="AC44" s="34">
        <v>50</v>
      </c>
      <c r="AD44" s="19" t="s">
        <v>801</v>
      </c>
      <c r="AE44" s="7">
        <v>2022</v>
      </c>
      <c r="AF44" s="14">
        <v>33</v>
      </c>
      <c r="AG44" s="14"/>
      <c r="AH44" s="7">
        <v>2022</v>
      </c>
      <c r="AI44" s="21">
        <v>0</v>
      </c>
      <c r="AJ44" s="17"/>
      <c r="AK44" s="7">
        <v>2022</v>
      </c>
      <c r="AL44" s="14">
        <v>50</v>
      </c>
      <c r="AM44" s="23"/>
    </row>
    <row r="45" spans="1:51" ht="24.75" customHeight="1">
      <c r="A45" s="7">
        <v>2023</v>
      </c>
      <c r="B45" s="16">
        <f>AVERAGE(E45,H45,K45,N45,Z45,AC45,AF45)</f>
        <v>69</v>
      </c>
      <c r="C45" s="16"/>
      <c r="D45" s="7">
        <v>2023</v>
      </c>
      <c r="E45" s="14">
        <v>100</v>
      </c>
      <c r="F45" s="17"/>
      <c r="G45" s="7">
        <v>2023</v>
      </c>
      <c r="H45" s="14">
        <v>50</v>
      </c>
      <c r="I45" s="17"/>
      <c r="J45" s="7">
        <v>2023</v>
      </c>
      <c r="K45" s="34">
        <v>50</v>
      </c>
      <c r="L45" s="19"/>
      <c r="M45" s="7">
        <v>2023</v>
      </c>
      <c r="N45" s="31">
        <f t="shared" si="5"/>
        <v>100</v>
      </c>
      <c r="O45" s="14"/>
      <c r="P45" s="7">
        <v>2023</v>
      </c>
      <c r="Q45" s="14">
        <v>100</v>
      </c>
      <c r="R45" s="17"/>
      <c r="S45" s="7">
        <v>2023</v>
      </c>
      <c r="T45" s="14">
        <v>100</v>
      </c>
      <c r="U45" s="17"/>
      <c r="V45" s="7">
        <v>2023</v>
      </c>
      <c r="W45" s="14">
        <v>100</v>
      </c>
      <c r="X45" s="17"/>
      <c r="Y45" s="7">
        <v>2023</v>
      </c>
      <c r="Z45" s="14">
        <v>100</v>
      </c>
      <c r="AA45" s="17"/>
      <c r="AB45" s="7">
        <v>2023</v>
      </c>
      <c r="AC45" s="34">
        <v>50</v>
      </c>
      <c r="AD45" s="19"/>
      <c r="AE45" s="7">
        <v>2023</v>
      </c>
      <c r="AF45" s="14">
        <v>33</v>
      </c>
      <c r="AG45" s="14"/>
      <c r="AH45" s="7">
        <v>2023</v>
      </c>
      <c r="AI45" s="47">
        <v>0</v>
      </c>
      <c r="AJ45" s="35" t="s">
        <v>802</v>
      </c>
      <c r="AK45" s="7">
        <v>2023</v>
      </c>
      <c r="AL45" s="14">
        <v>50</v>
      </c>
      <c r="AM45" s="23"/>
    </row>
    <row r="46" spans="1:51" ht="24.75" customHeight="1">
      <c r="A46" s="7">
        <v>2024</v>
      </c>
      <c r="B46" s="16">
        <f>AVERAGE(E46,H46,K46,N46,Z46,AC46,AF46)</f>
        <v>69</v>
      </c>
      <c r="C46" s="16"/>
      <c r="D46" s="7">
        <v>2024</v>
      </c>
      <c r="E46" s="14">
        <v>100</v>
      </c>
      <c r="F46" s="17"/>
      <c r="G46" s="7">
        <v>2024</v>
      </c>
      <c r="H46" s="14">
        <v>50</v>
      </c>
      <c r="I46" s="17"/>
      <c r="J46" s="7">
        <v>2024</v>
      </c>
      <c r="K46" s="34">
        <v>50</v>
      </c>
      <c r="L46" s="19"/>
      <c r="M46" s="7">
        <v>2024</v>
      </c>
      <c r="N46" s="31">
        <f t="shared" si="5"/>
        <v>100</v>
      </c>
      <c r="O46" s="14"/>
      <c r="P46" s="7">
        <v>2024</v>
      </c>
      <c r="Q46" s="14">
        <v>100</v>
      </c>
      <c r="R46" s="17"/>
      <c r="S46" s="7">
        <v>2024</v>
      </c>
      <c r="T46" s="14">
        <v>100</v>
      </c>
      <c r="U46" s="17"/>
      <c r="V46" s="7">
        <v>2024</v>
      </c>
      <c r="W46" s="14">
        <v>100</v>
      </c>
      <c r="X46" s="17"/>
      <c r="Y46" s="7">
        <v>2024</v>
      </c>
      <c r="Z46" s="14">
        <v>100</v>
      </c>
      <c r="AA46" s="17"/>
      <c r="AB46" s="7">
        <v>2024</v>
      </c>
      <c r="AC46" s="34">
        <v>50</v>
      </c>
      <c r="AD46" s="19"/>
      <c r="AE46" s="7">
        <v>2024</v>
      </c>
      <c r="AF46" s="14">
        <v>33</v>
      </c>
      <c r="AG46" s="14"/>
      <c r="AH46" s="7">
        <v>2024</v>
      </c>
      <c r="AI46" s="21">
        <v>0</v>
      </c>
      <c r="AJ46" s="17"/>
      <c r="AK46" s="7">
        <v>2024</v>
      </c>
      <c r="AL46" s="14">
        <v>50</v>
      </c>
      <c r="AM46" s="23"/>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259" t="s">
        <v>803</v>
      </c>
      <c r="F53" s="260"/>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20</v>
      </c>
      <c r="C55" s="16"/>
      <c r="D55" s="7">
        <v>2020</v>
      </c>
      <c r="E55" s="82">
        <v>25</v>
      </c>
      <c r="F55" s="83" t="s">
        <v>804</v>
      </c>
      <c r="G55" s="7">
        <v>2020</v>
      </c>
      <c r="H55" s="14">
        <v>0</v>
      </c>
      <c r="I55" s="17" t="s">
        <v>805</v>
      </c>
      <c r="J55" s="7">
        <v>2020</v>
      </c>
      <c r="K55" s="82">
        <v>25</v>
      </c>
      <c r="L55" s="86" t="s">
        <v>806</v>
      </c>
      <c r="M55" s="7">
        <v>2020</v>
      </c>
      <c r="N55" s="14">
        <v>0</v>
      </c>
      <c r="O55" s="17" t="s">
        <v>807</v>
      </c>
      <c r="P55" s="7">
        <v>2020</v>
      </c>
      <c r="Q55" s="14">
        <v>50</v>
      </c>
      <c r="R55" s="23" t="s">
        <v>808</v>
      </c>
    </row>
    <row r="56" spans="1:24" ht="24.75" customHeight="1">
      <c r="A56" s="7">
        <v>2021</v>
      </c>
      <c r="B56" s="15">
        <f t="shared" si="6"/>
        <v>20</v>
      </c>
      <c r="C56" s="15"/>
      <c r="D56" s="7">
        <v>2021</v>
      </c>
      <c r="E56" s="82">
        <v>25</v>
      </c>
      <c r="F56" s="83"/>
      <c r="G56" s="7">
        <v>2021</v>
      </c>
      <c r="H56" s="14">
        <v>0</v>
      </c>
      <c r="I56" s="17"/>
      <c r="J56" s="7">
        <v>2021</v>
      </c>
      <c r="K56" s="82">
        <v>25</v>
      </c>
      <c r="L56" s="83"/>
      <c r="M56" s="7">
        <v>2021</v>
      </c>
      <c r="N56" s="14">
        <v>0</v>
      </c>
      <c r="O56" s="17"/>
      <c r="P56" s="7">
        <v>2021</v>
      </c>
      <c r="Q56" s="14">
        <v>50</v>
      </c>
      <c r="R56" s="23"/>
    </row>
    <row r="57" spans="1:24" ht="24.75" customHeight="1">
      <c r="A57" s="7">
        <v>2022</v>
      </c>
      <c r="B57" s="15">
        <f t="shared" si="6"/>
        <v>20</v>
      </c>
      <c r="C57" s="15"/>
      <c r="D57" s="7">
        <v>2022</v>
      </c>
      <c r="E57" s="82">
        <v>25</v>
      </c>
      <c r="F57" s="83"/>
      <c r="G57" s="7">
        <v>2022</v>
      </c>
      <c r="H57" s="14">
        <v>0</v>
      </c>
      <c r="I57" s="17"/>
      <c r="J57" s="7">
        <v>2022</v>
      </c>
      <c r="K57" s="82">
        <v>25</v>
      </c>
      <c r="L57" s="83"/>
      <c r="M57" s="7">
        <v>2022</v>
      </c>
      <c r="N57" s="14">
        <v>0</v>
      </c>
      <c r="O57" s="17"/>
      <c r="P57" s="7">
        <v>2022</v>
      </c>
      <c r="Q57" s="14">
        <v>50</v>
      </c>
      <c r="R57" s="23"/>
    </row>
    <row r="58" spans="1:24" ht="24.75" customHeight="1">
      <c r="A58" s="7">
        <v>2023</v>
      </c>
      <c r="B58" s="15">
        <f t="shared" si="6"/>
        <v>20</v>
      </c>
      <c r="C58" s="15"/>
      <c r="D58" s="7">
        <v>2023</v>
      </c>
      <c r="E58" s="82">
        <v>25</v>
      </c>
      <c r="F58" s="83"/>
      <c r="G58" s="7">
        <v>2023</v>
      </c>
      <c r="H58" s="14">
        <v>0</v>
      </c>
      <c r="I58" s="17"/>
      <c r="J58" s="7">
        <v>2023</v>
      </c>
      <c r="K58" s="82">
        <v>25</v>
      </c>
      <c r="L58" s="83"/>
      <c r="M58" s="7">
        <v>2023</v>
      </c>
      <c r="N58" s="14">
        <v>0</v>
      </c>
      <c r="O58" s="17"/>
      <c r="P58" s="7">
        <v>2023</v>
      </c>
      <c r="Q58" s="14">
        <v>50</v>
      </c>
      <c r="R58" s="23"/>
    </row>
    <row r="59" spans="1:24" ht="24.75" customHeight="1">
      <c r="A59" s="7">
        <v>2024</v>
      </c>
      <c r="B59" s="15">
        <f t="shared" si="6"/>
        <v>20</v>
      </c>
      <c r="C59" s="15"/>
      <c r="D59" s="7">
        <v>2024</v>
      </c>
      <c r="E59" s="82">
        <v>25</v>
      </c>
      <c r="F59" s="83"/>
      <c r="G59" s="7">
        <v>2024</v>
      </c>
      <c r="H59" s="14">
        <v>0</v>
      </c>
      <c r="I59" s="17"/>
      <c r="J59" s="7">
        <v>2024</v>
      </c>
      <c r="K59" s="82">
        <v>25</v>
      </c>
      <c r="L59" s="83"/>
      <c r="M59" s="7">
        <v>2024</v>
      </c>
      <c r="N59" s="14">
        <v>0</v>
      </c>
      <c r="O59" s="17"/>
      <c r="P59" s="7">
        <v>2024</v>
      </c>
      <c r="Q59" s="14">
        <v>50</v>
      </c>
      <c r="R59" s="23"/>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66.666666666666671</v>
      </c>
      <c r="C68" s="16"/>
      <c r="D68" s="7">
        <v>2020</v>
      </c>
      <c r="E68" s="21">
        <v>50</v>
      </c>
      <c r="F68" s="23" t="s">
        <v>809</v>
      </c>
      <c r="G68" s="7">
        <v>2020</v>
      </c>
      <c r="H68" s="14">
        <v>0</v>
      </c>
      <c r="I68" s="17" t="s">
        <v>810</v>
      </c>
      <c r="J68" s="7">
        <v>2020</v>
      </c>
      <c r="K68" s="14">
        <v>100</v>
      </c>
      <c r="L68" s="23" t="s">
        <v>811</v>
      </c>
      <c r="M68" s="7">
        <v>2020</v>
      </c>
      <c r="N68" s="14">
        <v>100</v>
      </c>
      <c r="O68" s="17" t="s">
        <v>812</v>
      </c>
      <c r="P68" s="7">
        <v>2020</v>
      </c>
      <c r="Q68" s="14">
        <v>100</v>
      </c>
      <c r="R68" s="17" t="s">
        <v>812</v>
      </c>
      <c r="S68" s="7">
        <v>2020</v>
      </c>
      <c r="T68" s="82">
        <v>0</v>
      </c>
      <c r="U68" s="83" t="s">
        <v>813</v>
      </c>
      <c r="V68" s="7">
        <v>2020</v>
      </c>
      <c r="W68" s="14">
        <v>100</v>
      </c>
      <c r="X68" s="23" t="s">
        <v>814</v>
      </c>
    </row>
    <row r="69" spans="1:27" ht="24.75" customHeight="1">
      <c r="A69" s="7">
        <v>2021</v>
      </c>
      <c r="B69" s="15">
        <f t="shared" si="7"/>
        <v>66.666666666666671</v>
      </c>
      <c r="C69" s="15"/>
      <c r="D69" s="7">
        <v>2021</v>
      </c>
      <c r="E69" s="21">
        <v>50</v>
      </c>
      <c r="F69" s="17"/>
      <c r="G69" s="7">
        <v>2021</v>
      </c>
      <c r="H69" s="14">
        <v>0</v>
      </c>
      <c r="I69" s="17"/>
      <c r="J69" s="7">
        <v>2021</v>
      </c>
      <c r="K69" s="14">
        <v>100</v>
      </c>
      <c r="L69" s="17"/>
      <c r="M69" s="7">
        <v>2021</v>
      </c>
      <c r="N69" s="14">
        <v>100</v>
      </c>
      <c r="O69" s="17"/>
      <c r="P69" s="7">
        <v>2021</v>
      </c>
      <c r="Q69" s="14">
        <v>100</v>
      </c>
      <c r="R69" s="17"/>
      <c r="S69" s="7">
        <v>2021</v>
      </c>
      <c r="T69" s="82">
        <v>0</v>
      </c>
      <c r="U69" s="147"/>
      <c r="V69" s="7">
        <v>2021</v>
      </c>
      <c r="W69" s="14">
        <v>100</v>
      </c>
      <c r="X69" s="23"/>
    </row>
    <row r="70" spans="1:27" ht="24.75" customHeight="1">
      <c r="A70" s="7">
        <v>2022</v>
      </c>
      <c r="B70" s="15">
        <f t="shared" si="7"/>
        <v>66.666666666666671</v>
      </c>
      <c r="C70" s="15"/>
      <c r="D70" s="7">
        <v>2022</v>
      </c>
      <c r="E70" s="21">
        <v>50</v>
      </c>
      <c r="F70" s="17"/>
      <c r="G70" s="7">
        <v>2022</v>
      </c>
      <c r="H70" s="14">
        <v>0</v>
      </c>
      <c r="I70" s="17"/>
      <c r="J70" s="7">
        <v>2022</v>
      </c>
      <c r="K70" s="14">
        <v>100</v>
      </c>
      <c r="L70" s="17"/>
      <c r="M70" s="7">
        <v>2022</v>
      </c>
      <c r="N70" s="14">
        <v>100</v>
      </c>
      <c r="O70" s="17"/>
      <c r="P70" s="7">
        <v>2022</v>
      </c>
      <c r="Q70" s="14">
        <v>100</v>
      </c>
      <c r="R70" s="17"/>
      <c r="S70" s="7">
        <v>2022</v>
      </c>
      <c r="T70" s="82">
        <v>0</v>
      </c>
      <c r="U70" s="83"/>
      <c r="V70" s="7">
        <v>2022</v>
      </c>
      <c r="W70" s="14">
        <v>100</v>
      </c>
      <c r="X70" s="23"/>
    </row>
    <row r="71" spans="1:27" ht="24.75" customHeight="1">
      <c r="A71" s="7">
        <v>2023</v>
      </c>
      <c r="B71" s="15">
        <f t="shared" si="7"/>
        <v>66.666666666666671</v>
      </c>
      <c r="C71" s="15"/>
      <c r="D71" s="7">
        <v>2023</v>
      </c>
      <c r="E71" s="21">
        <v>50</v>
      </c>
      <c r="F71" s="17"/>
      <c r="G71" s="7">
        <v>2023</v>
      </c>
      <c r="H71" s="14">
        <v>0</v>
      </c>
      <c r="I71" s="17"/>
      <c r="J71" s="7">
        <v>2023</v>
      </c>
      <c r="K71" s="14">
        <v>100</v>
      </c>
      <c r="L71" s="17"/>
      <c r="M71" s="7">
        <v>2023</v>
      </c>
      <c r="N71" s="14">
        <v>100</v>
      </c>
      <c r="O71" s="17"/>
      <c r="P71" s="7">
        <v>2023</v>
      </c>
      <c r="Q71" s="14">
        <v>100</v>
      </c>
      <c r="R71" s="17"/>
      <c r="S71" s="7">
        <v>2023</v>
      </c>
      <c r="T71" s="82">
        <v>0</v>
      </c>
      <c r="U71" s="83"/>
      <c r="V71" s="7">
        <v>2023</v>
      </c>
      <c r="W71" s="14">
        <v>100</v>
      </c>
      <c r="X71" s="23"/>
    </row>
    <row r="72" spans="1:27" ht="24.75" customHeight="1">
      <c r="A72" s="7">
        <v>2024</v>
      </c>
      <c r="B72" s="15">
        <f t="shared" si="7"/>
        <v>66.666666666666671</v>
      </c>
      <c r="C72" s="15"/>
      <c r="D72" s="7">
        <v>2024</v>
      </c>
      <c r="E72" s="21">
        <v>50</v>
      </c>
      <c r="F72" s="17"/>
      <c r="G72" s="7">
        <v>2024</v>
      </c>
      <c r="H72" s="14">
        <v>0</v>
      </c>
      <c r="I72" s="17"/>
      <c r="J72" s="7">
        <v>2024</v>
      </c>
      <c r="K72" s="14">
        <v>100</v>
      </c>
      <c r="L72" s="17"/>
      <c r="M72" s="7">
        <v>2024</v>
      </c>
      <c r="N72" s="14">
        <v>100</v>
      </c>
      <c r="O72" s="17"/>
      <c r="P72" s="7">
        <v>2024</v>
      </c>
      <c r="Q72" s="14">
        <v>100</v>
      </c>
      <c r="R72" s="17"/>
      <c r="S72" s="7">
        <v>2024</v>
      </c>
      <c r="T72" s="82">
        <v>0</v>
      </c>
      <c r="U72" s="83"/>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15.625</v>
      </c>
      <c r="C81" s="15"/>
      <c r="D81" s="7">
        <v>2020</v>
      </c>
      <c r="E81" s="14">
        <v>50</v>
      </c>
      <c r="F81" s="17"/>
      <c r="G81" s="7">
        <v>2020</v>
      </c>
      <c r="H81" s="14">
        <v>0</v>
      </c>
      <c r="I81" s="23" t="s">
        <v>815</v>
      </c>
      <c r="J81" s="7">
        <v>2020</v>
      </c>
      <c r="K81" s="31">
        <f t="shared" ref="K81:K85" si="9">AVERAGE(N81,Q81,T81,W81)</f>
        <v>12.5</v>
      </c>
      <c r="L81" s="14"/>
      <c r="M81" s="7">
        <v>2020</v>
      </c>
      <c r="N81" s="21">
        <v>0</v>
      </c>
      <c r="O81" s="17" t="s">
        <v>816</v>
      </c>
      <c r="P81" s="7">
        <v>2020</v>
      </c>
      <c r="Q81" s="21">
        <v>0</v>
      </c>
      <c r="R81" s="17" t="s">
        <v>817</v>
      </c>
      <c r="S81" s="7">
        <v>2020</v>
      </c>
      <c r="T81" s="21">
        <v>50</v>
      </c>
      <c r="U81" s="17" t="s">
        <v>818</v>
      </c>
      <c r="V81" s="7">
        <v>2020</v>
      </c>
      <c r="W81" s="84">
        <v>0</v>
      </c>
      <c r="X81" s="83" t="s">
        <v>819</v>
      </c>
      <c r="Y81" s="7">
        <v>2020</v>
      </c>
      <c r="Z81" s="14">
        <v>0</v>
      </c>
      <c r="AA81" s="23" t="s">
        <v>820</v>
      </c>
    </row>
    <row r="82" spans="1:33" ht="24.75" customHeight="1">
      <c r="A82" s="7">
        <v>2021</v>
      </c>
      <c r="B82" s="15">
        <f t="shared" si="8"/>
        <v>15.625</v>
      </c>
      <c r="C82" s="15"/>
      <c r="D82" s="7">
        <v>2021</v>
      </c>
      <c r="E82" s="14">
        <v>50</v>
      </c>
      <c r="F82" s="17"/>
      <c r="G82" s="7">
        <v>2021</v>
      </c>
      <c r="H82" s="14">
        <v>0</v>
      </c>
      <c r="I82" s="17"/>
      <c r="J82" s="7">
        <v>2021</v>
      </c>
      <c r="K82" s="31">
        <f t="shared" si="9"/>
        <v>12.5</v>
      </c>
      <c r="L82" s="14"/>
      <c r="M82" s="7">
        <v>2021</v>
      </c>
      <c r="N82" s="21">
        <v>0</v>
      </c>
      <c r="O82" s="17"/>
      <c r="P82" s="7">
        <v>2021</v>
      </c>
      <c r="Q82" s="21">
        <v>0</v>
      </c>
      <c r="R82" s="17"/>
      <c r="S82" s="7">
        <v>2021</v>
      </c>
      <c r="T82" s="21">
        <v>50</v>
      </c>
      <c r="U82" s="17"/>
      <c r="V82" s="7">
        <v>2021</v>
      </c>
      <c r="W82" s="84">
        <v>0</v>
      </c>
      <c r="X82" s="83"/>
      <c r="Y82" s="7">
        <v>2021</v>
      </c>
      <c r="Z82" s="14">
        <v>0</v>
      </c>
      <c r="AA82" s="23"/>
    </row>
    <row r="83" spans="1:33" ht="24.75" customHeight="1">
      <c r="A83" s="7">
        <v>2022</v>
      </c>
      <c r="B83" s="15">
        <f t="shared" si="8"/>
        <v>15.625</v>
      </c>
      <c r="C83" s="15"/>
      <c r="D83" s="7">
        <v>2022</v>
      </c>
      <c r="E83" s="14">
        <v>50</v>
      </c>
      <c r="F83" s="17"/>
      <c r="G83" s="7">
        <v>2022</v>
      </c>
      <c r="H83" s="14">
        <v>0</v>
      </c>
      <c r="I83" s="17"/>
      <c r="J83" s="7">
        <v>2022</v>
      </c>
      <c r="K83" s="31">
        <f t="shared" si="9"/>
        <v>12.5</v>
      </c>
      <c r="L83" s="14"/>
      <c r="M83" s="7">
        <v>2022</v>
      </c>
      <c r="N83" s="21">
        <v>0</v>
      </c>
      <c r="O83" s="17"/>
      <c r="P83" s="7">
        <v>2022</v>
      </c>
      <c r="Q83" s="21">
        <v>0</v>
      </c>
      <c r="R83" s="17"/>
      <c r="S83" s="7">
        <v>2022</v>
      </c>
      <c r="T83" s="21">
        <v>50</v>
      </c>
      <c r="U83" s="17"/>
      <c r="V83" s="7">
        <v>2022</v>
      </c>
      <c r="W83" s="84">
        <v>0</v>
      </c>
      <c r="X83" s="83"/>
      <c r="Y83" s="7">
        <v>2022</v>
      </c>
      <c r="Z83" s="14">
        <v>0</v>
      </c>
      <c r="AA83" s="23"/>
    </row>
    <row r="84" spans="1:33" ht="24.75" customHeight="1">
      <c r="A84" s="7">
        <v>2023</v>
      </c>
      <c r="B84" s="15">
        <f t="shared" si="8"/>
        <v>15.625</v>
      </c>
      <c r="C84" s="15"/>
      <c r="D84" s="7">
        <v>2023</v>
      </c>
      <c r="E84" s="14">
        <v>50</v>
      </c>
      <c r="F84" s="17"/>
      <c r="G84" s="7">
        <v>2023</v>
      </c>
      <c r="H84" s="14">
        <v>0</v>
      </c>
      <c r="I84" s="17"/>
      <c r="J84" s="7">
        <v>2023</v>
      </c>
      <c r="K84" s="31">
        <f t="shared" si="9"/>
        <v>12.5</v>
      </c>
      <c r="L84" s="14"/>
      <c r="M84" s="7">
        <v>2023</v>
      </c>
      <c r="N84" s="21">
        <v>0</v>
      </c>
      <c r="O84" s="17"/>
      <c r="P84" s="7">
        <v>2023</v>
      </c>
      <c r="Q84" s="21">
        <v>0</v>
      </c>
      <c r="R84" s="17"/>
      <c r="S84" s="7">
        <v>2023</v>
      </c>
      <c r="T84" s="21">
        <v>50</v>
      </c>
      <c r="U84" s="17"/>
      <c r="V84" s="7">
        <v>2023</v>
      </c>
      <c r="W84" s="84">
        <v>0</v>
      </c>
      <c r="X84" s="83"/>
      <c r="Y84" s="7">
        <v>2023</v>
      </c>
      <c r="Z84" s="14">
        <v>0</v>
      </c>
      <c r="AA84" s="23"/>
    </row>
    <row r="85" spans="1:33" ht="24.75" customHeight="1">
      <c r="A85" s="7">
        <v>2024</v>
      </c>
      <c r="B85" s="15">
        <f t="shared" si="8"/>
        <v>15.625</v>
      </c>
      <c r="C85" s="15"/>
      <c r="D85" s="7">
        <v>2024</v>
      </c>
      <c r="E85" s="14">
        <v>50</v>
      </c>
      <c r="F85" s="17"/>
      <c r="G85" s="7">
        <v>2024</v>
      </c>
      <c r="H85" s="14">
        <v>0</v>
      </c>
      <c r="I85" s="17"/>
      <c r="J85" s="7">
        <v>2024</v>
      </c>
      <c r="K85" s="31">
        <f t="shared" si="9"/>
        <v>12.5</v>
      </c>
      <c r="L85" s="14"/>
      <c r="M85" s="7">
        <v>2024</v>
      </c>
      <c r="N85" s="21">
        <v>0</v>
      </c>
      <c r="O85" s="17"/>
      <c r="P85" s="7">
        <v>2024</v>
      </c>
      <c r="Q85" s="21">
        <v>0</v>
      </c>
      <c r="R85" s="17"/>
      <c r="S85" s="7">
        <v>2024</v>
      </c>
      <c r="T85" s="21">
        <v>50</v>
      </c>
      <c r="U85" s="17"/>
      <c r="V85" s="7">
        <v>2024</v>
      </c>
      <c r="W85" s="84">
        <v>0</v>
      </c>
      <c r="X85" s="83"/>
      <c r="Y85" s="7">
        <v>2024</v>
      </c>
      <c r="Z85" s="14">
        <v>0</v>
      </c>
      <c r="AA85" s="23"/>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821</v>
      </c>
      <c r="X91" s="309"/>
      <c r="Y91" s="7" t="s">
        <v>30</v>
      </c>
      <c r="Z91" s="310" t="s">
        <v>294</v>
      </c>
      <c r="AA91" s="310"/>
      <c r="AB91" s="7" t="s">
        <v>30</v>
      </c>
      <c r="AC91" s="310" t="s">
        <v>295</v>
      </c>
      <c r="AD91" s="310"/>
      <c r="AE91" s="7" t="s">
        <v>30</v>
      </c>
      <c r="AF91" s="271" t="s">
        <v>296</v>
      </c>
      <c r="AG91" s="272"/>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52.458333333333329</v>
      </c>
      <c r="C94" s="15"/>
      <c r="D94" s="7">
        <v>2020</v>
      </c>
      <c r="E94" s="21">
        <v>50</v>
      </c>
      <c r="F94" s="23" t="s">
        <v>822</v>
      </c>
      <c r="G94" s="7">
        <v>2020</v>
      </c>
      <c r="H94" s="31">
        <f t="shared" ref="H94:H98" si="10">AVERAGE(K94,N94,Q94,T94)</f>
        <v>12.5</v>
      </c>
      <c r="I94" s="14"/>
      <c r="J94" s="7">
        <v>2020</v>
      </c>
      <c r="K94" s="14">
        <v>50</v>
      </c>
      <c r="L94" s="23" t="s">
        <v>822</v>
      </c>
      <c r="M94" s="7">
        <v>2020</v>
      </c>
      <c r="N94" s="14">
        <v>0</v>
      </c>
      <c r="O94" s="23" t="s">
        <v>823</v>
      </c>
      <c r="P94" s="7">
        <v>2020</v>
      </c>
      <c r="Q94" s="21">
        <v>0</v>
      </c>
      <c r="R94" s="23" t="s">
        <v>823</v>
      </c>
      <c r="S94" s="7">
        <v>2020</v>
      </c>
      <c r="T94" s="14">
        <v>0</v>
      </c>
      <c r="U94" s="23" t="s">
        <v>823</v>
      </c>
      <c r="V94" s="7">
        <v>2020</v>
      </c>
      <c r="W94" s="34">
        <v>75</v>
      </c>
      <c r="X94" s="19" t="s">
        <v>824</v>
      </c>
      <c r="Y94" s="7">
        <v>2020</v>
      </c>
      <c r="Z94" s="14">
        <v>50</v>
      </c>
      <c r="AA94" s="17" t="s">
        <v>825</v>
      </c>
      <c r="AB94" s="7">
        <v>2020</v>
      </c>
      <c r="AC94" s="34">
        <v>67</v>
      </c>
      <c r="AD94" s="35" t="s">
        <v>826</v>
      </c>
      <c r="AE94" s="7">
        <v>2020</v>
      </c>
      <c r="AF94" s="34">
        <v>100</v>
      </c>
      <c r="AG94" s="86" t="s">
        <v>827</v>
      </c>
    </row>
    <row r="95" spans="1:33" ht="24.75" customHeight="1">
      <c r="A95" s="7">
        <v>2021</v>
      </c>
      <c r="B95" s="15">
        <f>AVERAGE(E95,H95, W95,((Z95+AC95+AF95)/3))</f>
        <v>52.458333333333329</v>
      </c>
      <c r="C95" s="15"/>
      <c r="D95" s="7">
        <v>2021</v>
      </c>
      <c r="E95" s="21">
        <v>50</v>
      </c>
      <c r="F95" s="17"/>
      <c r="G95" s="7">
        <v>2021</v>
      </c>
      <c r="H95" s="31">
        <f t="shared" si="10"/>
        <v>12.5</v>
      </c>
      <c r="I95" s="14"/>
      <c r="J95" s="7">
        <v>2021</v>
      </c>
      <c r="K95" s="14">
        <v>50</v>
      </c>
      <c r="L95" s="17"/>
      <c r="M95" s="7">
        <v>2021</v>
      </c>
      <c r="N95" s="14">
        <v>0</v>
      </c>
      <c r="O95" s="17"/>
      <c r="P95" s="7">
        <v>2021</v>
      </c>
      <c r="Q95" s="21">
        <v>0</v>
      </c>
      <c r="R95" s="17"/>
      <c r="S95" s="7">
        <v>2021</v>
      </c>
      <c r="T95" s="14">
        <v>0</v>
      </c>
      <c r="U95" s="17"/>
      <c r="V95" s="7">
        <v>2021</v>
      </c>
      <c r="W95" s="34">
        <v>75</v>
      </c>
      <c r="X95" s="19"/>
      <c r="Y95" s="7">
        <v>2021</v>
      </c>
      <c r="Z95" s="14">
        <v>50</v>
      </c>
      <c r="AA95" s="17"/>
      <c r="AB95" s="7">
        <v>2021</v>
      </c>
      <c r="AC95" s="34">
        <v>67</v>
      </c>
      <c r="AD95" s="19"/>
      <c r="AE95" s="7">
        <v>2021</v>
      </c>
      <c r="AF95" s="34">
        <v>100</v>
      </c>
      <c r="AG95" s="86"/>
    </row>
    <row r="96" spans="1:33" ht="24.75" customHeight="1">
      <c r="A96" s="7">
        <v>2022</v>
      </c>
      <c r="B96" s="15">
        <f>AVERAGE(E96,H96, W96,((Z96+AC96+AF96)/3))</f>
        <v>52.458333333333329</v>
      </c>
      <c r="C96" s="15"/>
      <c r="D96" s="7">
        <v>2022</v>
      </c>
      <c r="E96" s="21">
        <v>50</v>
      </c>
      <c r="F96" s="17"/>
      <c r="G96" s="7">
        <v>2022</v>
      </c>
      <c r="H96" s="31">
        <f t="shared" si="10"/>
        <v>12.5</v>
      </c>
      <c r="I96" s="14"/>
      <c r="J96" s="7">
        <v>2022</v>
      </c>
      <c r="K96" s="14">
        <v>50</v>
      </c>
      <c r="L96" s="17"/>
      <c r="M96" s="7">
        <v>2022</v>
      </c>
      <c r="N96" s="14">
        <v>0</v>
      </c>
      <c r="O96" s="17"/>
      <c r="P96" s="7">
        <v>2022</v>
      </c>
      <c r="Q96" s="21">
        <v>0</v>
      </c>
      <c r="R96" s="17"/>
      <c r="S96" s="7">
        <v>2022</v>
      </c>
      <c r="T96" s="14">
        <v>0</v>
      </c>
      <c r="U96" s="17"/>
      <c r="V96" s="7">
        <v>2022</v>
      </c>
      <c r="W96" s="34">
        <v>75</v>
      </c>
      <c r="X96" s="19"/>
      <c r="Y96" s="7">
        <v>2022</v>
      </c>
      <c r="Z96" s="14">
        <v>50</v>
      </c>
      <c r="AA96" s="17"/>
      <c r="AB96" s="7">
        <v>2022</v>
      </c>
      <c r="AC96" s="34">
        <v>67</v>
      </c>
      <c r="AD96" s="19"/>
      <c r="AE96" s="7">
        <v>2022</v>
      </c>
      <c r="AF96" s="34">
        <v>100</v>
      </c>
      <c r="AG96" s="86"/>
    </row>
    <row r="97" spans="1:51" ht="24.75" customHeight="1">
      <c r="A97" s="7">
        <v>2023</v>
      </c>
      <c r="B97" s="15">
        <f>AVERAGE(E97,H97, W97,((Z97+AC97+AF97)/3))</f>
        <v>52.458333333333329</v>
      </c>
      <c r="C97" s="15"/>
      <c r="D97" s="7">
        <v>2023</v>
      </c>
      <c r="E97" s="21">
        <v>50</v>
      </c>
      <c r="F97" s="17"/>
      <c r="G97" s="7">
        <v>2023</v>
      </c>
      <c r="H97" s="31">
        <f t="shared" si="10"/>
        <v>12.5</v>
      </c>
      <c r="I97" s="14"/>
      <c r="J97" s="7">
        <v>2023</v>
      </c>
      <c r="K97" s="14">
        <v>50</v>
      </c>
      <c r="L97" s="17"/>
      <c r="M97" s="7">
        <v>2023</v>
      </c>
      <c r="N97" s="14">
        <v>0</v>
      </c>
      <c r="O97" s="17"/>
      <c r="P97" s="7">
        <v>2023</v>
      </c>
      <c r="Q97" s="21">
        <v>0</v>
      </c>
      <c r="R97" s="17"/>
      <c r="S97" s="7">
        <v>2023</v>
      </c>
      <c r="T97" s="14">
        <v>0</v>
      </c>
      <c r="U97" s="17"/>
      <c r="V97" s="7">
        <v>2023</v>
      </c>
      <c r="W97" s="34">
        <v>75</v>
      </c>
      <c r="X97" s="19"/>
      <c r="Y97" s="7">
        <v>2023</v>
      </c>
      <c r="Z97" s="14">
        <v>50</v>
      </c>
      <c r="AA97" s="17"/>
      <c r="AB97" s="7">
        <v>2023</v>
      </c>
      <c r="AC97" s="34">
        <v>67</v>
      </c>
      <c r="AD97" s="19"/>
      <c r="AE97" s="7">
        <v>2023</v>
      </c>
      <c r="AF97" s="34">
        <v>100</v>
      </c>
      <c r="AG97" s="86"/>
    </row>
    <row r="98" spans="1:51" ht="24.75" customHeight="1">
      <c r="A98" s="7">
        <v>2024</v>
      </c>
      <c r="B98" s="15">
        <f>AVERAGE(E98,H98, W98,((Z98+AC98+AF98)/3))</f>
        <v>52.458333333333329</v>
      </c>
      <c r="C98" s="15"/>
      <c r="D98" s="7">
        <v>2024</v>
      </c>
      <c r="E98" s="21">
        <v>50</v>
      </c>
      <c r="F98" s="17"/>
      <c r="G98" s="7">
        <v>2024</v>
      </c>
      <c r="H98" s="31">
        <f t="shared" si="10"/>
        <v>12.5</v>
      </c>
      <c r="I98" s="14"/>
      <c r="J98" s="7">
        <v>2024</v>
      </c>
      <c r="K98" s="14">
        <v>50</v>
      </c>
      <c r="L98" s="17"/>
      <c r="M98" s="7">
        <v>2024</v>
      </c>
      <c r="N98" s="14">
        <v>0</v>
      </c>
      <c r="O98" s="17"/>
      <c r="P98" s="7">
        <v>2024</v>
      </c>
      <c r="Q98" s="21">
        <v>0</v>
      </c>
      <c r="R98" s="17"/>
      <c r="S98" s="7">
        <v>2024</v>
      </c>
      <c r="T98" s="14">
        <v>0</v>
      </c>
      <c r="U98" s="17"/>
      <c r="V98" s="7">
        <v>2024</v>
      </c>
      <c r="W98" s="34">
        <v>75</v>
      </c>
      <c r="X98" s="19"/>
      <c r="Y98" s="7">
        <v>2024</v>
      </c>
      <c r="Z98" s="14">
        <v>50</v>
      </c>
      <c r="AA98" s="17"/>
      <c r="AB98" s="7">
        <v>2024</v>
      </c>
      <c r="AC98" s="34">
        <v>67</v>
      </c>
      <c r="AD98" s="19"/>
      <c r="AE98" s="7">
        <v>2024</v>
      </c>
      <c r="AF98" s="34">
        <v>100</v>
      </c>
      <c r="AG98" s="86"/>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33.416666666666671</v>
      </c>
      <c r="C107" s="43"/>
      <c r="D107" s="27">
        <v>2020</v>
      </c>
      <c r="E107" s="14">
        <v>50</v>
      </c>
      <c r="F107" s="23" t="s">
        <v>828</v>
      </c>
      <c r="G107" s="7">
        <v>2020</v>
      </c>
      <c r="H107" s="44">
        <v>50</v>
      </c>
      <c r="I107" s="23" t="s">
        <v>829</v>
      </c>
      <c r="J107" s="27">
        <v>2020</v>
      </c>
      <c r="K107" s="74">
        <v>50</v>
      </c>
      <c r="L107" s="23" t="s">
        <v>830</v>
      </c>
      <c r="M107" s="7">
        <v>2020</v>
      </c>
      <c r="N107" s="84">
        <v>0</v>
      </c>
      <c r="O107" s="86" t="s">
        <v>831</v>
      </c>
      <c r="P107" s="27">
        <v>2020</v>
      </c>
      <c r="Q107" s="34">
        <v>100</v>
      </c>
      <c r="R107" s="86" t="s">
        <v>832</v>
      </c>
      <c r="S107" s="7">
        <v>2020</v>
      </c>
      <c r="T107" s="21">
        <v>0</v>
      </c>
      <c r="U107" s="23" t="s">
        <v>833</v>
      </c>
      <c r="V107" s="7">
        <v>2020</v>
      </c>
      <c r="W107" s="14">
        <v>67</v>
      </c>
      <c r="X107" s="23" t="s">
        <v>834</v>
      </c>
      <c r="Y107" s="7">
        <v>2020</v>
      </c>
      <c r="Z107" s="34">
        <v>67</v>
      </c>
      <c r="AA107" s="86" t="s">
        <v>835</v>
      </c>
      <c r="AB107" s="7">
        <v>2020</v>
      </c>
      <c r="AC107" s="84">
        <v>0</v>
      </c>
      <c r="AD107" s="86" t="s">
        <v>836</v>
      </c>
      <c r="AE107" s="7">
        <v>2020</v>
      </c>
      <c r="AF107" s="34">
        <v>0</v>
      </c>
      <c r="AG107" s="86" t="s">
        <v>837</v>
      </c>
      <c r="AH107" s="7">
        <v>2020</v>
      </c>
      <c r="AI107" s="21">
        <v>50</v>
      </c>
      <c r="AJ107" s="23" t="s">
        <v>838</v>
      </c>
      <c r="AK107" s="7">
        <v>2020</v>
      </c>
      <c r="AL107" s="47">
        <v>0</v>
      </c>
      <c r="AM107" s="86"/>
      <c r="AN107" s="40"/>
      <c r="AO107" s="40"/>
      <c r="AP107" s="40"/>
      <c r="AQ107" s="40"/>
      <c r="AR107" s="40"/>
      <c r="AS107" s="40"/>
      <c r="AT107" s="40"/>
      <c r="AU107" s="40"/>
      <c r="AV107" s="40"/>
      <c r="AW107" s="40"/>
      <c r="AX107" s="40"/>
      <c r="AY107" s="40"/>
    </row>
    <row r="108" spans="1:51" s="38" customFormat="1" ht="24.75" customHeight="1">
      <c r="A108" s="27">
        <v>2021</v>
      </c>
      <c r="B108" s="42">
        <f t="shared" ref="B108:B111" si="11">AVERAGE((E108+K108+Q108)/3+(H108+N108+T108)/3+W108+Z108+AC108+AF108+AI108+AL108)/8</f>
        <v>33.416666666666671</v>
      </c>
      <c r="C108" s="49"/>
      <c r="D108" s="27">
        <v>2021</v>
      </c>
      <c r="E108" s="14">
        <v>50</v>
      </c>
      <c r="F108" s="23"/>
      <c r="G108" s="7">
        <v>2021</v>
      </c>
      <c r="H108" s="44">
        <v>50</v>
      </c>
      <c r="I108" s="23"/>
      <c r="J108" s="27">
        <v>2021</v>
      </c>
      <c r="K108" s="74">
        <v>50</v>
      </c>
      <c r="L108" s="23"/>
      <c r="M108" s="7">
        <v>2021</v>
      </c>
      <c r="N108" s="84">
        <v>0</v>
      </c>
      <c r="O108" s="86"/>
      <c r="P108" s="27">
        <v>2021</v>
      </c>
      <c r="Q108" s="34">
        <v>100</v>
      </c>
      <c r="R108" s="86"/>
      <c r="S108" s="7">
        <v>2021</v>
      </c>
      <c r="T108" s="21">
        <v>0</v>
      </c>
      <c r="U108" s="23"/>
      <c r="V108" s="7">
        <v>2021</v>
      </c>
      <c r="W108" s="14">
        <v>67</v>
      </c>
      <c r="X108" s="23"/>
      <c r="Y108" s="7">
        <v>2021</v>
      </c>
      <c r="Z108" s="34">
        <v>67</v>
      </c>
      <c r="AA108" s="86"/>
      <c r="AB108" s="7">
        <v>2021</v>
      </c>
      <c r="AC108" s="84">
        <v>0</v>
      </c>
      <c r="AD108" s="86"/>
      <c r="AE108" s="7">
        <v>2021</v>
      </c>
      <c r="AF108" s="34">
        <v>0</v>
      </c>
      <c r="AG108" s="86"/>
      <c r="AH108" s="7">
        <v>2021</v>
      </c>
      <c r="AI108" s="21">
        <v>50</v>
      </c>
      <c r="AJ108" s="23"/>
      <c r="AK108" s="7">
        <v>2021</v>
      </c>
      <c r="AL108" s="47">
        <v>0</v>
      </c>
      <c r="AM108" s="86"/>
      <c r="AN108" s="40"/>
      <c r="AO108" s="40"/>
      <c r="AP108" s="40"/>
      <c r="AQ108" s="40"/>
      <c r="AR108" s="40"/>
      <c r="AS108" s="40"/>
      <c r="AT108" s="40"/>
      <c r="AU108" s="40"/>
      <c r="AV108" s="40"/>
      <c r="AW108" s="40"/>
      <c r="AX108" s="40"/>
      <c r="AY108" s="40"/>
    </row>
    <row r="109" spans="1:51" s="38" customFormat="1" ht="24.75" customHeight="1">
      <c r="A109" s="27">
        <v>2022</v>
      </c>
      <c r="B109" s="42">
        <f t="shared" si="11"/>
        <v>39.666666666666671</v>
      </c>
      <c r="C109" s="49"/>
      <c r="D109" s="27">
        <v>2022</v>
      </c>
      <c r="E109" s="14">
        <v>50</v>
      </c>
      <c r="F109" s="23"/>
      <c r="G109" s="27">
        <v>2022</v>
      </c>
      <c r="H109" s="44">
        <v>50</v>
      </c>
      <c r="I109" s="23"/>
      <c r="J109" s="27">
        <v>2022</v>
      </c>
      <c r="K109" s="74">
        <v>50</v>
      </c>
      <c r="L109" s="23" t="s">
        <v>839</v>
      </c>
      <c r="M109" s="27">
        <v>2022</v>
      </c>
      <c r="N109" s="84">
        <v>0</v>
      </c>
      <c r="O109" s="86" t="s">
        <v>840</v>
      </c>
      <c r="P109" s="27">
        <v>2022</v>
      </c>
      <c r="Q109" s="34">
        <v>100</v>
      </c>
      <c r="R109" s="86"/>
      <c r="S109" s="27">
        <v>2022</v>
      </c>
      <c r="T109" s="21">
        <v>0</v>
      </c>
      <c r="U109" s="23"/>
      <c r="V109" s="27">
        <v>2022</v>
      </c>
      <c r="W109" s="14">
        <v>67</v>
      </c>
      <c r="X109" s="23"/>
      <c r="Y109" s="27">
        <v>2022</v>
      </c>
      <c r="Z109" s="34">
        <v>67</v>
      </c>
      <c r="AA109" s="86"/>
      <c r="AB109" s="27">
        <v>2022</v>
      </c>
      <c r="AC109" s="84">
        <v>0</v>
      </c>
      <c r="AD109" s="86"/>
      <c r="AE109" s="27">
        <v>2022</v>
      </c>
      <c r="AF109" s="34">
        <v>0</v>
      </c>
      <c r="AG109" s="86"/>
      <c r="AH109" s="27">
        <v>2022</v>
      </c>
      <c r="AI109" s="21">
        <v>50</v>
      </c>
      <c r="AJ109" s="23" t="s">
        <v>841</v>
      </c>
      <c r="AK109" s="27">
        <v>2022</v>
      </c>
      <c r="AL109" s="47">
        <v>50</v>
      </c>
      <c r="AM109" s="86" t="s">
        <v>842</v>
      </c>
      <c r="AN109" s="40"/>
      <c r="AO109" s="40"/>
      <c r="AP109" s="40"/>
      <c r="AQ109" s="40"/>
      <c r="AR109" s="40"/>
      <c r="AS109" s="40"/>
      <c r="AT109" s="40"/>
      <c r="AU109" s="40"/>
      <c r="AV109" s="40"/>
      <c r="AW109" s="40"/>
      <c r="AX109" s="40"/>
      <c r="AY109" s="40"/>
    </row>
    <row r="110" spans="1:51" ht="24" customHeight="1">
      <c r="A110" s="27">
        <v>2023</v>
      </c>
      <c r="B110" s="42">
        <f t="shared" si="11"/>
        <v>39.666666666666671</v>
      </c>
      <c r="C110" s="49"/>
      <c r="D110" s="27">
        <v>2023</v>
      </c>
      <c r="E110" s="14">
        <v>50</v>
      </c>
      <c r="F110" s="23"/>
      <c r="G110" s="27">
        <v>2023</v>
      </c>
      <c r="H110" s="44">
        <v>50</v>
      </c>
      <c r="I110" s="23"/>
      <c r="J110" s="27">
        <v>2023</v>
      </c>
      <c r="K110" s="74">
        <v>50</v>
      </c>
      <c r="L110" s="23"/>
      <c r="M110" s="27">
        <v>2023</v>
      </c>
      <c r="N110" s="84">
        <v>0</v>
      </c>
      <c r="O110" s="86"/>
      <c r="P110" s="27">
        <v>2023</v>
      </c>
      <c r="Q110" s="34">
        <v>100</v>
      </c>
      <c r="R110" s="86"/>
      <c r="S110" s="27">
        <v>2023</v>
      </c>
      <c r="T110" s="21">
        <v>0</v>
      </c>
      <c r="U110" s="23"/>
      <c r="V110" s="27">
        <v>2023</v>
      </c>
      <c r="W110" s="14">
        <v>67</v>
      </c>
      <c r="X110" s="23"/>
      <c r="Y110" s="27">
        <v>2023</v>
      </c>
      <c r="Z110" s="34">
        <v>67</v>
      </c>
      <c r="AA110" s="86"/>
      <c r="AB110" s="27">
        <v>2023</v>
      </c>
      <c r="AC110" s="84">
        <v>0</v>
      </c>
      <c r="AD110" s="86"/>
      <c r="AE110" s="27">
        <v>2023</v>
      </c>
      <c r="AF110" s="34">
        <v>0</v>
      </c>
      <c r="AG110" s="86"/>
      <c r="AH110" s="27">
        <v>2023</v>
      </c>
      <c r="AI110" s="21">
        <v>50</v>
      </c>
      <c r="AJ110" s="23"/>
      <c r="AK110" s="27">
        <v>2023</v>
      </c>
      <c r="AL110" s="47">
        <v>50</v>
      </c>
      <c r="AM110" s="86"/>
    </row>
    <row r="111" spans="1:51" ht="22.5" customHeight="1">
      <c r="A111" s="27">
        <v>2024</v>
      </c>
      <c r="B111" s="42">
        <f t="shared" si="11"/>
        <v>39.666666666666671</v>
      </c>
      <c r="C111" s="49"/>
      <c r="D111" s="27">
        <v>2024</v>
      </c>
      <c r="E111" s="14">
        <v>50</v>
      </c>
      <c r="F111" s="23"/>
      <c r="G111" s="27">
        <v>2024</v>
      </c>
      <c r="H111" s="44">
        <v>50</v>
      </c>
      <c r="I111" s="23"/>
      <c r="J111" s="27">
        <v>2024</v>
      </c>
      <c r="K111" s="74">
        <v>50</v>
      </c>
      <c r="L111" s="23"/>
      <c r="M111" s="27">
        <v>2024</v>
      </c>
      <c r="N111" s="84">
        <v>0</v>
      </c>
      <c r="O111" s="86"/>
      <c r="P111" s="27">
        <v>2024</v>
      </c>
      <c r="Q111" s="34">
        <v>100</v>
      </c>
      <c r="R111" s="86"/>
      <c r="S111" s="27">
        <v>2024</v>
      </c>
      <c r="T111" s="21">
        <v>0</v>
      </c>
      <c r="U111" s="23"/>
      <c r="V111" s="27">
        <v>2024</v>
      </c>
      <c r="W111" s="14">
        <v>67</v>
      </c>
      <c r="X111" s="23"/>
      <c r="Y111" s="27">
        <v>2024</v>
      </c>
      <c r="Z111" s="34">
        <v>67</v>
      </c>
      <c r="AA111" s="86"/>
      <c r="AB111" s="27">
        <v>2024</v>
      </c>
      <c r="AC111" s="84">
        <v>0</v>
      </c>
      <c r="AD111" s="86"/>
      <c r="AE111" s="27">
        <v>2024</v>
      </c>
      <c r="AF111" s="34">
        <v>0</v>
      </c>
      <c r="AG111" s="86"/>
      <c r="AH111" s="27">
        <v>2024</v>
      </c>
      <c r="AI111" s="21">
        <v>50</v>
      </c>
      <c r="AJ111" s="23"/>
      <c r="AK111" s="27">
        <v>2024</v>
      </c>
      <c r="AL111" s="47">
        <v>50</v>
      </c>
      <c r="AM111" s="86"/>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6767-6728-4B76-B679-6C74A347BD4E}">
  <dimension ref="A1:CC111"/>
  <sheetViews>
    <sheetView topLeftCell="A22" zoomScale="56" zoomScaleNormal="40" workbookViewId="0">
      <selection activeCell="I18" sqref="I18"/>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49.75" customHeight="1">
      <c r="A1" s="323" t="s">
        <v>0</v>
      </c>
      <c r="B1" s="323"/>
      <c r="C1" s="323"/>
      <c r="D1" s="323"/>
    </row>
    <row r="2" spans="1:81" ht="51" customHeight="1">
      <c r="A2" s="2" t="s">
        <v>1</v>
      </c>
      <c r="B2" s="2" t="s">
        <v>2</v>
      </c>
      <c r="C2" s="2" t="s">
        <v>3</v>
      </c>
      <c r="D2" s="2" t="s">
        <v>4</v>
      </c>
    </row>
    <row r="3" spans="1:81" ht="15" customHeight="1">
      <c r="A3" s="3">
        <v>2020</v>
      </c>
      <c r="B3" s="16">
        <f>AVERAGE(B16,B29,B42,B55,B68,B81,B94,B107)</f>
        <v>59.784722222222221</v>
      </c>
      <c r="C3" s="16">
        <f>AVERAGE(B16,B29,B42,B55,B68,B81,B94)</f>
        <v>57.611111111111107</v>
      </c>
      <c r="D3" s="16">
        <f>AVERAGE(B16,B29,B55,B68,B81,B94)</f>
        <v>58.879629629629626</v>
      </c>
    </row>
    <row r="4" spans="1:81" ht="15" customHeight="1">
      <c r="A4" s="3">
        <v>2021</v>
      </c>
      <c r="B4" s="16">
        <f t="shared" ref="B4:B7" si="0">AVERAGE(B17,B30,B43,B56,B69,B82,B95,B108)</f>
        <v>59.784722222222221</v>
      </c>
      <c r="C4" s="16">
        <f t="shared" ref="C4:C7" si="1">AVERAGE(B17,B30,B43,B56,B69,B82,B95)</f>
        <v>57.611111111111107</v>
      </c>
      <c r="D4" s="16">
        <f t="shared" ref="D4:D7" si="2">AVERAGE(B17,B30,B56,B69,B82,B95)</f>
        <v>58.879629629629626</v>
      </c>
    </row>
    <row r="5" spans="1:81" ht="15" customHeight="1">
      <c r="A5" s="3">
        <v>2022</v>
      </c>
      <c r="B5" s="16">
        <f t="shared" si="0"/>
        <v>64.342013888888886</v>
      </c>
      <c r="C5" s="16">
        <f t="shared" si="1"/>
        <v>62.819444444444443</v>
      </c>
      <c r="D5" s="16">
        <f t="shared" si="2"/>
        <v>64.956018518518519</v>
      </c>
    </row>
    <row r="6" spans="1:81" ht="15" customHeight="1">
      <c r="A6" s="3">
        <v>2023</v>
      </c>
      <c r="B6" s="16">
        <f t="shared" si="0"/>
        <v>64.342013888888886</v>
      </c>
      <c r="C6" s="16">
        <f t="shared" si="1"/>
        <v>62.819444444444443</v>
      </c>
      <c r="D6" s="16">
        <f t="shared" si="2"/>
        <v>64.956018518518519</v>
      </c>
    </row>
    <row r="7" spans="1:81" ht="15" customHeight="1">
      <c r="A7" s="3">
        <v>2024</v>
      </c>
      <c r="B7" s="16">
        <f t="shared" si="0"/>
        <v>64.342013888888886</v>
      </c>
      <c r="C7" s="16">
        <f t="shared" si="1"/>
        <v>62.819444444444443</v>
      </c>
      <c r="D7" s="16">
        <f t="shared" si="2"/>
        <v>64.956018518518519</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66.666666666666671</v>
      </c>
      <c r="C16" s="16"/>
      <c r="D16" s="7">
        <v>2020</v>
      </c>
      <c r="E16" s="14">
        <v>100</v>
      </c>
      <c r="F16" s="81" t="s">
        <v>883</v>
      </c>
      <c r="G16" s="7">
        <v>2020</v>
      </c>
      <c r="H16" s="14">
        <v>50</v>
      </c>
      <c r="I16" s="17" t="s">
        <v>884</v>
      </c>
      <c r="J16" s="7">
        <v>2020</v>
      </c>
      <c r="K16" s="14">
        <v>100</v>
      </c>
      <c r="L16" s="81" t="s">
        <v>883</v>
      </c>
      <c r="M16" s="7">
        <v>2020</v>
      </c>
      <c r="N16" s="14">
        <v>100</v>
      </c>
      <c r="O16" s="81" t="s">
        <v>885</v>
      </c>
      <c r="P16" s="7">
        <v>2020</v>
      </c>
      <c r="Q16" s="14">
        <v>100</v>
      </c>
      <c r="R16" s="81" t="s">
        <v>886</v>
      </c>
      <c r="S16" s="7">
        <v>2020</v>
      </c>
      <c r="T16" s="80">
        <v>50</v>
      </c>
      <c r="U16" s="23" t="s">
        <v>887</v>
      </c>
      <c r="V16" s="7">
        <v>2020</v>
      </c>
      <c r="W16" s="14">
        <v>0</v>
      </c>
      <c r="X16" s="153" t="s">
        <v>888</v>
      </c>
      <c r="Y16" s="7">
        <v>2020</v>
      </c>
      <c r="Z16" s="14">
        <v>0</v>
      </c>
      <c r="AA16" s="17" t="s">
        <v>889</v>
      </c>
      <c r="AB16" s="7">
        <v>2020</v>
      </c>
      <c r="AC16" s="21">
        <v>100</v>
      </c>
      <c r="AD16" s="153" t="s">
        <v>883</v>
      </c>
    </row>
    <row r="17" spans="1:51" ht="24.75" customHeight="1">
      <c r="A17" s="7">
        <v>2021</v>
      </c>
      <c r="B17" s="15">
        <f>AVERAGE(E17, H17,K17,N17,Q17,T17,W17,Z17,AC17)</f>
        <v>66.666666666666671</v>
      </c>
      <c r="C17" s="16"/>
      <c r="D17" s="7">
        <v>2021</v>
      </c>
      <c r="E17" s="14">
        <v>100</v>
      </c>
      <c r="F17" s="81" t="s">
        <v>883</v>
      </c>
      <c r="G17" s="7">
        <v>2021</v>
      </c>
      <c r="H17" s="14">
        <v>50</v>
      </c>
      <c r="I17" s="17" t="s">
        <v>884</v>
      </c>
      <c r="J17" s="7">
        <v>2021</v>
      </c>
      <c r="K17" s="14">
        <v>100</v>
      </c>
      <c r="L17" s="81" t="s">
        <v>883</v>
      </c>
      <c r="M17" s="7">
        <v>2021</v>
      </c>
      <c r="N17" s="14">
        <v>100</v>
      </c>
      <c r="O17" s="81" t="s">
        <v>885</v>
      </c>
      <c r="P17" s="7">
        <v>2021</v>
      </c>
      <c r="Q17" s="14">
        <v>100</v>
      </c>
      <c r="R17" s="81" t="s">
        <v>886</v>
      </c>
      <c r="S17" s="7">
        <v>2021</v>
      </c>
      <c r="T17" s="80">
        <v>50</v>
      </c>
      <c r="U17" s="23" t="s">
        <v>887</v>
      </c>
      <c r="V17" s="7">
        <v>2021</v>
      </c>
      <c r="W17" s="14">
        <v>0</v>
      </c>
      <c r="X17" s="153" t="s">
        <v>888</v>
      </c>
      <c r="Y17" s="7">
        <v>2021</v>
      </c>
      <c r="Z17" s="14">
        <v>0</v>
      </c>
      <c r="AA17" s="17" t="s">
        <v>889</v>
      </c>
      <c r="AB17" s="7">
        <v>2021</v>
      </c>
      <c r="AC17" s="21">
        <v>100</v>
      </c>
      <c r="AD17" s="153" t="s">
        <v>883</v>
      </c>
    </row>
    <row r="18" spans="1:51" ht="24.75" customHeight="1">
      <c r="A18" s="7">
        <v>2022</v>
      </c>
      <c r="B18" s="15">
        <f t="shared" si="3"/>
        <v>66.666666666666671</v>
      </c>
      <c r="C18" s="16"/>
      <c r="D18" s="7">
        <v>2022</v>
      </c>
      <c r="E18" s="14">
        <v>100</v>
      </c>
      <c r="F18" s="81" t="s">
        <v>883</v>
      </c>
      <c r="G18" s="7">
        <v>2022</v>
      </c>
      <c r="H18" s="14">
        <v>50</v>
      </c>
      <c r="I18" s="17" t="s">
        <v>884</v>
      </c>
      <c r="J18" s="7">
        <v>2022</v>
      </c>
      <c r="K18" s="14">
        <v>100</v>
      </c>
      <c r="L18" s="81" t="s">
        <v>883</v>
      </c>
      <c r="M18" s="7">
        <v>2022</v>
      </c>
      <c r="N18" s="14">
        <v>100</v>
      </c>
      <c r="O18" s="81" t="s">
        <v>885</v>
      </c>
      <c r="P18" s="7">
        <v>2022</v>
      </c>
      <c r="Q18" s="14">
        <v>100</v>
      </c>
      <c r="R18" s="81" t="s">
        <v>886</v>
      </c>
      <c r="S18" s="7">
        <v>2022</v>
      </c>
      <c r="T18" s="80">
        <v>50</v>
      </c>
      <c r="U18" s="23" t="s">
        <v>887</v>
      </c>
      <c r="V18" s="7">
        <v>2022</v>
      </c>
      <c r="W18" s="14">
        <v>0</v>
      </c>
      <c r="X18" s="153" t="s">
        <v>888</v>
      </c>
      <c r="Y18" s="7">
        <v>2022</v>
      </c>
      <c r="Z18" s="14">
        <v>0</v>
      </c>
      <c r="AA18" s="17" t="s">
        <v>889</v>
      </c>
      <c r="AB18" s="7">
        <v>2022</v>
      </c>
      <c r="AC18" s="21">
        <v>100</v>
      </c>
      <c r="AD18" s="153" t="s">
        <v>883</v>
      </c>
    </row>
    <row r="19" spans="1:51" ht="24.75" customHeight="1">
      <c r="A19" s="7">
        <v>2023</v>
      </c>
      <c r="B19" s="15">
        <f t="shared" si="3"/>
        <v>66.666666666666671</v>
      </c>
      <c r="C19" s="16"/>
      <c r="D19" s="7">
        <v>2023</v>
      </c>
      <c r="E19" s="14">
        <v>100</v>
      </c>
      <c r="F19" s="81" t="s">
        <v>883</v>
      </c>
      <c r="G19" s="7">
        <v>2023</v>
      </c>
      <c r="H19" s="14">
        <v>50</v>
      </c>
      <c r="I19" s="17" t="s">
        <v>884</v>
      </c>
      <c r="J19" s="7">
        <v>2023</v>
      </c>
      <c r="K19" s="14">
        <v>100</v>
      </c>
      <c r="L19" s="81" t="s">
        <v>883</v>
      </c>
      <c r="M19" s="7">
        <v>2023</v>
      </c>
      <c r="N19" s="14">
        <v>100</v>
      </c>
      <c r="O19" s="81" t="s">
        <v>885</v>
      </c>
      <c r="P19" s="7">
        <v>2023</v>
      </c>
      <c r="Q19" s="14">
        <v>100</v>
      </c>
      <c r="R19" s="81" t="s">
        <v>886</v>
      </c>
      <c r="S19" s="7">
        <v>2023</v>
      </c>
      <c r="T19" s="80">
        <v>50</v>
      </c>
      <c r="U19" s="23" t="s">
        <v>887</v>
      </c>
      <c r="V19" s="7">
        <v>2023</v>
      </c>
      <c r="W19" s="14">
        <v>0</v>
      </c>
      <c r="X19" s="153" t="s">
        <v>888</v>
      </c>
      <c r="Y19" s="7">
        <v>2023</v>
      </c>
      <c r="Z19" s="14">
        <v>0</v>
      </c>
      <c r="AA19" s="17" t="s">
        <v>889</v>
      </c>
      <c r="AB19" s="7">
        <v>2023</v>
      </c>
      <c r="AC19" s="21">
        <v>100</v>
      </c>
      <c r="AD19" s="153" t="s">
        <v>883</v>
      </c>
    </row>
    <row r="20" spans="1:51" ht="24.75" customHeight="1">
      <c r="A20" s="7">
        <v>2024</v>
      </c>
      <c r="B20" s="15">
        <f t="shared" si="3"/>
        <v>66.666666666666671</v>
      </c>
      <c r="C20" s="16"/>
      <c r="D20" s="7">
        <v>2024</v>
      </c>
      <c r="E20" s="14">
        <v>100</v>
      </c>
      <c r="F20" s="81" t="s">
        <v>883</v>
      </c>
      <c r="G20" s="7">
        <v>2024</v>
      </c>
      <c r="H20" s="14">
        <v>50</v>
      </c>
      <c r="I20" s="17" t="s">
        <v>884</v>
      </c>
      <c r="J20" s="7">
        <v>2024</v>
      </c>
      <c r="K20" s="14">
        <v>100</v>
      </c>
      <c r="L20" s="81" t="s">
        <v>883</v>
      </c>
      <c r="M20" s="7">
        <v>2024</v>
      </c>
      <c r="N20" s="14">
        <v>100</v>
      </c>
      <c r="O20" s="81" t="s">
        <v>885</v>
      </c>
      <c r="P20" s="7">
        <v>2024</v>
      </c>
      <c r="Q20" s="14">
        <v>100</v>
      </c>
      <c r="R20" s="81" t="s">
        <v>886</v>
      </c>
      <c r="S20" s="7">
        <v>2024</v>
      </c>
      <c r="T20" s="80">
        <v>50</v>
      </c>
      <c r="U20" s="23" t="s">
        <v>887</v>
      </c>
      <c r="V20" s="7">
        <v>2024</v>
      </c>
      <c r="W20" s="14">
        <v>0</v>
      </c>
      <c r="X20" s="153" t="s">
        <v>888</v>
      </c>
      <c r="Y20" s="7">
        <v>2024</v>
      </c>
      <c r="Z20" s="14">
        <v>0</v>
      </c>
      <c r="AA20" s="17" t="s">
        <v>889</v>
      </c>
      <c r="AB20" s="7">
        <v>2024</v>
      </c>
      <c r="AC20" s="21">
        <v>100</v>
      </c>
      <c r="AD20" s="153" t="s">
        <v>883</v>
      </c>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c r="L26" s="325"/>
      <c r="M26" s="27" t="s">
        <v>30</v>
      </c>
      <c r="N26" s="325" t="s">
        <v>96</v>
      </c>
      <c r="O26" s="325"/>
      <c r="P26" s="27" t="s">
        <v>30</v>
      </c>
      <c r="Q26" s="325" t="s">
        <v>97</v>
      </c>
      <c r="R26" s="325"/>
      <c r="S26" s="27" t="s">
        <v>30</v>
      </c>
      <c r="T26" s="325"/>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297" t="s">
        <v>108</v>
      </c>
      <c r="L27" s="298"/>
      <c r="M27" s="27" t="s">
        <v>41</v>
      </c>
      <c r="N27" s="325" t="s">
        <v>109</v>
      </c>
      <c r="O27" s="325"/>
      <c r="P27" s="27" t="s">
        <v>41</v>
      </c>
      <c r="Q27" s="325" t="s">
        <v>110</v>
      </c>
      <c r="R27" s="325"/>
      <c r="S27" s="27" t="s">
        <v>41</v>
      </c>
      <c r="T27" s="298" t="s">
        <v>111</v>
      </c>
      <c r="U27" s="298"/>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62.944444444444443</v>
      </c>
      <c r="C29" s="16"/>
      <c r="D29" s="7">
        <v>2020</v>
      </c>
      <c r="E29" s="47">
        <v>50</v>
      </c>
      <c r="F29" s="81" t="s">
        <v>890</v>
      </c>
      <c r="G29" s="7">
        <v>2020</v>
      </c>
      <c r="H29" s="34">
        <v>50</v>
      </c>
      <c r="I29" s="153" t="s">
        <v>891</v>
      </c>
      <c r="J29" s="7">
        <v>2020</v>
      </c>
      <c r="K29" s="14">
        <v>100</v>
      </c>
      <c r="L29" s="17"/>
      <c r="M29" s="7">
        <v>2020</v>
      </c>
      <c r="N29" s="14">
        <v>100</v>
      </c>
      <c r="O29" s="17" t="s">
        <v>892</v>
      </c>
      <c r="P29" s="7">
        <v>2020</v>
      </c>
      <c r="Q29" s="14">
        <v>100</v>
      </c>
      <c r="R29" s="17" t="s">
        <v>892</v>
      </c>
      <c r="S29" s="7">
        <v>2020</v>
      </c>
      <c r="T29" s="14">
        <v>100</v>
      </c>
      <c r="U29" s="17"/>
      <c r="V29" s="7">
        <v>2020</v>
      </c>
      <c r="W29" s="14">
        <v>100</v>
      </c>
      <c r="X29" s="17" t="s">
        <v>892</v>
      </c>
      <c r="Y29" s="7">
        <v>2020</v>
      </c>
      <c r="Z29" s="14">
        <v>100</v>
      </c>
      <c r="AA29" s="17" t="s">
        <v>892</v>
      </c>
      <c r="AB29" s="7">
        <v>2020</v>
      </c>
      <c r="AC29" s="14">
        <v>100</v>
      </c>
      <c r="AD29" s="17" t="s">
        <v>892</v>
      </c>
      <c r="AE29" s="7">
        <v>2020</v>
      </c>
      <c r="AF29" s="154">
        <f t="shared" ref="AF29:AF33" si="4">0.67*AI29+0.33*AL29</f>
        <v>16.5</v>
      </c>
      <c r="AG29" s="19"/>
      <c r="AH29" s="7">
        <v>2020</v>
      </c>
      <c r="AI29" s="14">
        <v>0</v>
      </c>
      <c r="AJ29" s="23" t="s">
        <v>893</v>
      </c>
      <c r="AK29" s="7">
        <v>2020</v>
      </c>
      <c r="AL29" s="14">
        <v>50</v>
      </c>
      <c r="AM29" s="23" t="s">
        <v>894</v>
      </c>
      <c r="AN29" s="7">
        <v>2020</v>
      </c>
      <c r="AO29" s="14">
        <v>100</v>
      </c>
      <c r="AP29" s="81" t="s">
        <v>895</v>
      </c>
      <c r="AQ29" s="7">
        <v>2020</v>
      </c>
      <c r="AR29" s="82">
        <v>0</v>
      </c>
      <c r="AS29" s="155" t="s">
        <v>896</v>
      </c>
      <c r="AT29" s="7">
        <v>2020</v>
      </c>
      <c r="AU29" s="21">
        <v>50</v>
      </c>
      <c r="AV29" s="153" t="s">
        <v>897</v>
      </c>
      <c r="AW29" s="7">
        <v>2020</v>
      </c>
      <c r="AX29" s="14">
        <v>100</v>
      </c>
      <c r="AY29" s="81" t="s">
        <v>883</v>
      </c>
    </row>
    <row r="30" spans="1:51" ht="24.75" customHeight="1">
      <c r="A30" s="7">
        <v>2021</v>
      </c>
      <c r="B30" s="15">
        <f>AVERAGE(E30,H30,K30,T30,AF30,AO30,AU30,AX30,AR30)</f>
        <v>62.944444444444443</v>
      </c>
      <c r="C30" s="15"/>
      <c r="D30" s="7">
        <v>2021</v>
      </c>
      <c r="E30" s="47">
        <v>50</v>
      </c>
      <c r="F30" s="81" t="s">
        <v>890</v>
      </c>
      <c r="G30" s="7">
        <v>2021</v>
      </c>
      <c r="H30" s="34">
        <v>50</v>
      </c>
      <c r="I30" s="153" t="s">
        <v>891</v>
      </c>
      <c r="J30" s="7">
        <v>2021</v>
      </c>
      <c r="K30" s="14">
        <v>100</v>
      </c>
      <c r="L30" s="17"/>
      <c r="M30" s="7">
        <v>2021</v>
      </c>
      <c r="N30" s="14">
        <v>100</v>
      </c>
      <c r="O30" s="17" t="s">
        <v>892</v>
      </c>
      <c r="P30" s="7">
        <v>2021</v>
      </c>
      <c r="Q30" s="14">
        <v>100</v>
      </c>
      <c r="R30" s="17" t="s">
        <v>892</v>
      </c>
      <c r="S30" s="7">
        <v>2021</v>
      </c>
      <c r="T30" s="14">
        <v>100</v>
      </c>
      <c r="U30" s="17"/>
      <c r="V30" s="7">
        <v>2021</v>
      </c>
      <c r="W30" s="14">
        <v>100</v>
      </c>
      <c r="X30" s="17" t="s">
        <v>892</v>
      </c>
      <c r="Y30" s="7">
        <v>2021</v>
      </c>
      <c r="Z30" s="14">
        <v>100</v>
      </c>
      <c r="AA30" s="17" t="s">
        <v>892</v>
      </c>
      <c r="AB30" s="7">
        <v>2021</v>
      </c>
      <c r="AC30" s="14">
        <v>100</v>
      </c>
      <c r="AD30" s="17" t="s">
        <v>892</v>
      </c>
      <c r="AE30" s="7">
        <v>2021</v>
      </c>
      <c r="AF30" s="154">
        <f t="shared" si="4"/>
        <v>16.5</v>
      </c>
      <c r="AG30" s="19"/>
      <c r="AH30" s="7">
        <v>2021</v>
      </c>
      <c r="AI30" s="14">
        <v>0</v>
      </c>
      <c r="AJ30" s="23" t="s">
        <v>898</v>
      </c>
      <c r="AK30" s="7">
        <v>2021</v>
      </c>
      <c r="AL30" s="14">
        <v>50</v>
      </c>
      <c r="AM30" s="23" t="s">
        <v>894</v>
      </c>
      <c r="AN30" s="7">
        <v>2021</v>
      </c>
      <c r="AO30" s="14">
        <v>100</v>
      </c>
      <c r="AP30" s="81" t="s">
        <v>895</v>
      </c>
      <c r="AQ30" s="7">
        <v>2021</v>
      </c>
      <c r="AR30" s="82">
        <v>0</v>
      </c>
      <c r="AS30" s="155" t="s">
        <v>896</v>
      </c>
      <c r="AT30" s="7">
        <v>2021</v>
      </c>
      <c r="AU30" s="21">
        <v>50</v>
      </c>
      <c r="AV30" s="153" t="s">
        <v>897</v>
      </c>
      <c r="AW30" s="7">
        <v>2021</v>
      </c>
      <c r="AX30" s="14">
        <v>100</v>
      </c>
      <c r="AY30" s="81" t="s">
        <v>883</v>
      </c>
    </row>
    <row r="31" spans="1:51" ht="24.75" customHeight="1">
      <c r="A31" s="7">
        <v>2022</v>
      </c>
      <c r="B31" s="156">
        <f>AVERAGE(E31,H31,K31,T31,AF31,AO31,AU31,AX31,AR31)</f>
        <v>62.944444444444443</v>
      </c>
      <c r="C31" s="15"/>
      <c r="D31" s="7">
        <v>2022</v>
      </c>
      <c r="E31" s="47">
        <v>50</v>
      </c>
      <c r="F31" s="81" t="s">
        <v>890</v>
      </c>
      <c r="G31" s="7">
        <v>2022</v>
      </c>
      <c r="H31" s="34">
        <v>50</v>
      </c>
      <c r="I31" s="153" t="s">
        <v>891</v>
      </c>
      <c r="J31" s="7">
        <v>2022</v>
      </c>
      <c r="K31" s="14">
        <v>100</v>
      </c>
      <c r="L31" s="17"/>
      <c r="M31" s="7">
        <v>2022</v>
      </c>
      <c r="N31" s="14">
        <v>100</v>
      </c>
      <c r="O31" s="17" t="s">
        <v>892</v>
      </c>
      <c r="P31" s="7">
        <v>2022</v>
      </c>
      <c r="Q31" s="14">
        <v>100</v>
      </c>
      <c r="R31" s="17" t="s">
        <v>892</v>
      </c>
      <c r="S31" s="7">
        <v>2022</v>
      </c>
      <c r="T31" s="14">
        <v>100</v>
      </c>
      <c r="U31" s="17"/>
      <c r="V31" s="7">
        <v>2022</v>
      </c>
      <c r="W31" s="14">
        <v>100</v>
      </c>
      <c r="X31" s="17" t="s">
        <v>892</v>
      </c>
      <c r="Y31" s="7">
        <v>2022</v>
      </c>
      <c r="Z31" s="14">
        <v>100</v>
      </c>
      <c r="AA31" s="17" t="s">
        <v>892</v>
      </c>
      <c r="AB31" s="7">
        <v>2022</v>
      </c>
      <c r="AC31" s="14">
        <v>100</v>
      </c>
      <c r="AD31" s="17" t="s">
        <v>892</v>
      </c>
      <c r="AE31" s="7">
        <v>2022</v>
      </c>
      <c r="AF31" s="154">
        <f t="shared" si="4"/>
        <v>16.5</v>
      </c>
      <c r="AG31" s="19"/>
      <c r="AH31" s="7">
        <v>2022</v>
      </c>
      <c r="AI31" s="34">
        <v>0</v>
      </c>
      <c r="AJ31" s="35" t="s">
        <v>899</v>
      </c>
      <c r="AK31" s="7">
        <v>2022</v>
      </c>
      <c r="AL31" s="14">
        <v>50</v>
      </c>
      <c r="AM31" s="23" t="s">
        <v>894</v>
      </c>
      <c r="AN31" s="7">
        <v>2022</v>
      </c>
      <c r="AO31" s="14">
        <v>100</v>
      </c>
      <c r="AP31" s="81" t="s">
        <v>895</v>
      </c>
      <c r="AQ31" s="7">
        <v>2022</v>
      </c>
      <c r="AR31" s="82">
        <v>0</v>
      </c>
      <c r="AS31" s="155" t="s">
        <v>896</v>
      </c>
      <c r="AT31" s="7">
        <v>2022</v>
      </c>
      <c r="AU31" s="21">
        <v>50</v>
      </c>
      <c r="AV31" s="153" t="s">
        <v>897</v>
      </c>
      <c r="AW31" s="7">
        <v>2022</v>
      </c>
      <c r="AX31" s="14">
        <v>100</v>
      </c>
      <c r="AY31" s="81" t="s">
        <v>883</v>
      </c>
    </row>
    <row r="32" spans="1:51" ht="24.75" customHeight="1">
      <c r="A32" s="7">
        <v>2023</v>
      </c>
      <c r="B32" s="156">
        <f>AVERAGE(E32,H32,K32,T32,AF32,AO32,AU32,AX32,AR32)</f>
        <v>62.944444444444443</v>
      </c>
      <c r="C32" s="15"/>
      <c r="D32" s="7">
        <v>2023</v>
      </c>
      <c r="E32" s="47">
        <v>50</v>
      </c>
      <c r="F32" s="81" t="s">
        <v>890</v>
      </c>
      <c r="G32" s="7">
        <v>2023</v>
      </c>
      <c r="H32" s="34">
        <v>50</v>
      </c>
      <c r="I32" s="153" t="s">
        <v>891</v>
      </c>
      <c r="J32" s="7">
        <v>2023</v>
      </c>
      <c r="K32" s="14">
        <v>100</v>
      </c>
      <c r="L32" s="17"/>
      <c r="M32" s="7">
        <v>2023</v>
      </c>
      <c r="N32" s="14">
        <v>100</v>
      </c>
      <c r="O32" s="17" t="s">
        <v>892</v>
      </c>
      <c r="P32" s="7">
        <v>2023</v>
      </c>
      <c r="Q32" s="14">
        <v>100</v>
      </c>
      <c r="R32" s="17" t="s">
        <v>892</v>
      </c>
      <c r="S32" s="7">
        <v>2023</v>
      </c>
      <c r="T32" s="14">
        <v>100</v>
      </c>
      <c r="U32" s="17"/>
      <c r="V32" s="7">
        <v>2023</v>
      </c>
      <c r="W32" s="14">
        <v>100</v>
      </c>
      <c r="X32" s="17" t="s">
        <v>892</v>
      </c>
      <c r="Y32" s="7">
        <v>2023</v>
      </c>
      <c r="Z32" s="14">
        <v>100</v>
      </c>
      <c r="AA32" s="17" t="s">
        <v>892</v>
      </c>
      <c r="AB32" s="7">
        <v>2023</v>
      </c>
      <c r="AC32" s="14">
        <v>100</v>
      </c>
      <c r="AD32" s="17" t="s">
        <v>892</v>
      </c>
      <c r="AE32" s="7">
        <v>2023</v>
      </c>
      <c r="AF32" s="154">
        <f t="shared" si="4"/>
        <v>16.5</v>
      </c>
      <c r="AG32" s="19"/>
      <c r="AH32" s="7">
        <v>2023</v>
      </c>
      <c r="AI32" s="34">
        <v>0</v>
      </c>
      <c r="AJ32" s="35" t="s">
        <v>899</v>
      </c>
      <c r="AK32" s="7">
        <v>2023</v>
      </c>
      <c r="AL32" s="14">
        <v>50</v>
      </c>
      <c r="AM32" s="23" t="s">
        <v>894</v>
      </c>
      <c r="AN32" s="7">
        <v>2023</v>
      </c>
      <c r="AO32" s="14">
        <v>100</v>
      </c>
      <c r="AP32" s="81" t="s">
        <v>895</v>
      </c>
      <c r="AQ32" s="7">
        <v>2023</v>
      </c>
      <c r="AR32" s="82">
        <v>0</v>
      </c>
      <c r="AS32" s="155" t="s">
        <v>896</v>
      </c>
      <c r="AT32" s="7">
        <v>2023</v>
      </c>
      <c r="AU32" s="21">
        <v>50</v>
      </c>
      <c r="AV32" s="153" t="s">
        <v>897</v>
      </c>
      <c r="AW32" s="7">
        <v>2023</v>
      </c>
      <c r="AX32" s="14">
        <v>100</v>
      </c>
      <c r="AY32" s="81" t="s">
        <v>883</v>
      </c>
    </row>
    <row r="33" spans="1:51" ht="24.75" customHeight="1">
      <c r="A33" s="7">
        <v>2024</v>
      </c>
      <c r="B33" s="156">
        <f>AVERAGE(E33,H33,K33,T33,AF33,AO33,AU33,AX33,AR33)</f>
        <v>62.944444444444443</v>
      </c>
      <c r="C33" s="15"/>
      <c r="D33" s="7">
        <v>2024</v>
      </c>
      <c r="E33" s="47">
        <v>50</v>
      </c>
      <c r="F33" s="81" t="s">
        <v>890</v>
      </c>
      <c r="G33" s="7">
        <v>2024</v>
      </c>
      <c r="H33" s="34">
        <v>50</v>
      </c>
      <c r="I33" s="153" t="s">
        <v>891</v>
      </c>
      <c r="J33" s="7">
        <v>2024</v>
      </c>
      <c r="K33" s="14">
        <v>100</v>
      </c>
      <c r="L33" s="17"/>
      <c r="M33" s="7">
        <v>2024</v>
      </c>
      <c r="N33" s="14">
        <v>100</v>
      </c>
      <c r="O33" s="17" t="s">
        <v>892</v>
      </c>
      <c r="P33" s="7">
        <v>2024</v>
      </c>
      <c r="Q33" s="14">
        <v>100</v>
      </c>
      <c r="R33" s="17" t="s">
        <v>892</v>
      </c>
      <c r="S33" s="7">
        <v>2024</v>
      </c>
      <c r="T33" s="14">
        <v>100</v>
      </c>
      <c r="U33" s="17"/>
      <c r="V33" s="7">
        <v>2024</v>
      </c>
      <c r="W33" s="14">
        <v>100</v>
      </c>
      <c r="X33" s="17" t="s">
        <v>892</v>
      </c>
      <c r="Y33" s="7">
        <v>2024</v>
      </c>
      <c r="Z33" s="14">
        <v>100</v>
      </c>
      <c r="AA33" s="17" t="s">
        <v>892</v>
      </c>
      <c r="AB33" s="7">
        <v>2024</v>
      </c>
      <c r="AC33" s="14">
        <v>100</v>
      </c>
      <c r="AD33" s="17" t="s">
        <v>892</v>
      </c>
      <c r="AE33" s="7">
        <v>2024</v>
      </c>
      <c r="AF33" s="154">
        <f t="shared" si="4"/>
        <v>16.5</v>
      </c>
      <c r="AG33" s="19"/>
      <c r="AH33" s="7">
        <v>2024</v>
      </c>
      <c r="AI33" s="34">
        <v>0</v>
      </c>
      <c r="AJ33" s="35" t="s">
        <v>899</v>
      </c>
      <c r="AK33" s="7">
        <v>2024</v>
      </c>
      <c r="AL33" s="14">
        <v>50</v>
      </c>
      <c r="AM33" s="23" t="s">
        <v>894</v>
      </c>
      <c r="AN33" s="7">
        <v>2024</v>
      </c>
      <c r="AO33" s="14">
        <v>100</v>
      </c>
      <c r="AP33" s="81" t="s">
        <v>895</v>
      </c>
      <c r="AQ33" s="7">
        <v>2024</v>
      </c>
      <c r="AR33" s="82">
        <v>0</v>
      </c>
      <c r="AS33" s="155" t="s">
        <v>896</v>
      </c>
      <c r="AT33" s="7">
        <v>2024</v>
      </c>
      <c r="AU33" s="21">
        <v>50</v>
      </c>
      <c r="AV33" s="153" t="s">
        <v>897</v>
      </c>
      <c r="AW33" s="7">
        <v>2024</v>
      </c>
      <c r="AX33" s="14">
        <v>100</v>
      </c>
      <c r="AY33" s="81" t="s">
        <v>883</v>
      </c>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c r="AG39" s="310"/>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297" t="s">
        <v>172</v>
      </c>
      <c r="AG40" s="298"/>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50</v>
      </c>
      <c r="C42" s="16"/>
      <c r="D42" s="7">
        <v>2020</v>
      </c>
      <c r="E42" s="14">
        <v>100</v>
      </c>
      <c r="F42" s="23" t="s">
        <v>900</v>
      </c>
      <c r="G42" s="7">
        <v>2020</v>
      </c>
      <c r="H42" s="14">
        <v>0</v>
      </c>
      <c r="I42" s="17"/>
      <c r="J42" s="7">
        <v>2020</v>
      </c>
      <c r="K42" s="14">
        <v>50</v>
      </c>
      <c r="L42" s="17" t="s">
        <v>901</v>
      </c>
      <c r="M42" s="7">
        <v>2020</v>
      </c>
      <c r="N42" s="31">
        <f t="shared" ref="N42:N46" si="5">AVERAGE(Q42,T42,W42)</f>
        <v>50</v>
      </c>
      <c r="O42" s="14"/>
      <c r="P42" s="7">
        <v>2020</v>
      </c>
      <c r="Q42" s="14">
        <v>50</v>
      </c>
      <c r="R42" s="23" t="s">
        <v>902</v>
      </c>
      <c r="S42" s="7">
        <v>2020</v>
      </c>
      <c r="T42" s="14">
        <v>0</v>
      </c>
      <c r="U42" s="81" t="s">
        <v>903</v>
      </c>
      <c r="V42" s="7">
        <v>2020</v>
      </c>
      <c r="W42" s="14">
        <v>100</v>
      </c>
      <c r="X42" s="153" t="s">
        <v>904</v>
      </c>
      <c r="Y42" s="7">
        <v>2020</v>
      </c>
      <c r="Z42" s="14">
        <v>50</v>
      </c>
      <c r="AA42" s="153" t="s">
        <v>905</v>
      </c>
      <c r="AB42" s="7">
        <v>2020</v>
      </c>
      <c r="AC42" s="34">
        <v>100</v>
      </c>
      <c r="AD42" s="17" t="s">
        <v>906</v>
      </c>
      <c r="AE42" s="7">
        <v>2020</v>
      </c>
      <c r="AF42" s="14">
        <f>-AVERAGE(AI42,AL42)</f>
        <v>0</v>
      </c>
      <c r="AG42" s="14"/>
      <c r="AH42" s="7">
        <v>2020</v>
      </c>
      <c r="AI42" s="21">
        <v>0</v>
      </c>
      <c r="AJ42" s="17"/>
      <c r="AK42" s="7">
        <v>2020</v>
      </c>
      <c r="AL42" s="14">
        <v>0</v>
      </c>
      <c r="AM42" s="23" t="s">
        <v>907</v>
      </c>
    </row>
    <row r="43" spans="1:51" ht="24.75" customHeight="1">
      <c r="A43" s="7">
        <v>2021</v>
      </c>
      <c r="B43" s="16">
        <f>AVERAGE(E43,H43,K43,N43,Z43,AC43,AF43)</f>
        <v>50</v>
      </c>
      <c r="C43" s="16"/>
      <c r="D43" s="7">
        <v>2021</v>
      </c>
      <c r="E43" s="14">
        <v>100</v>
      </c>
      <c r="F43" s="23" t="s">
        <v>900</v>
      </c>
      <c r="G43" s="7">
        <v>2021</v>
      </c>
      <c r="H43" s="14">
        <v>0</v>
      </c>
      <c r="I43" s="17"/>
      <c r="J43" s="7">
        <v>2021</v>
      </c>
      <c r="K43" s="14">
        <v>50</v>
      </c>
      <c r="L43" s="17" t="s">
        <v>901</v>
      </c>
      <c r="M43" s="7">
        <v>2021</v>
      </c>
      <c r="N43" s="31">
        <f t="shared" si="5"/>
        <v>50</v>
      </c>
      <c r="O43" s="14"/>
      <c r="P43" s="7">
        <v>2021</v>
      </c>
      <c r="Q43" s="14">
        <v>50</v>
      </c>
      <c r="R43" s="23" t="s">
        <v>902</v>
      </c>
      <c r="S43" s="7">
        <v>2021</v>
      </c>
      <c r="T43" s="14">
        <v>0</v>
      </c>
      <c r="U43" s="81" t="s">
        <v>903</v>
      </c>
      <c r="V43" s="7">
        <v>2021</v>
      </c>
      <c r="W43" s="14">
        <v>100</v>
      </c>
      <c r="X43" s="153" t="s">
        <v>904</v>
      </c>
      <c r="Y43" s="7">
        <v>2021</v>
      </c>
      <c r="Z43" s="14">
        <v>50</v>
      </c>
      <c r="AA43" s="153" t="s">
        <v>905</v>
      </c>
      <c r="AB43" s="7">
        <v>2021</v>
      </c>
      <c r="AC43" s="34">
        <v>100</v>
      </c>
      <c r="AD43" s="17" t="s">
        <v>908</v>
      </c>
      <c r="AE43" s="7">
        <v>2021</v>
      </c>
      <c r="AF43" s="14">
        <f t="shared" ref="AF43:AF46" si="6">-AVERAGE(AI43,AL43)</f>
        <v>0</v>
      </c>
      <c r="AG43" s="14"/>
      <c r="AH43" s="7">
        <v>2021</v>
      </c>
      <c r="AI43" s="21">
        <v>0</v>
      </c>
      <c r="AJ43" s="17"/>
      <c r="AK43" s="7">
        <v>2021</v>
      </c>
      <c r="AL43" s="14">
        <v>0</v>
      </c>
      <c r="AM43" s="23" t="s">
        <v>907</v>
      </c>
    </row>
    <row r="44" spans="1:51" ht="24.75" customHeight="1">
      <c r="A44" s="7">
        <v>2022</v>
      </c>
      <c r="B44" s="16">
        <f>AVERAGE(E44,H44,K44,N44,Z44,AC44,AF44)</f>
        <v>50</v>
      </c>
      <c r="C44" s="16"/>
      <c r="D44" s="7">
        <v>2022</v>
      </c>
      <c r="E44" s="14">
        <v>100</v>
      </c>
      <c r="F44" s="23" t="s">
        <v>900</v>
      </c>
      <c r="G44" s="7">
        <v>2022</v>
      </c>
      <c r="H44" s="14">
        <v>0</v>
      </c>
      <c r="I44" s="17"/>
      <c r="J44" s="7">
        <v>2022</v>
      </c>
      <c r="K44" s="14">
        <v>50</v>
      </c>
      <c r="L44" s="17" t="s">
        <v>901</v>
      </c>
      <c r="M44" s="7">
        <v>2022</v>
      </c>
      <c r="N44" s="31">
        <f t="shared" si="5"/>
        <v>50</v>
      </c>
      <c r="O44" s="14"/>
      <c r="P44" s="7">
        <v>2022</v>
      </c>
      <c r="Q44" s="14">
        <v>50</v>
      </c>
      <c r="R44" s="23" t="s">
        <v>902</v>
      </c>
      <c r="S44" s="7">
        <v>2022</v>
      </c>
      <c r="T44" s="14">
        <v>0</v>
      </c>
      <c r="U44" s="81" t="s">
        <v>903</v>
      </c>
      <c r="V44" s="7">
        <v>2022</v>
      </c>
      <c r="W44" s="14">
        <v>100</v>
      </c>
      <c r="X44" s="153" t="s">
        <v>904</v>
      </c>
      <c r="Y44" s="7">
        <v>2022</v>
      </c>
      <c r="Z44" s="14">
        <v>50</v>
      </c>
      <c r="AA44" s="153" t="s">
        <v>905</v>
      </c>
      <c r="AB44" s="7">
        <v>2022</v>
      </c>
      <c r="AC44" s="34">
        <v>100</v>
      </c>
      <c r="AD44" s="17" t="s">
        <v>908</v>
      </c>
      <c r="AE44" s="7">
        <v>2022</v>
      </c>
      <c r="AF44" s="14">
        <f t="shared" si="6"/>
        <v>0</v>
      </c>
      <c r="AG44" s="14"/>
      <c r="AH44" s="7">
        <v>2022</v>
      </c>
      <c r="AI44" s="21">
        <v>0</v>
      </c>
      <c r="AJ44" s="17"/>
      <c r="AK44" s="7">
        <v>2022</v>
      </c>
      <c r="AL44" s="14">
        <v>0</v>
      </c>
      <c r="AM44" s="23" t="s">
        <v>907</v>
      </c>
    </row>
    <row r="45" spans="1:51" ht="24.75" customHeight="1">
      <c r="A45" s="7">
        <v>2023</v>
      </c>
      <c r="B45" s="16">
        <f>AVERAGE(E45,H45,K45,N45,Z45,AC45,AF45)</f>
        <v>50</v>
      </c>
      <c r="C45" s="16"/>
      <c r="D45" s="7">
        <v>2023</v>
      </c>
      <c r="E45" s="14">
        <v>100</v>
      </c>
      <c r="F45" s="23" t="s">
        <v>900</v>
      </c>
      <c r="G45" s="7">
        <v>2023</v>
      </c>
      <c r="H45" s="14">
        <v>0</v>
      </c>
      <c r="I45" s="17"/>
      <c r="J45" s="7">
        <v>2023</v>
      </c>
      <c r="K45" s="14">
        <v>50</v>
      </c>
      <c r="L45" s="17" t="s">
        <v>901</v>
      </c>
      <c r="M45" s="7">
        <v>2023</v>
      </c>
      <c r="N45" s="31">
        <f t="shared" si="5"/>
        <v>50</v>
      </c>
      <c r="O45" s="14"/>
      <c r="P45" s="7">
        <v>2023</v>
      </c>
      <c r="Q45" s="14">
        <v>50</v>
      </c>
      <c r="R45" s="23" t="s">
        <v>902</v>
      </c>
      <c r="S45" s="7">
        <v>2023</v>
      </c>
      <c r="T45" s="14">
        <v>0</v>
      </c>
      <c r="U45" s="81" t="s">
        <v>903</v>
      </c>
      <c r="V45" s="7">
        <v>2023</v>
      </c>
      <c r="W45" s="14">
        <v>100</v>
      </c>
      <c r="X45" s="153" t="s">
        <v>904</v>
      </c>
      <c r="Y45" s="7">
        <v>2023</v>
      </c>
      <c r="Z45" s="14">
        <v>50</v>
      </c>
      <c r="AA45" s="153" t="s">
        <v>905</v>
      </c>
      <c r="AB45" s="7">
        <v>2023</v>
      </c>
      <c r="AC45" s="34">
        <v>100</v>
      </c>
      <c r="AD45" s="17" t="s">
        <v>908</v>
      </c>
      <c r="AE45" s="7">
        <v>2023</v>
      </c>
      <c r="AF45" s="14">
        <f t="shared" si="6"/>
        <v>0</v>
      </c>
      <c r="AG45" s="14"/>
      <c r="AH45" s="7">
        <v>2023</v>
      </c>
      <c r="AI45" s="21">
        <v>0</v>
      </c>
      <c r="AJ45" s="17"/>
      <c r="AK45" s="7">
        <v>2023</v>
      </c>
      <c r="AL45" s="14">
        <v>0</v>
      </c>
      <c r="AM45" s="23" t="s">
        <v>907</v>
      </c>
    </row>
    <row r="46" spans="1:51" ht="24.75" customHeight="1">
      <c r="A46" s="7">
        <v>2024</v>
      </c>
      <c r="B46" s="16">
        <f>AVERAGE(E46,H46,K46,N46,Z46,AC46,AF46)</f>
        <v>50</v>
      </c>
      <c r="C46" s="16"/>
      <c r="D46" s="7">
        <v>2024</v>
      </c>
      <c r="E46" s="14">
        <v>100</v>
      </c>
      <c r="F46" s="23" t="s">
        <v>900</v>
      </c>
      <c r="G46" s="7">
        <v>2024</v>
      </c>
      <c r="H46" s="14">
        <v>0</v>
      </c>
      <c r="I46" s="17"/>
      <c r="J46" s="7">
        <v>2024</v>
      </c>
      <c r="K46" s="14">
        <v>50</v>
      </c>
      <c r="L46" s="17" t="s">
        <v>901</v>
      </c>
      <c r="M46" s="7">
        <v>2024</v>
      </c>
      <c r="N46" s="31">
        <f t="shared" si="5"/>
        <v>50</v>
      </c>
      <c r="O46" s="14"/>
      <c r="P46" s="7">
        <v>2024</v>
      </c>
      <c r="Q46" s="14">
        <v>50</v>
      </c>
      <c r="R46" s="23" t="s">
        <v>902</v>
      </c>
      <c r="S46" s="7">
        <v>2024</v>
      </c>
      <c r="T46" s="14">
        <v>0</v>
      </c>
      <c r="U46" s="81" t="s">
        <v>903</v>
      </c>
      <c r="V46" s="7">
        <v>2024</v>
      </c>
      <c r="W46" s="14">
        <v>100</v>
      </c>
      <c r="X46" s="153" t="s">
        <v>904</v>
      </c>
      <c r="Y46" s="7">
        <v>2024</v>
      </c>
      <c r="Z46" s="14">
        <v>50</v>
      </c>
      <c r="AA46" s="153" t="s">
        <v>905</v>
      </c>
      <c r="AB46" s="7">
        <v>2024</v>
      </c>
      <c r="AC46" s="34">
        <v>100</v>
      </c>
      <c r="AD46" s="17" t="s">
        <v>908</v>
      </c>
      <c r="AE46" s="7">
        <v>2024</v>
      </c>
      <c r="AF46" s="14">
        <f t="shared" si="6"/>
        <v>0</v>
      </c>
      <c r="AG46" s="14"/>
      <c r="AH46" s="7">
        <v>2024</v>
      </c>
      <c r="AI46" s="21">
        <v>0</v>
      </c>
      <c r="AJ46" s="17"/>
      <c r="AK46" s="7">
        <v>2024</v>
      </c>
      <c r="AL46" s="14">
        <v>0</v>
      </c>
      <c r="AM46" s="23" t="s">
        <v>907</v>
      </c>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51" t="s">
        <v>193</v>
      </c>
      <c r="R51" s="351"/>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52" t="s">
        <v>198</v>
      </c>
      <c r="R52" s="352"/>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298" t="s">
        <v>203</v>
      </c>
      <c r="R53" s="298"/>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AVERAGE(E55,H55,K55,N55,Q55)</f>
        <v>55</v>
      </c>
      <c r="C55" s="16"/>
      <c r="D55" s="7">
        <v>2020</v>
      </c>
      <c r="E55" s="14">
        <v>25</v>
      </c>
      <c r="F55" s="17" t="s">
        <v>909</v>
      </c>
      <c r="G55" s="7">
        <v>2020</v>
      </c>
      <c r="H55" s="1">
        <v>100</v>
      </c>
      <c r="I55" s="14" t="s">
        <v>910</v>
      </c>
      <c r="J55" s="7">
        <v>2020</v>
      </c>
      <c r="K55" s="14">
        <v>100</v>
      </c>
      <c r="L55" s="81" t="s">
        <v>911</v>
      </c>
      <c r="M55" s="7">
        <v>2020</v>
      </c>
      <c r="N55" s="14">
        <v>50</v>
      </c>
      <c r="O55" s="17" t="s">
        <v>912</v>
      </c>
      <c r="P55" s="7">
        <v>2020</v>
      </c>
      <c r="Q55" s="14">
        <v>0</v>
      </c>
      <c r="R55" s="23" t="s">
        <v>913</v>
      </c>
    </row>
    <row r="56" spans="1:24" ht="24.75" customHeight="1">
      <c r="A56" s="7">
        <v>2021</v>
      </c>
      <c r="B56" s="15">
        <f t="shared" ref="B56:B59" si="7">AVERAGE(E56,H56,K56,N56,Q56)</f>
        <v>55</v>
      </c>
      <c r="C56" s="15"/>
      <c r="D56" s="7">
        <v>2021</v>
      </c>
      <c r="E56" s="14">
        <v>25</v>
      </c>
      <c r="F56" s="17" t="s">
        <v>909</v>
      </c>
      <c r="G56" s="7">
        <v>2021</v>
      </c>
      <c r="H56" s="1">
        <v>100</v>
      </c>
      <c r="I56" s="14" t="s">
        <v>910</v>
      </c>
      <c r="J56" s="7">
        <v>2021</v>
      </c>
      <c r="K56" s="14">
        <v>100</v>
      </c>
      <c r="L56" s="81" t="s">
        <v>911</v>
      </c>
      <c r="M56" s="7">
        <v>2021</v>
      </c>
      <c r="N56" s="14">
        <v>50</v>
      </c>
      <c r="O56" s="17" t="s">
        <v>912</v>
      </c>
      <c r="P56" s="7">
        <v>2021</v>
      </c>
      <c r="Q56" s="14">
        <v>0</v>
      </c>
      <c r="R56" s="23" t="s">
        <v>913</v>
      </c>
    </row>
    <row r="57" spans="1:24" ht="24.75" customHeight="1">
      <c r="A57" s="7">
        <v>2022</v>
      </c>
      <c r="B57" s="15">
        <f t="shared" si="7"/>
        <v>55</v>
      </c>
      <c r="C57" s="15"/>
      <c r="D57" s="7">
        <v>2022</v>
      </c>
      <c r="E57" s="14">
        <v>25</v>
      </c>
      <c r="F57" s="17" t="s">
        <v>909</v>
      </c>
      <c r="G57" s="7">
        <v>2022</v>
      </c>
      <c r="H57" s="1">
        <v>100</v>
      </c>
      <c r="I57" s="14" t="s">
        <v>910</v>
      </c>
      <c r="J57" s="7">
        <v>2022</v>
      </c>
      <c r="K57" s="21">
        <v>100</v>
      </c>
      <c r="L57" s="81" t="s">
        <v>911</v>
      </c>
      <c r="M57" s="7">
        <v>2022</v>
      </c>
      <c r="N57" s="14">
        <v>50</v>
      </c>
      <c r="O57" s="17" t="s">
        <v>912</v>
      </c>
      <c r="P57" s="7">
        <v>2022</v>
      </c>
      <c r="Q57" s="14">
        <v>0</v>
      </c>
      <c r="R57" s="23" t="s">
        <v>913</v>
      </c>
    </row>
    <row r="58" spans="1:24" ht="24.75" customHeight="1">
      <c r="A58" s="7">
        <v>2023</v>
      </c>
      <c r="B58" s="15">
        <f t="shared" si="7"/>
        <v>55</v>
      </c>
      <c r="C58" s="15"/>
      <c r="D58" s="7">
        <v>2023</v>
      </c>
      <c r="E58" s="14">
        <v>25</v>
      </c>
      <c r="F58" s="17" t="s">
        <v>909</v>
      </c>
      <c r="G58" s="7">
        <v>2023</v>
      </c>
      <c r="H58" s="1">
        <v>100</v>
      </c>
      <c r="I58" s="14" t="s">
        <v>910</v>
      </c>
      <c r="J58" s="7">
        <v>2023</v>
      </c>
      <c r="K58" s="14">
        <v>100</v>
      </c>
      <c r="L58" s="81" t="s">
        <v>911</v>
      </c>
      <c r="M58" s="7">
        <v>2023</v>
      </c>
      <c r="N58" s="14">
        <v>50</v>
      </c>
      <c r="O58" s="17" t="s">
        <v>912</v>
      </c>
      <c r="P58" s="7">
        <v>2023</v>
      </c>
      <c r="Q58" s="14">
        <v>0</v>
      </c>
      <c r="R58" s="23" t="s">
        <v>913</v>
      </c>
    </row>
    <row r="59" spans="1:24" ht="24.75" customHeight="1">
      <c r="A59" s="7">
        <v>2024</v>
      </c>
      <c r="B59" s="15">
        <f t="shared" si="7"/>
        <v>55</v>
      </c>
      <c r="C59" s="15"/>
      <c r="D59" s="7">
        <v>2024</v>
      </c>
      <c r="E59" s="14">
        <v>25</v>
      </c>
      <c r="F59" s="17" t="s">
        <v>909</v>
      </c>
      <c r="G59" s="7">
        <v>2024</v>
      </c>
      <c r="H59" s="1">
        <v>100</v>
      </c>
      <c r="I59" s="14" t="s">
        <v>910</v>
      </c>
      <c r="J59" s="7">
        <v>2024</v>
      </c>
      <c r="K59" s="14">
        <v>100</v>
      </c>
      <c r="L59" s="81" t="s">
        <v>911</v>
      </c>
      <c r="M59" s="7">
        <v>2024</v>
      </c>
      <c r="N59" s="14">
        <v>50</v>
      </c>
      <c r="O59" s="17" t="s">
        <v>912</v>
      </c>
      <c r="P59" s="7">
        <v>2024</v>
      </c>
      <c r="Q59" s="14">
        <v>0</v>
      </c>
      <c r="R59" s="23" t="s">
        <v>913</v>
      </c>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8">AVERAGE(E68,((H68+K68)/2),((N68+Q68+T68)/3),W68)</f>
        <v>75</v>
      </c>
      <c r="C68" s="16"/>
      <c r="D68" s="7">
        <v>2020</v>
      </c>
      <c r="E68" s="21">
        <v>50</v>
      </c>
      <c r="F68" s="81" t="s">
        <v>883</v>
      </c>
      <c r="G68" s="7">
        <v>2020</v>
      </c>
      <c r="H68" s="14">
        <v>100</v>
      </c>
      <c r="I68" s="81" t="s">
        <v>883</v>
      </c>
      <c r="J68" s="7">
        <v>2020</v>
      </c>
      <c r="K68" s="14">
        <v>100</v>
      </c>
      <c r="L68" s="81" t="s">
        <v>914</v>
      </c>
      <c r="M68" s="7">
        <v>2020</v>
      </c>
      <c r="N68" s="14">
        <v>100</v>
      </c>
      <c r="O68" s="17" t="s">
        <v>915</v>
      </c>
      <c r="P68" s="7">
        <v>2020</v>
      </c>
      <c r="Q68" s="14">
        <v>50</v>
      </c>
      <c r="R68" s="23" t="s">
        <v>916</v>
      </c>
      <c r="S68" s="7">
        <v>2020</v>
      </c>
      <c r="T68" s="14">
        <v>0</v>
      </c>
      <c r="U68" s="17" t="s">
        <v>917</v>
      </c>
      <c r="V68" s="7">
        <v>2020</v>
      </c>
      <c r="W68" s="14">
        <v>100</v>
      </c>
      <c r="X68" s="23" t="s">
        <v>918</v>
      </c>
    </row>
    <row r="69" spans="1:27" ht="24.75" customHeight="1">
      <c r="A69" s="7">
        <v>2021</v>
      </c>
      <c r="B69" s="15">
        <f t="shared" si="8"/>
        <v>75</v>
      </c>
      <c r="C69" s="15"/>
      <c r="D69" s="7">
        <v>2021</v>
      </c>
      <c r="E69" s="21">
        <v>50</v>
      </c>
      <c r="F69" s="81" t="s">
        <v>883</v>
      </c>
      <c r="G69" s="7">
        <v>2021</v>
      </c>
      <c r="H69" s="14">
        <v>100</v>
      </c>
      <c r="I69" s="81" t="s">
        <v>883</v>
      </c>
      <c r="J69" s="7">
        <v>2021</v>
      </c>
      <c r="K69" s="14">
        <v>100</v>
      </c>
      <c r="L69" s="81" t="s">
        <v>914</v>
      </c>
      <c r="M69" s="7">
        <v>2021</v>
      </c>
      <c r="N69" s="14">
        <v>100</v>
      </c>
      <c r="O69" s="17" t="s">
        <v>915</v>
      </c>
      <c r="P69" s="7">
        <v>2021</v>
      </c>
      <c r="Q69" s="14">
        <v>50</v>
      </c>
      <c r="R69" s="23" t="s">
        <v>916</v>
      </c>
      <c r="S69" s="7">
        <v>2021</v>
      </c>
      <c r="T69" s="14">
        <v>0</v>
      </c>
      <c r="U69" s="17" t="s">
        <v>917</v>
      </c>
      <c r="V69" s="7">
        <v>2021</v>
      </c>
      <c r="W69" s="14">
        <v>100</v>
      </c>
      <c r="X69" s="23" t="s">
        <v>918</v>
      </c>
    </row>
    <row r="70" spans="1:27" ht="24.75" customHeight="1">
      <c r="A70" s="7">
        <v>2022</v>
      </c>
      <c r="B70" s="15">
        <f t="shared" si="8"/>
        <v>75</v>
      </c>
      <c r="C70" s="15"/>
      <c r="D70" s="7">
        <v>2022</v>
      </c>
      <c r="E70" s="21">
        <v>50</v>
      </c>
      <c r="F70" s="81" t="s">
        <v>883</v>
      </c>
      <c r="G70" s="7">
        <v>2022</v>
      </c>
      <c r="H70" s="14">
        <v>100</v>
      </c>
      <c r="I70" s="81" t="s">
        <v>883</v>
      </c>
      <c r="J70" s="7">
        <v>2022</v>
      </c>
      <c r="K70" s="14">
        <v>100</v>
      </c>
      <c r="L70" s="81" t="s">
        <v>914</v>
      </c>
      <c r="M70" s="7">
        <v>2022</v>
      </c>
      <c r="N70" s="14">
        <v>100</v>
      </c>
      <c r="O70" s="17" t="s">
        <v>915</v>
      </c>
      <c r="P70" s="7">
        <v>2022</v>
      </c>
      <c r="Q70" s="14">
        <v>50</v>
      </c>
      <c r="R70" s="23" t="s">
        <v>916</v>
      </c>
      <c r="S70" s="7">
        <v>2022</v>
      </c>
      <c r="T70" s="14">
        <v>0</v>
      </c>
      <c r="U70" s="17" t="s">
        <v>917</v>
      </c>
      <c r="V70" s="7">
        <v>2022</v>
      </c>
      <c r="W70" s="14">
        <v>100</v>
      </c>
      <c r="X70" s="23" t="s">
        <v>918</v>
      </c>
    </row>
    <row r="71" spans="1:27" ht="24.75" customHeight="1">
      <c r="A71" s="7">
        <v>2023</v>
      </c>
      <c r="B71" s="15">
        <f t="shared" si="8"/>
        <v>75</v>
      </c>
      <c r="C71" s="15"/>
      <c r="D71" s="7">
        <v>2023</v>
      </c>
      <c r="E71" s="21">
        <v>50</v>
      </c>
      <c r="F71" s="81" t="s">
        <v>883</v>
      </c>
      <c r="G71" s="7">
        <v>2023</v>
      </c>
      <c r="H71" s="14">
        <v>100</v>
      </c>
      <c r="I71" s="81" t="s">
        <v>883</v>
      </c>
      <c r="J71" s="7">
        <v>2023</v>
      </c>
      <c r="K71" s="14">
        <v>100</v>
      </c>
      <c r="L71" s="81" t="s">
        <v>914</v>
      </c>
      <c r="M71" s="7">
        <v>2023</v>
      </c>
      <c r="N71" s="14">
        <v>100</v>
      </c>
      <c r="O71" s="17" t="s">
        <v>915</v>
      </c>
      <c r="P71" s="7">
        <v>2023</v>
      </c>
      <c r="Q71" s="14">
        <v>50</v>
      </c>
      <c r="R71" s="23" t="s">
        <v>916</v>
      </c>
      <c r="S71" s="7">
        <v>2023</v>
      </c>
      <c r="T71" s="14">
        <v>0</v>
      </c>
      <c r="U71" s="17" t="s">
        <v>917</v>
      </c>
      <c r="V71" s="7">
        <v>2023</v>
      </c>
      <c r="W71" s="14">
        <v>100</v>
      </c>
      <c r="X71" s="23" t="s">
        <v>918</v>
      </c>
    </row>
    <row r="72" spans="1:27" ht="24.75" customHeight="1">
      <c r="A72" s="7">
        <v>2024</v>
      </c>
      <c r="B72" s="15">
        <f t="shared" si="8"/>
        <v>75</v>
      </c>
      <c r="C72" s="15"/>
      <c r="D72" s="7">
        <v>2024</v>
      </c>
      <c r="E72" s="21">
        <v>50</v>
      </c>
      <c r="F72" s="81" t="s">
        <v>883</v>
      </c>
      <c r="G72" s="7">
        <v>2024</v>
      </c>
      <c r="H72" s="14">
        <v>100</v>
      </c>
      <c r="I72" s="81" t="s">
        <v>883</v>
      </c>
      <c r="J72" s="7">
        <v>2024</v>
      </c>
      <c r="K72" s="14">
        <v>100</v>
      </c>
      <c r="L72" s="81" t="s">
        <v>914</v>
      </c>
      <c r="M72" s="7">
        <v>2024</v>
      </c>
      <c r="N72" s="14">
        <v>100</v>
      </c>
      <c r="O72" s="17" t="s">
        <v>915</v>
      </c>
      <c r="P72" s="7">
        <v>2024</v>
      </c>
      <c r="Q72" s="14">
        <v>50</v>
      </c>
      <c r="R72" s="23" t="s">
        <v>916</v>
      </c>
      <c r="S72" s="7">
        <v>2024</v>
      </c>
      <c r="T72" s="14">
        <v>0</v>
      </c>
      <c r="U72" s="17" t="s">
        <v>917</v>
      </c>
      <c r="V72" s="7">
        <v>2024</v>
      </c>
      <c r="W72" s="14">
        <v>100</v>
      </c>
      <c r="X72" s="23" t="s">
        <v>918</v>
      </c>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9">AVERAGE(E81,H81,K81,Z81)</f>
        <v>30.125</v>
      </c>
      <c r="C81" s="15"/>
      <c r="D81" s="7">
        <v>2020</v>
      </c>
      <c r="E81" s="14">
        <v>0</v>
      </c>
      <c r="F81" s="17" t="s">
        <v>919</v>
      </c>
      <c r="G81" s="7">
        <v>2020</v>
      </c>
      <c r="H81" s="14">
        <v>33</v>
      </c>
      <c r="I81" s="17" t="s">
        <v>920</v>
      </c>
      <c r="J81" s="7">
        <v>2020</v>
      </c>
      <c r="K81" s="31">
        <f t="shared" ref="K81:K85" si="10">AVERAGE(N81,Q81,T81,W81)</f>
        <v>37.5</v>
      </c>
      <c r="L81" s="14"/>
      <c r="M81" s="7">
        <v>2020</v>
      </c>
      <c r="N81" s="21">
        <v>50</v>
      </c>
      <c r="O81" s="81" t="s">
        <v>921</v>
      </c>
      <c r="P81" s="7">
        <v>2020</v>
      </c>
      <c r="Q81" s="21">
        <v>0</v>
      </c>
      <c r="R81" s="17" t="s">
        <v>922</v>
      </c>
      <c r="S81" s="7">
        <v>2020</v>
      </c>
      <c r="T81" s="21">
        <v>100</v>
      </c>
      <c r="U81" s="17" t="s">
        <v>923</v>
      </c>
      <c r="V81" s="7">
        <v>2020</v>
      </c>
      <c r="W81" s="48">
        <v>0</v>
      </c>
      <c r="X81" s="157" t="s">
        <v>924</v>
      </c>
      <c r="Y81" s="7">
        <v>2020</v>
      </c>
      <c r="Z81" s="14">
        <v>50</v>
      </c>
      <c r="AA81" s="23" t="s">
        <v>925</v>
      </c>
    </row>
    <row r="82" spans="1:33" ht="24.75" customHeight="1">
      <c r="A82" s="7">
        <v>2021</v>
      </c>
      <c r="B82" s="15">
        <f t="shared" si="9"/>
        <v>30.125</v>
      </c>
      <c r="C82" s="15"/>
      <c r="D82" s="7">
        <v>2021</v>
      </c>
      <c r="E82" s="14">
        <v>0</v>
      </c>
      <c r="F82" s="17" t="s">
        <v>919</v>
      </c>
      <c r="G82" s="7">
        <v>2021</v>
      </c>
      <c r="H82" s="14">
        <v>33</v>
      </c>
      <c r="I82" s="17" t="s">
        <v>920</v>
      </c>
      <c r="J82" s="7">
        <v>2021</v>
      </c>
      <c r="K82" s="31">
        <f t="shared" si="10"/>
        <v>37.5</v>
      </c>
      <c r="L82" s="14"/>
      <c r="M82" s="7">
        <v>2021</v>
      </c>
      <c r="N82" s="21">
        <v>50</v>
      </c>
      <c r="O82" s="81" t="s">
        <v>921</v>
      </c>
      <c r="P82" s="7">
        <v>2021</v>
      </c>
      <c r="Q82" s="21">
        <v>0</v>
      </c>
      <c r="R82" s="17" t="s">
        <v>922</v>
      </c>
      <c r="S82" s="7">
        <v>2021</v>
      </c>
      <c r="T82" s="21">
        <v>100</v>
      </c>
      <c r="U82" s="17" t="s">
        <v>923</v>
      </c>
      <c r="V82" s="7">
        <v>2021</v>
      </c>
      <c r="W82" s="48">
        <v>0</v>
      </c>
      <c r="X82" s="157" t="s">
        <v>924</v>
      </c>
      <c r="Y82" s="7">
        <v>2021</v>
      </c>
      <c r="Z82" s="14">
        <v>50</v>
      </c>
      <c r="AA82" s="23" t="s">
        <v>925</v>
      </c>
    </row>
    <row r="83" spans="1:33" ht="24.75" customHeight="1">
      <c r="A83" s="7">
        <v>2022</v>
      </c>
      <c r="B83" s="15">
        <f t="shared" si="9"/>
        <v>30.125</v>
      </c>
      <c r="C83" s="15"/>
      <c r="D83" s="7">
        <v>2022</v>
      </c>
      <c r="E83" s="14">
        <v>0</v>
      </c>
      <c r="F83" s="17" t="s">
        <v>919</v>
      </c>
      <c r="G83" s="7">
        <v>2022</v>
      </c>
      <c r="H83" s="14">
        <v>33</v>
      </c>
      <c r="I83" s="17" t="s">
        <v>920</v>
      </c>
      <c r="J83" s="7">
        <v>2022</v>
      </c>
      <c r="K83" s="31">
        <f t="shared" si="10"/>
        <v>37.5</v>
      </c>
      <c r="L83" s="14"/>
      <c r="M83" s="7">
        <v>2022</v>
      </c>
      <c r="N83" s="21">
        <v>50</v>
      </c>
      <c r="O83" s="81" t="s">
        <v>921</v>
      </c>
      <c r="P83" s="7">
        <v>2022</v>
      </c>
      <c r="Q83" s="21">
        <v>0</v>
      </c>
      <c r="R83" s="17" t="s">
        <v>922</v>
      </c>
      <c r="S83" s="7">
        <v>2022</v>
      </c>
      <c r="T83" s="21">
        <v>100</v>
      </c>
      <c r="U83" s="17" t="s">
        <v>923</v>
      </c>
      <c r="V83" s="7">
        <v>2022</v>
      </c>
      <c r="W83" s="48">
        <v>0</v>
      </c>
      <c r="X83" s="157" t="s">
        <v>924</v>
      </c>
      <c r="Y83" s="7">
        <v>2022</v>
      </c>
      <c r="Z83" s="14">
        <v>50</v>
      </c>
      <c r="AA83" s="23" t="s">
        <v>925</v>
      </c>
    </row>
    <row r="84" spans="1:33" ht="24.75" customHeight="1">
      <c r="A84" s="7">
        <v>2023</v>
      </c>
      <c r="B84" s="15">
        <f t="shared" si="9"/>
        <v>30.125</v>
      </c>
      <c r="C84" s="15"/>
      <c r="D84" s="7">
        <v>2023</v>
      </c>
      <c r="E84" s="14">
        <v>0</v>
      </c>
      <c r="F84" s="17" t="s">
        <v>919</v>
      </c>
      <c r="G84" s="7">
        <v>2023</v>
      </c>
      <c r="H84" s="14">
        <v>33</v>
      </c>
      <c r="I84" s="17" t="s">
        <v>920</v>
      </c>
      <c r="J84" s="7">
        <v>2023</v>
      </c>
      <c r="K84" s="31">
        <f t="shared" si="10"/>
        <v>37.5</v>
      </c>
      <c r="L84" s="14"/>
      <c r="M84" s="7">
        <v>2023</v>
      </c>
      <c r="N84" s="21">
        <v>50</v>
      </c>
      <c r="O84" s="81" t="s">
        <v>921</v>
      </c>
      <c r="P84" s="7">
        <v>2023</v>
      </c>
      <c r="Q84" s="21">
        <v>0</v>
      </c>
      <c r="R84" s="17" t="s">
        <v>922</v>
      </c>
      <c r="S84" s="7">
        <v>2023</v>
      </c>
      <c r="T84" s="21">
        <v>100</v>
      </c>
      <c r="U84" s="17" t="s">
        <v>923</v>
      </c>
      <c r="V84" s="7">
        <v>2023</v>
      </c>
      <c r="W84" s="48">
        <v>0</v>
      </c>
      <c r="X84" s="157" t="s">
        <v>924</v>
      </c>
      <c r="Y84" s="7">
        <v>2023</v>
      </c>
      <c r="Z84" s="14">
        <v>50</v>
      </c>
      <c r="AA84" s="23" t="s">
        <v>925</v>
      </c>
    </row>
    <row r="85" spans="1:33" ht="24.75" customHeight="1">
      <c r="A85" s="7">
        <v>2024</v>
      </c>
      <c r="B85" s="15">
        <f t="shared" si="9"/>
        <v>30.125</v>
      </c>
      <c r="C85" s="15"/>
      <c r="D85" s="7">
        <v>2024</v>
      </c>
      <c r="E85" s="14">
        <v>0</v>
      </c>
      <c r="F85" s="17" t="s">
        <v>919</v>
      </c>
      <c r="G85" s="7">
        <v>2024</v>
      </c>
      <c r="H85" s="14">
        <v>33</v>
      </c>
      <c r="I85" s="17" t="s">
        <v>920</v>
      </c>
      <c r="J85" s="7">
        <v>2024</v>
      </c>
      <c r="K85" s="31">
        <f t="shared" si="10"/>
        <v>37.5</v>
      </c>
      <c r="L85" s="14"/>
      <c r="M85" s="7">
        <v>2024</v>
      </c>
      <c r="N85" s="21">
        <v>50</v>
      </c>
      <c r="O85" s="81" t="s">
        <v>921</v>
      </c>
      <c r="P85" s="7">
        <v>2024</v>
      </c>
      <c r="Q85" s="21">
        <v>0</v>
      </c>
      <c r="R85" s="17" t="s">
        <v>922</v>
      </c>
      <c r="S85" s="7">
        <v>2024</v>
      </c>
      <c r="T85" s="21">
        <v>100</v>
      </c>
      <c r="U85" s="17" t="s">
        <v>923</v>
      </c>
      <c r="V85" s="7">
        <v>2024</v>
      </c>
      <c r="W85" s="48">
        <v>0</v>
      </c>
      <c r="X85" s="157" t="s">
        <v>924</v>
      </c>
      <c r="Y85" s="7">
        <v>2024</v>
      </c>
      <c r="Z85" s="14">
        <v>50</v>
      </c>
      <c r="AA85" s="23" t="s">
        <v>925</v>
      </c>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51" t="s">
        <v>283</v>
      </c>
      <c r="X90" s="351"/>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57" t="s">
        <v>293</v>
      </c>
      <c r="X91" s="357"/>
      <c r="Y91" s="7" t="s">
        <v>30</v>
      </c>
      <c r="Z91" s="310" t="s">
        <v>926</v>
      </c>
      <c r="AA91" s="310"/>
      <c r="AB91" s="7" t="s">
        <v>30</v>
      </c>
      <c r="AC91" s="310" t="s">
        <v>295</v>
      </c>
      <c r="AD91" s="310"/>
      <c r="AE91" s="7" t="s">
        <v>30</v>
      </c>
      <c r="AF91" s="310" t="s">
        <v>927</v>
      </c>
      <c r="AG91" s="310"/>
    </row>
    <row r="92" spans="1:33" ht="24.75" customHeight="1">
      <c r="A92" s="7" t="s">
        <v>41</v>
      </c>
      <c r="B92" s="352" t="s">
        <v>42</v>
      </c>
      <c r="C92" s="352"/>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52" t="s">
        <v>299</v>
      </c>
      <c r="X92" s="352"/>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63.541666666666671</v>
      </c>
      <c r="C94" s="15"/>
      <c r="D94" s="7">
        <v>2020</v>
      </c>
      <c r="E94" s="21">
        <v>50</v>
      </c>
      <c r="F94" s="23" t="s">
        <v>928</v>
      </c>
      <c r="G94" s="7">
        <v>2020</v>
      </c>
      <c r="H94" s="31">
        <f t="shared" ref="H94:H98" si="11">AVERAGE(K94,N94,Q94,T94)</f>
        <v>62.5</v>
      </c>
      <c r="I94" s="14"/>
      <c r="J94" s="7">
        <v>2020</v>
      </c>
      <c r="K94" s="14">
        <v>100</v>
      </c>
      <c r="L94" s="17" t="s">
        <v>929</v>
      </c>
      <c r="M94" s="7">
        <v>2020</v>
      </c>
      <c r="N94" s="14">
        <v>50</v>
      </c>
      <c r="O94" s="17" t="s">
        <v>930</v>
      </c>
      <c r="P94" s="7">
        <v>2020</v>
      </c>
      <c r="Q94" s="21">
        <v>50</v>
      </c>
      <c r="R94" s="81" t="s">
        <v>931</v>
      </c>
      <c r="S94" s="7">
        <v>2020</v>
      </c>
      <c r="T94" s="14">
        <v>50</v>
      </c>
      <c r="U94" s="81" t="s">
        <v>932</v>
      </c>
      <c r="V94" s="7">
        <v>2020</v>
      </c>
      <c r="W94" s="14">
        <v>75</v>
      </c>
      <c r="X94" s="153" t="s">
        <v>933</v>
      </c>
      <c r="Y94" s="7">
        <v>2020</v>
      </c>
      <c r="Z94" s="34">
        <v>50</v>
      </c>
      <c r="AA94" s="19" t="s">
        <v>934</v>
      </c>
      <c r="AB94" s="7">
        <v>2020</v>
      </c>
      <c r="AC94" s="34">
        <v>100</v>
      </c>
      <c r="AD94" s="19" t="s">
        <v>935</v>
      </c>
      <c r="AE94" s="7">
        <v>2020</v>
      </c>
      <c r="AF94" s="14">
        <v>50</v>
      </c>
      <c r="AG94" s="153" t="s">
        <v>936</v>
      </c>
    </row>
    <row r="95" spans="1:33" ht="24.75" customHeight="1">
      <c r="A95" s="7">
        <v>2021</v>
      </c>
      <c r="B95" s="15">
        <f>AVERAGE(E95,H95, W95,((Z95+AC95+AF95)/3))</f>
        <v>63.541666666666671</v>
      </c>
      <c r="C95" s="15"/>
      <c r="D95" s="7">
        <v>2021</v>
      </c>
      <c r="E95" s="21">
        <v>50</v>
      </c>
      <c r="F95" s="23" t="s">
        <v>928</v>
      </c>
      <c r="G95" s="7">
        <v>2021</v>
      </c>
      <c r="H95" s="31">
        <f t="shared" si="11"/>
        <v>62.5</v>
      </c>
      <c r="I95" s="14"/>
      <c r="J95" s="7">
        <v>2021</v>
      </c>
      <c r="K95" s="14">
        <v>100</v>
      </c>
      <c r="L95" s="17" t="s">
        <v>929</v>
      </c>
      <c r="M95" s="7">
        <v>2021</v>
      </c>
      <c r="N95" s="14">
        <v>50</v>
      </c>
      <c r="O95" s="17" t="s">
        <v>930</v>
      </c>
      <c r="P95" s="7">
        <v>2021</v>
      </c>
      <c r="Q95" s="21">
        <v>50</v>
      </c>
      <c r="R95" s="81" t="s">
        <v>931</v>
      </c>
      <c r="S95" s="7">
        <v>2021</v>
      </c>
      <c r="T95" s="14">
        <v>50</v>
      </c>
      <c r="U95" s="81" t="s">
        <v>932</v>
      </c>
      <c r="V95" s="7">
        <v>2021</v>
      </c>
      <c r="W95" s="34">
        <v>75</v>
      </c>
      <c r="X95" s="158" t="s">
        <v>933</v>
      </c>
      <c r="Y95" s="7">
        <v>2021</v>
      </c>
      <c r="Z95" s="34">
        <v>50</v>
      </c>
      <c r="AA95" s="19" t="s">
        <v>937</v>
      </c>
      <c r="AB95" s="7">
        <v>2021</v>
      </c>
      <c r="AC95" s="14">
        <v>100</v>
      </c>
      <c r="AD95" s="17" t="s">
        <v>935</v>
      </c>
      <c r="AE95" s="7">
        <v>2021</v>
      </c>
      <c r="AF95" s="14">
        <v>50</v>
      </c>
      <c r="AG95" s="153" t="s">
        <v>936</v>
      </c>
    </row>
    <row r="96" spans="1:33" ht="24.75" customHeight="1">
      <c r="A96" s="7">
        <v>2022</v>
      </c>
      <c r="B96" s="15">
        <f>AVERAGE(E96,H96, W96,((Z96+AC96+AF96)/3))</f>
        <v>100</v>
      </c>
      <c r="C96" s="15"/>
      <c r="D96" s="7">
        <v>2022</v>
      </c>
      <c r="E96" s="47">
        <v>100</v>
      </c>
      <c r="F96" s="19" t="s">
        <v>938</v>
      </c>
      <c r="G96" s="7">
        <v>2022</v>
      </c>
      <c r="H96" s="31">
        <f t="shared" si="11"/>
        <v>100</v>
      </c>
      <c r="I96" s="14"/>
      <c r="J96" s="7">
        <v>2022</v>
      </c>
      <c r="K96" s="14">
        <v>100</v>
      </c>
      <c r="L96" s="17" t="s">
        <v>939</v>
      </c>
      <c r="M96" s="7">
        <v>2022</v>
      </c>
      <c r="N96" s="34">
        <v>100</v>
      </c>
      <c r="O96" s="19" t="s">
        <v>939</v>
      </c>
      <c r="P96" s="7">
        <v>2022</v>
      </c>
      <c r="Q96" s="47">
        <v>100</v>
      </c>
      <c r="R96" s="19" t="s">
        <v>939</v>
      </c>
      <c r="S96" s="7">
        <v>2022</v>
      </c>
      <c r="T96" s="34">
        <v>100</v>
      </c>
      <c r="U96" s="19" t="s">
        <v>939</v>
      </c>
      <c r="V96" s="7">
        <v>2022</v>
      </c>
      <c r="W96" s="34">
        <v>100</v>
      </c>
      <c r="X96" s="19" t="s">
        <v>939</v>
      </c>
      <c r="Y96" s="7">
        <v>2022</v>
      </c>
      <c r="Z96" s="34">
        <v>100</v>
      </c>
      <c r="AA96" s="19" t="s">
        <v>940</v>
      </c>
      <c r="AB96" s="7">
        <v>2022</v>
      </c>
      <c r="AC96" s="14">
        <v>100</v>
      </c>
      <c r="AD96" s="17" t="s">
        <v>935</v>
      </c>
      <c r="AE96" s="7">
        <v>2022</v>
      </c>
      <c r="AF96" s="34">
        <v>100</v>
      </c>
      <c r="AG96" s="23" t="s">
        <v>941</v>
      </c>
    </row>
    <row r="97" spans="1:51" ht="24.75" customHeight="1">
      <c r="A97" s="7">
        <v>2023</v>
      </c>
      <c r="B97" s="15">
        <f>AVERAGE(E97,H97, W97,((Z97+AC97+AF97)/3))</f>
        <v>100</v>
      </c>
      <c r="C97" s="15"/>
      <c r="D97" s="7">
        <v>2023</v>
      </c>
      <c r="E97" s="21">
        <v>100</v>
      </c>
      <c r="F97" s="17" t="s">
        <v>938</v>
      </c>
      <c r="G97" s="7">
        <v>2023</v>
      </c>
      <c r="H97" s="31">
        <f t="shared" si="11"/>
        <v>100</v>
      </c>
      <c r="I97" s="14"/>
      <c r="J97" s="7">
        <v>2023</v>
      </c>
      <c r="K97" s="14">
        <v>100</v>
      </c>
      <c r="L97" s="17" t="s">
        <v>939</v>
      </c>
      <c r="M97" s="7">
        <v>2023</v>
      </c>
      <c r="N97" s="14">
        <v>100</v>
      </c>
      <c r="O97" s="17" t="s">
        <v>939</v>
      </c>
      <c r="P97" s="7">
        <v>2023</v>
      </c>
      <c r="Q97" s="21">
        <v>100</v>
      </c>
      <c r="R97" s="17" t="s">
        <v>939</v>
      </c>
      <c r="S97" s="7">
        <v>2023</v>
      </c>
      <c r="T97" s="14">
        <v>100</v>
      </c>
      <c r="U97" s="17" t="s">
        <v>939</v>
      </c>
      <c r="V97" s="7">
        <v>2023</v>
      </c>
      <c r="W97" s="14">
        <v>100</v>
      </c>
      <c r="X97" s="17" t="s">
        <v>939</v>
      </c>
      <c r="Y97" s="7">
        <v>2023</v>
      </c>
      <c r="Z97" s="34">
        <v>100</v>
      </c>
      <c r="AA97" s="19" t="s">
        <v>940</v>
      </c>
      <c r="AB97" s="7">
        <v>2023</v>
      </c>
      <c r="AC97" s="14">
        <v>100</v>
      </c>
      <c r="AD97" s="17" t="s">
        <v>935</v>
      </c>
      <c r="AE97" s="7">
        <v>2023</v>
      </c>
      <c r="AF97" s="34">
        <v>100</v>
      </c>
      <c r="AG97" s="23" t="s">
        <v>941</v>
      </c>
    </row>
    <row r="98" spans="1:51" ht="24.75" customHeight="1">
      <c r="A98" s="7">
        <v>2024</v>
      </c>
      <c r="B98" s="15">
        <f>AVERAGE(E98,H98, W98,((Z98+AC98+AF98)/3))</f>
        <v>100</v>
      </c>
      <c r="C98" s="15"/>
      <c r="D98" s="7">
        <v>2024</v>
      </c>
      <c r="E98" s="21">
        <v>100</v>
      </c>
      <c r="F98" s="17" t="s">
        <v>938</v>
      </c>
      <c r="G98" s="7">
        <v>2024</v>
      </c>
      <c r="H98" s="31">
        <f t="shared" si="11"/>
        <v>100</v>
      </c>
      <c r="I98" s="14"/>
      <c r="J98" s="7">
        <v>2024</v>
      </c>
      <c r="K98" s="14">
        <v>100</v>
      </c>
      <c r="L98" s="17" t="s">
        <v>939</v>
      </c>
      <c r="M98" s="7">
        <v>2024</v>
      </c>
      <c r="N98" s="14">
        <v>100</v>
      </c>
      <c r="O98" s="17" t="s">
        <v>939</v>
      </c>
      <c r="P98" s="7">
        <v>2024</v>
      </c>
      <c r="Q98" s="21">
        <v>100</v>
      </c>
      <c r="R98" s="17" t="s">
        <v>939</v>
      </c>
      <c r="S98" s="7">
        <v>2024</v>
      </c>
      <c r="T98" s="14">
        <v>100</v>
      </c>
      <c r="U98" s="17" t="s">
        <v>939</v>
      </c>
      <c r="V98" s="7">
        <v>2024</v>
      </c>
      <c r="W98" s="14">
        <v>100</v>
      </c>
      <c r="X98" s="17" t="s">
        <v>939</v>
      </c>
      <c r="Y98" s="7">
        <v>2024</v>
      </c>
      <c r="Z98" s="34">
        <v>100</v>
      </c>
      <c r="AA98" s="19" t="s">
        <v>940</v>
      </c>
      <c r="AB98" s="7">
        <v>2024</v>
      </c>
      <c r="AC98" s="14">
        <v>100</v>
      </c>
      <c r="AD98" s="17" t="s">
        <v>935</v>
      </c>
      <c r="AE98" s="7">
        <v>2024</v>
      </c>
      <c r="AF98" s="34">
        <v>100</v>
      </c>
      <c r="AG98" s="23" t="s">
        <v>941</v>
      </c>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942</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75</v>
      </c>
      <c r="C107" s="43"/>
      <c r="D107" s="27">
        <v>2020</v>
      </c>
      <c r="E107" s="14">
        <v>100</v>
      </c>
      <c r="F107" s="153" t="s">
        <v>943</v>
      </c>
      <c r="G107" s="7">
        <v>2020</v>
      </c>
      <c r="H107" s="44">
        <v>0</v>
      </c>
      <c r="I107" s="159" t="s">
        <v>944</v>
      </c>
      <c r="J107" s="27">
        <v>2020</v>
      </c>
      <c r="K107" s="74">
        <v>100</v>
      </c>
      <c r="L107" s="153" t="s">
        <v>945</v>
      </c>
      <c r="M107" s="7">
        <v>2020</v>
      </c>
      <c r="N107" s="21">
        <v>0</v>
      </c>
      <c r="O107" s="23" t="s">
        <v>946</v>
      </c>
      <c r="P107" s="27">
        <v>2020</v>
      </c>
      <c r="Q107" s="14">
        <v>100</v>
      </c>
      <c r="R107" s="23" t="s">
        <v>947</v>
      </c>
      <c r="S107" s="7">
        <v>2020</v>
      </c>
      <c r="T107" s="21">
        <v>0</v>
      </c>
      <c r="U107" s="23" t="s">
        <v>948</v>
      </c>
      <c r="V107" s="7">
        <v>2020</v>
      </c>
      <c r="W107" s="14">
        <v>100</v>
      </c>
      <c r="X107" s="23" t="s">
        <v>949</v>
      </c>
      <c r="Y107" s="7">
        <v>2020</v>
      </c>
      <c r="Z107" s="14">
        <v>100</v>
      </c>
      <c r="AA107" s="23" t="s">
        <v>950</v>
      </c>
      <c r="AB107" s="7">
        <v>2020</v>
      </c>
      <c r="AC107" s="21">
        <v>100</v>
      </c>
      <c r="AD107" s="23" t="s">
        <v>951</v>
      </c>
      <c r="AE107" s="7">
        <v>2020</v>
      </c>
      <c r="AF107" s="34">
        <v>50</v>
      </c>
      <c r="AG107" s="35" t="s">
        <v>952</v>
      </c>
      <c r="AH107" s="7">
        <v>2020</v>
      </c>
      <c r="AI107" s="21">
        <v>100</v>
      </c>
      <c r="AJ107" s="23" t="s">
        <v>953</v>
      </c>
      <c r="AK107" s="7">
        <v>2020</v>
      </c>
      <c r="AL107" s="21">
        <v>50</v>
      </c>
      <c r="AM107" s="23" t="s">
        <v>954</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75</v>
      </c>
      <c r="C108" s="49"/>
      <c r="D108" s="27">
        <v>2021</v>
      </c>
      <c r="E108" s="14">
        <v>100</v>
      </c>
      <c r="F108" s="153" t="s">
        <v>943</v>
      </c>
      <c r="G108" s="7">
        <v>2021</v>
      </c>
      <c r="H108" s="44">
        <v>0</v>
      </c>
      <c r="I108" s="159" t="s">
        <v>944</v>
      </c>
      <c r="J108" s="27">
        <v>2021</v>
      </c>
      <c r="K108" s="74">
        <v>100</v>
      </c>
      <c r="L108" s="153" t="s">
        <v>945</v>
      </c>
      <c r="M108" s="7">
        <v>2021</v>
      </c>
      <c r="N108" s="21">
        <v>0</v>
      </c>
      <c r="O108" s="23" t="s">
        <v>946</v>
      </c>
      <c r="P108" s="27">
        <v>2021</v>
      </c>
      <c r="Q108" s="14">
        <v>100</v>
      </c>
      <c r="R108" s="23" t="s">
        <v>947</v>
      </c>
      <c r="S108" s="7">
        <v>2021</v>
      </c>
      <c r="T108" s="21">
        <v>0</v>
      </c>
      <c r="U108" s="23" t="s">
        <v>948</v>
      </c>
      <c r="V108" s="7">
        <v>2021</v>
      </c>
      <c r="W108" s="14">
        <v>100</v>
      </c>
      <c r="X108" s="23" t="s">
        <v>949</v>
      </c>
      <c r="Y108" s="7">
        <v>2021</v>
      </c>
      <c r="Z108" s="14">
        <v>100</v>
      </c>
      <c r="AA108" s="23" t="s">
        <v>950</v>
      </c>
      <c r="AB108" s="7">
        <v>2021</v>
      </c>
      <c r="AC108" s="21">
        <v>100</v>
      </c>
      <c r="AD108" s="23" t="s">
        <v>951</v>
      </c>
      <c r="AE108" s="7">
        <v>2021</v>
      </c>
      <c r="AF108" s="34">
        <v>50</v>
      </c>
      <c r="AG108" s="35" t="s">
        <v>952</v>
      </c>
      <c r="AH108" s="7">
        <v>2021</v>
      </c>
      <c r="AI108" s="21">
        <v>100</v>
      </c>
      <c r="AJ108" s="23" t="s">
        <v>953</v>
      </c>
      <c r="AK108" s="7">
        <v>2021</v>
      </c>
      <c r="AL108" s="21">
        <v>50</v>
      </c>
      <c r="AM108" s="23" t="s">
        <v>954</v>
      </c>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75</v>
      </c>
      <c r="C109" s="49"/>
      <c r="D109" s="27">
        <v>2022</v>
      </c>
      <c r="E109" s="14">
        <v>100</v>
      </c>
      <c r="F109" s="153" t="s">
        <v>943</v>
      </c>
      <c r="G109" s="27">
        <v>2022</v>
      </c>
      <c r="H109" s="44">
        <v>0</v>
      </c>
      <c r="I109" s="159" t="s">
        <v>944</v>
      </c>
      <c r="J109" s="27">
        <v>2022</v>
      </c>
      <c r="K109" s="74">
        <v>100</v>
      </c>
      <c r="L109" s="153" t="s">
        <v>945</v>
      </c>
      <c r="M109" s="27">
        <v>2022</v>
      </c>
      <c r="N109" s="21">
        <v>0</v>
      </c>
      <c r="O109" s="23" t="s">
        <v>946</v>
      </c>
      <c r="P109" s="27">
        <v>2022</v>
      </c>
      <c r="Q109" s="14">
        <v>100</v>
      </c>
      <c r="R109" s="23" t="s">
        <v>947</v>
      </c>
      <c r="S109" s="27">
        <v>2022</v>
      </c>
      <c r="T109" s="21">
        <v>0</v>
      </c>
      <c r="U109" s="23" t="s">
        <v>948</v>
      </c>
      <c r="V109" s="27">
        <v>2022</v>
      </c>
      <c r="W109" s="14">
        <v>100</v>
      </c>
      <c r="X109" s="23" t="s">
        <v>949</v>
      </c>
      <c r="Y109" s="27">
        <v>2022</v>
      </c>
      <c r="Z109" s="14">
        <v>100</v>
      </c>
      <c r="AA109" s="23" t="s">
        <v>950</v>
      </c>
      <c r="AB109" s="27">
        <v>2022</v>
      </c>
      <c r="AC109" s="21">
        <v>100</v>
      </c>
      <c r="AD109" s="23" t="s">
        <v>951</v>
      </c>
      <c r="AE109" s="27">
        <v>2022</v>
      </c>
      <c r="AF109" s="34">
        <v>50</v>
      </c>
      <c r="AG109" s="35" t="s">
        <v>952</v>
      </c>
      <c r="AH109" s="27">
        <v>2022</v>
      </c>
      <c r="AI109" s="21">
        <v>100</v>
      </c>
      <c r="AJ109" s="23" t="s">
        <v>953</v>
      </c>
      <c r="AK109" s="27">
        <v>2022</v>
      </c>
      <c r="AL109" s="21">
        <v>50</v>
      </c>
      <c r="AM109" s="23" t="s">
        <v>954</v>
      </c>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75</v>
      </c>
      <c r="C110" s="49"/>
      <c r="D110" s="27">
        <v>2023</v>
      </c>
      <c r="E110" s="14">
        <v>100</v>
      </c>
      <c r="F110" s="153" t="s">
        <v>943</v>
      </c>
      <c r="G110" s="27">
        <v>2023</v>
      </c>
      <c r="H110" s="44">
        <v>0</v>
      </c>
      <c r="I110" s="159" t="s">
        <v>944</v>
      </c>
      <c r="J110" s="27">
        <v>2023</v>
      </c>
      <c r="K110" s="74">
        <v>100</v>
      </c>
      <c r="L110" s="153" t="s">
        <v>945</v>
      </c>
      <c r="M110" s="27">
        <v>2023</v>
      </c>
      <c r="N110" s="21">
        <v>0</v>
      </c>
      <c r="O110" s="23" t="s">
        <v>946</v>
      </c>
      <c r="P110" s="27">
        <v>2023</v>
      </c>
      <c r="Q110" s="14">
        <v>100</v>
      </c>
      <c r="R110" s="23" t="s">
        <v>947</v>
      </c>
      <c r="S110" s="27">
        <v>2023</v>
      </c>
      <c r="T110" s="21">
        <v>0</v>
      </c>
      <c r="U110" s="23" t="s">
        <v>948</v>
      </c>
      <c r="V110" s="27">
        <v>2023</v>
      </c>
      <c r="W110" s="14">
        <v>100</v>
      </c>
      <c r="X110" s="23" t="s">
        <v>949</v>
      </c>
      <c r="Y110" s="27">
        <v>2023</v>
      </c>
      <c r="Z110" s="14">
        <v>100</v>
      </c>
      <c r="AA110" s="23" t="s">
        <v>950</v>
      </c>
      <c r="AB110" s="27">
        <v>2023</v>
      </c>
      <c r="AC110" s="21">
        <v>100</v>
      </c>
      <c r="AD110" s="23" t="s">
        <v>951</v>
      </c>
      <c r="AE110" s="27">
        <v>2023</v>
      </c>
      <c r="AF110" s="34">
        <v>50</v>
      </c>
      <c r="AG110" s="35" t="s">
        <v>952</v>
      </c>
      <c r="AH110" s="27">
        <v>2023</v>
      </c>
      <c r="AI110" s="21">
        <v>100</v>
      </c>
      <c r="AJ110" s="23" t="s">
        <v>953</v>
      </c>
      <c r="AK110" s="27">
        <v>2023</v>
      </c>
      <c r="AL110" s="21">
        <v>50</v>
      </c>
      <c r="AM110" s="23" t="s">
        <v>954</v>
      </c>
    </row>
    <row r="111" spans="1:51" ht="22.5" customHeight="1">
      <c r="A111" s="27">
        <v>2024</v>
      </c>
      <c r="B111" s="42">
        <f>AVERAGE((E111+K111+Q111)/3+(H111+N111+T111)/3+W111+Z111+AC111+AF111+AI111+AL111)/8</f>
        <v>75</v>
      </c>
      <c r="C111" s="49"/>
      <c r="D111" s="27">
        <v>2024</v>
      </c>
      <c r="E111" s="14">
        <v>100</v>
      </c>
      <c r="F111" s="153" t="s">
        <v>943</v>
      </c>
      <c r="G111" s="27">
        <v>2024</v>
      </c>
      <c r="H111" s="44">
        <v>0</v>
      </c>
      <c r="I111" s="159" t="s">
        <v>944</v>
      </c>
      <c r="J111" s="27">
        <v>2024</v>
      </c>
      <c r="K111" s="74">
        <v>100</v>
      </c>
      <c r="L111" s="153" t="s">
        <v>945</v>
      </c>
      <c r="M111" s="27">
        <v>2024</v>
      </c>
      <c r="N111" s="21">
        <v>0</v>
      </c>
      <c r="O111" s="23" t="s">
        <v>946</v>
      </c>
      <c r="P111" s="27">
        <v>2024</v>
      </c>
      <c r="Q111" s="14">
        <v>100</v>
      </c>
      <c r="R111" s="23" t="s">
        <v>947</v>
      </c>
      <c r="S111" s="27">
        <v>2024</v>
      </c>
      <c r="T111" s="21">
        <v>0</v>
      </c>
      <c r="U111" s="23" t="s">
        <v>948</v>
      </c>
      <c r="V111" s="27">
        <v>2024</v>
      </c>
      <c r="W111" s="14">
        <v>100</v>
      </c>
      <c r="X111" s="23" t="s">
        <v>949</v>
      </c>
      <c r="Y111" s="27">
        <v>2024</v>
      </c>
      <c r="Z111" s="14">
        <v>100</v>
      </c>
      <c r="AA111" s="23" t="s">
        <v>950</v>
      </c>
      <c r="AB111" s="27">
        <v>2024</v>
      </c>
      <c r="AC111" s="21">
        <v>100</v>
      </c>
      <c r="AD111" s="23" t="s">
        <v>951</v>
      </c>
      <c r="AE111" s="27">
        <v>2024</v>
      </c>
      <c r="AF111" s="34">
        <v>50</v>
      </c>
      <c r="AG111" s="35" t="s">
        <v>952</v>
      </c>
      <c r="AH111" s="27">
        <v>2024</v>
      </c>
      <c r="AI111" s="21">
        <v>100</v>
      </c>
      <c r="AJ111" s="23" t="s">
        <v>953</v>
      </c>
      <c r="AK111" s="27">
        <v>2024</v>
      </c>
      <c r="AL111" s="21">
        <v>50</v>
      </c>
      <c r="AM111" s="23" t="s">
        <v>954</v>
      </c>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3F9C-94DD-48D6-A199-64A5774B9E78}">
  <dimension ref="A1:CC111"/>
  <sheetViews>
    <sheetView topLeftCell="A72" zoomScale="78" zoomScaleNormal="136" workbookViewId="0">
      <selection activeCell="L72" sqref="L72"/>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28.75" customHeight="1">
      <c r="A1" s="323" t="s">
        <v>0</v>
      </c>
      <c r="B1" s="323"/>
      <c r="C1" s="323"/>
      <c r="D1" s="323"/>
    </row>
    <row r="2" spans="1:81" ht="50.4" customHeight="1">
      <c r="A2" s="2" t="s">
        <v>1</v>
      </c>
      <c r="B2" s="2" t="s">
        <v>2</v>
      </c>
      <c r="C2" s="2" t="s">
        <v>3</v>
      </c>
      <c r="D2" s="2" t="s">
        <v>4</v>
      </c>
    </row>
    <row r="3" spans="1:81" ht="15" customHeight="1">
      <c r="A3" s="3">
        <v>2020</v>
      </c>
      <c r="B3" s="16">
        <f>AVERAGE(B16,B29,B42,B55,B68,B81,B94,B107)</f>
        <v>84.156746031746039</v>
      </c>
      <c r="C3" s="16">
        <f>AVERAGE(B16,B29,B42,B55,B68,B81,B94)</f>
        <v>85.756519274376416</v>
      </c>
      <c r="D3" s="16">
        <f>AVERAGE(B16,B29,B55,B68,B81,B94)</f>
        <v>85.358796296296305</v>
      </c>
    </row>
    <row r="4" spans="1:81" ht="15" customHeight="1">
      <c r="A4" s="3">
        <v>2021</v>
      </c>
      <c r="B4" s="16">
        <f t="shared" ref="B4:B7" si="0">AVERAGE(B17,B30,B43,B56,B69,B82,B95,B108)</f>
        <v>84.156746031746039</v>
      </c>
      <c r="C4" s="16">
        <f t="shared" ref="C4:C7" si="1">AVERAGE(B17,B30,B43,B56,B69,B82,B95)</f>
        <v>85.756519274376416</v>
      </c>
      <c r="D4" s="16">
        <f t="shared" ref="D4:D7" si="2">AVERAGE(B17,B30,B56,B69,B82,B95)</f>
        <v>85.358796296296305</v>
      </c>
    </row>
    <row r="5" spans="1:81" ht="15" customHeight="1">
      <c r="A5" s="3">
        <v>2022</v>
      </c>
      <c r="B5" s="16">
        <f t="shared" si="0"/>
        <v>84.156746031746039</v>
      </c>
      <c r="C5" s="16">
        <f t="shared" si="1"/>
        <v>85.756519274376416</v>
      </c>
      <c r="D5" s="16">
        <f t="shared" si="2"/>
        <v>85.358796296296305</v>
      </c>
    </row>
    <row r="6" spans="1:81" ht="15" customHeight="1">
      <c r="A6" s="3">
        <v>2023</v>
      </c>
      <c r="B6" s="16">
        <f t="shared" si="0"/>
        <v>84.156746031746039</v>
      </c>
      <c r="C6" s="16">
        <f t="shared" si="1"/>
        <v>85.756519274376416</v>
      </c>
      <c r="D6" s="16">
        <f t="shared" si="2"/>
        <v>85.358796296296305</v>
      </c>
    </row>
    <row r="7" spans="1:81" ht="15" customHeight="1">
      <c r="A7" s="3">
        <v>2024</v>
      </c>
      <c r="B7" s="16">
        <f t="shared" si="0"/>
        <v>84.156746031746039</v>
      </c>
      <c r="C7" s="16">
        <f t="shared" si="1"/>
        <v>85.756519274376416</v>
      </c>
      <c r="D7" s="16">
        <f t="shared" si="2"/>
        <v>85.358796296296305</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90.777777777777771</v>
      </c>
      <c r="C16" s="16"/>
      <c r="D16" s="7">
        <v>2020</v>
      </c>
      <c r="E16" s="34">
        <v>100</v>
      </c>
      <c r="F16" s="19"/>
      <c r="G16" s="7">
        <v>2020</v>
      </c>
      <c r="H16" s="14">
        <v>100</v>
      </c>
      <c r="I16" s="17"/>
      <c r="J16" s="7">
        <v>2020</v>
      </c>
      <c r="K16" s="14">
        <v>100</v>
      </c>
      <c r="L16" s="17"/>
      <c r="M16" s="7">
        <v>2020</v>
      </c>
      <c r="N16" s="14">
        <v>100</v>
      </c>
      <c r="O16" s="17"/>
      <c r="P16" s="7">
        <v>2020</v>
      </c>
      <c r="Q16" s="14">
        <v>67</v>
      </c>
      <c r="R16" s="17"/>
      <c r="S16" s="7">
        <v>2020</v>
      </c>
      <c r="T16" s="80">
        <v>100</v>
      </c>
      <c r="U16" s="17"/>
      <c r="V16" s="7">
        <v>2020</v>
      </c>
      <c r="W16" s="82">
        <v>100</v>
      </c>
      <c r="X16" s="83" t="s">
        <v>955</v>
      </c>
      <c r="Y16" s="7">
        <v>2020</v>
      </c>
      <c r="Z16" s="82">
        <v>100</v>
      </c>
      <c r="AA16" s="83"/>
      <c r="AB16" s="7">
        <v>2020</v>
      </c>
      <c r="AC16" s="84">
        <v>50</v>
      </c>
      <c r="AD16" s="86" t="s">
        <v>956</v>
      </c>
    </row>
    <row r="17" spans="1:51" ht="24.75" customHeight="1">
      <c r="A17" s="7">
        <v>2021</v>
      </c>
      <c r="B17" s="15">
        <f t="shared" si="3"/>
        <v>90.777777777777771</v>
      </c>
      <c r="C17" s="16"/>
      <c r="D17" s="7">
        <v>2021</v>
      </c>
      <c r="E17" s="34">
        <v>100</v>
      </c>
      <c r="F17" s="19"/>
      <c r="G17" s="7">
        <v>2021</v>
      </c>
      <c r="H17" s="14">
        <v>100</v>
      </c>
      <c r="I17" s="17"/>
      <c r="J17" s="7">
        <v>2021</v>
      </c>
      <c r="K17" s="14">
        <v>100</v>
      </c>
      <c r="L17" s="17"/>
      <c r="M17" s="7">
        <v>2021</v>
      </c>
      <c r="N17" s="14">
        <v>100</v>
      </c>
      <c r="O17" s="17"/>
      <c r="P17" s="7">
        <v>2021</v>
      </c>
      <c r="Q17" s="14">
        <v>67</v>
      </c>
      <c r="R17" s="17"/>
      <c r="S17" s="7">
        <v>2021</v>
      </c>
      <c r="T17" s="80">
        <v>100</v>
      </c>
      <c r="U17" s="17"/>
      <c r="V17" s="7">
        <v>2021</v>
      </c>
      <c r="W17" s="82">
        <v>100</v>
      </c>
      <c r="X17" s="83"/>
      <c r="Y17" s="7">
        <v>2021</v>
      </c>
      <c r="Z17" s="82">
        <v>100</v>
      </c>
      <c r="AA17" s="83"/>
      <c r="AB17" s="7">
        <v>2021</v>
      </c>
      <c r="AC17" s="84">
        <v>50</v>
      </c>
      <c r="AD17" s="86"/>
    </row>
    <row r="18" spans="1:51" ht="24.75" customHeight="1">
      <c r="A18" s="7">
        <v>2022</v>
      </c>
      <c r="B18" s="15">
        <f t="shared" si="3"/>
        <v>90.777777777777771</v>
      </c>
      <c r="C18" s="16"/>
      <c r="D18" s="7">
        <v>2022</v>
      </c>
      <c r="E18" s="34">
        <v>100</v>
      </c>
      <c r="F18" s="19"/>
      <c r="G18" s="7">
        <v>2022</v>
      </c>
      <c r="H18" s="14">
        <v>100</v>
      </c>
      <c r="I18" s="17"/>
      <c r="J18" s="7">
        <v>2022</v>
      </c>
      <c r="K18" s="14">
        <v>100</v>
      </c>
      <c r="L18" s="17"/>
      <c r="M18" s="7">
        <v>2022</v>
      </c>
      <c r="N18" s="14">
        <v>100</v>
      </c>
      <c r="O18" s="17"/>
      <c r="P18" s="7">
        <v>2022</v>
      </c>
      <c r="Q18" s="14">
        <v>67</v>
      </c>
      <c r="R18" s="17"/>
      <c r="S18" s="7">
        <v>2022</v>
      </c>
      <c r="T18" s="80">
        <v>100</v>
      </c>
      <c r="U18" s="17"/>
      <c r="V18" s="7">
        <v>2022</v>
      </c>
      <c r="W18" s="82">
        <v>100</v>
      </c>
      <c r="X18" s="83"/>
      <c r="Y18" s="7">
        <v>2022</v>
      </c>
      <c r="Z18" s="82">
        <v>100</v>
      </c>
      <c r="AA18" s="83"/>
      <c r="AB18" s="7">
        <v>2022</v>
      </c>
      <c r="AC18" s="84">
        <v>50</v>
      </c>
      <c r="AD18" s="86"/>
    </row>
    <row r="19" spans="1:51" ht="24.75" customHeight="1">
      <c r="A19" s="7">
        <v>2023</v>
      </c>
      <c r="B19" s="15">
        <f t="shared" si="3"/>
        <v>90.777777777777771</v>
      </c>
      <c r="C19" s="16"/>
      <c r="D19" s="7">
        <v>2023</v>
      </c>
      <c r="E19" s="34">
        <v>100</v>
      </c>
      <c r="F19" s="19"/>
      <c r="G19" s="7">
        <v>2023</v>
      </c>
      <c r="H19" s="14">
        <v>100</v>
      </c>
      <c r="I19" s="17"/>
      <c r="J19" s="7">
        <v>2023</v>
      </c>
      <c r="K19" s="14">
        <v>100</v>
      </c>
      <c r="L19" s="17"/>
      <c r="M19" s="7">
        <v>2023</v>
      </c>
      <c r="N19" s="14">
        <v>100</v>
      </c>
      <c r="O19" s="17"/>
      <c r="P19" s="7">
        <v>2023</v>
      </c>
      <c r="Q19" s="14">
        <v>67</v>
      </c>
      <c r="R19" s="17"/>
      <c r="S19" s="7">
        <v>2023</v>
      </c>
      <c r="T19" s="80">
        <v>100</v>
      </c>
      <c r="U19" s="17"/>
      <c r="V19" s="7">
        <v>2023</v>
      </c>
      <c r="W19" s="82">
        <v>100</v>
      </c>
      <c r="X19" s="83"/>
      <c r="Y19" s="7">
        <v>2023</v>
      </c>
      <c r="Z19" s="82">
        <v>100</v>
      </c>
      <c r="AA19" s="83" t="s">
        <v>957</v>
      </c>
      <c r="AB19" s="7">
        <v>2023</v>
      </c>
      <c r="AC19" s="84">
        <v>50</v>
      </c>
      <c r="AD19" s="86"/>
    </row>
    <row r="20" spans="1:51" ht="24.75" customHeight="1">
      <c r="A20" s="7">
        <v>2024</v>
      </c>
      <c r="B20" s="15">
        <f t="shared" si="3"/>
        <v>90.777777777777771</v>
      </c>
      <c r="C20" s="16"/>
      <c r="D20" s="7">
        <v>2024</v>
      </c>
      <c r="E20" s="34">
        <v>100</v>
      </c>
      <c r="F20" s="35" t="s">
        <v>958</v>
      </c>
      <c r="G20" s="7">
        <v>2024</v>
      </c>
      <c r="H20" s="14">
        <v>100</v>
      </c>
      <c r="I20" s="17" t="s">
        <v>959</v>
      </c>
      <c r="J20" s="7">
        <v>2024</v>
      </c>
      <c r="K20" s="14">
        <v>100</v>
      </c>
      <c r="L20" s="17" t="s">
        <v>959</v>
      </c>
      <c r="M20" s="7">
        <v>2024</v>
      </c>
      <c r="N20" s="14">
        <v>100</v>
      </c>
      <c r="O20" s="17" t="s">
        <v>959</v>
      </c>
      <c r="P20" s="7">
        <v>2024</v>
      </c>
      <c r="Q20" s="14">
        <v>67</v>
      </c>
      <c r="R20" s="17" t="s">
        <v>959</v>
      </c>
      <c r="S20" s="7">
        <v>2024</v>
      </c>
      <c r="T20" s="80">
        <v>100</v>
      </c>
      <c r="U20" s="17" t="s">
        <v>959</v>
      </c>
      <c r="V20" s="7">
        <v>2024</v>
      </c>
      <c r="W20" s="82">
        <v>100</v>
      </c>
      <c r="X20" s="83"/>
      <c r="Y20" s="7">
        <v>2024</v>
      </c>
      <c r="Z20" s="82">
        <v>100</v>
      </c>
      <c r="AA20" s="83" t="s">
        <v>960</v>
      </c>
      <c r="AB20" s="7">
        <v>2024</v>
      </c>
      <c r="AC20" s="84">
        <v>50</v>
      </c>
      <c r="AD20" s="86"/>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t="s">
        <v>427</v>
      </c>
      <c r="L26" s="325"/>
      <c r="M26" s="27" t="s">
        <v>30</v>
      </c>
      <c r="N26" s="325" t="s">
        <v>96</v>
      </c>
      <c r="O26" s="325"/>
      <c r="P26" s="27" t="s">
        <v>30</v>
      </c>
      <c r="Q26" s="325" t="s">
        <v>97</v>
      </c>
      <c r="R26" s="325"/>
      <c r="S26" s="27" t="s">
        <v>30</v>
      </c>
      <c r="T26" s="325" t="s">
        <v>428</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429</v>
      </c>
      <c r="L27" s="325"/>
      <c r="M27" s="27" t="s">
        <v>41</v>
      </c>
      <c r="N27" s="325" t="s">
        <v>109</v>
      </c>
      <c r="O27" s="325"/>
      <c r="P27" s="27" t="s">
        <v>41</v>
      </c>
      <c r="Q27" s="325" t="s">
        <v>110</v>
      </c>
      <c r="R27" s="325"/>
      <c r="S27" s="27" t="s">
        <v>41</v>
      </c>
      <c r="T27" s="329" t="s">
        <v>429</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c r="AW28" s="7" t="s">
        <v>1</v>
      </c>
      <c r="AX28" s="7" t="s">
        <v>52</v>
      </c>
      <c r="AY28" s="7" t="s">
        <v>123</v>
      </c>
    </row>
    <row r="29" spans="1:51" ht="24.75" customHeight="1">
      <c r="A29" s="7">
        <v>2020</v>
      </c>
      <c r="B29" s="15">
        <f>AVERAGE(E29,H29,K29,T29,AF29,AO29,AU29,AX29,AR29)</f>
        <v>66.666666666666671</v>
      </c>
      <c r="C29" s="16"/>
      <c r="D29" s="7">
        <v>2020</v>
      </c>
      <c r="E29" s="21">
        <v>100</v>
      </c>
      <c r="F29" s="17"/>
      <c r="G29" s="7">
        <v>2020</v>
      </c>
      <c r="H29" s="14">
        <v>0</v>
      </c>
      <c r="I29" s="17"/>
      <c r="J29" s="7">
        <v>2020</v>
      </c>
      <c r="K29" s="14">
        <v>100</v>
      </c>
      <c r="L29" s="17"/>
      <c r="M29" s="7">
        <v>2020</v>
      </c>
      <c r="N29" s="14">
        <v>100</v>
      </c>
      <c r="O29" s="17"/>
      <c r="P29" s="7">
        <v>2020</v>
      </c>
      <c r="Q29" s="14">
        <v>100</v>
      </c>
      <c r="R29" s="17"/>
      <c r="S29" s="7">
        <v>2020</v>
      </c>
      <c r="T29" s="14">
        <v>100</v>
      </c>
      <c r="U29" s="17"/>
      <c r="V29" s="7">
        <v>2020</v>
      </c>
      <c r="W29" s="14">
        <v>100</v>
      </c>
      <c r="X29" s="17"/>
      <c r="Y29" s="7">
        <v>2020</v>
      </c>
      <c r="Z29" s="14">
        <v>100</v>
      </c>
      <c r="AA29" s="17"/>
      <c r="AB29" s="7">
        <v>2020</v>
      </c>
      <c r="AC29" s="14">
        <v>100</v>
      </c>
      <c r="AD29" s="17"/>
      <c r="AE29" s="7">
        <v>2020</v>
      </c>
      <c r="AF29" s="31">
        <f t="shared" ref="AF29:AF33" si="4">0.67*AI29+0.33*AL29</f>
        <v>100</v>
      </c>
      <c r="AG29" s="17"/>
      <c r="AH29" s="7">
        <v>2020</v>
      </c>
      <c r="AI29" s="34">
        <v>100</v>
      </c>
      <c r="AJ29" s="19" t="s">
        <v>961</v>
      </c>
      <c r="AK29" s="7">
        <v>2020</v>
      </c>
      <c r="AL29" s="14">
        <v>100</v>
      </c>
      <c r="AM29" s="17"/>
      <c r="AN29" s="7">
        <v>2020</v>
      </c>
      <c r="AO29" s="14">
        <v>100</v>
      </c>
      <c r="AP29" s="17"/>
      <c r="AQ29" s="7">
        <v>2020</v>
      </c>
      <c r="AR29" s="14">
        <v>0</v>
      </c>
      <c r="AS29" s="17" t="s">
        <v>962</v>
      </c>
      <c r="AT29" s="7">
        <v>2020</v>
      </c>
      <c r="AU29" s="14">
        <v>100</v>
      </c>
      <c r="AV29" s="23" t="s">
        <v>963</v>
      </c>
      <c r="AW29" s="7">
        <v>2020</v>
      </c>
      <c r="AX29" s="14">
        <v>0</v>
      </c>
      <c r="AY29" s="23" t="s">
        <v>964</v>
      </c>
    </row>
    <row r="30" spans="1:51" ht="24.75" customHeight="1">
      <c r="A30" s="7">
        <v>2021</v>
      </c>
      <c r="B30" s="15">
        <f>AVERAGE(E30,H30,K30,T30,AF30,AO30,AU30,AX30,AR30)</f>
        <v>66.666666666666671</v>
      </c>
      <c r="C30" s="15"/>
      <c r="D30" s="7">
        <v>2021</v>
      </c>
      <c r="E30" s="21">
        <v>100</v>
      </c>
      <c r="F30" s="17"/>
      <c r="G30" s="7">
        <v>2021</v>
      </c>
      <c r="H30" s="14">
        <v>0</v>
      </c>
      <c r="I30" s="17"/>
      <c r="J30" s="7">
        <v>2021</v>
      </c>
      <c r="K30" s="14">
        <v>100</v>
      </c>
      <c r="L30" s="17"/>
      <c r="M30" s="7">
        <v>2021</v>
      </c>
      <c r="N30" s="14">
        <v>100</v>
      </c>
      <c r="O30" s="17"/>
      <c r="P30" s="7">
        <v>2021</v>
      </c>
      <c r="Q30" s="14">
        <v>100</v>
      </c>
      <c r="R30" s="17"/>
      <c r="S30" s="7">
        <v>2021</v>
      </c>
      <c r="T30" s="14">
        <v>100</v>
      </c>
      <c r="U30" s="17"/>
      <c r="V30" s="7">
        <v>2021</v>
      </c>
      <c r="W30" s="14">
        <v>100</v>
      </c>
      <c r="X30" s="17"/>
      <c r="Y30" s="7">
        <v>2021</v>
      </c>
      <c r="Z30" s="14">
        <v>100</v>
      </c>
      <c r="AA30" s="17"/>
      <c r="AB30" s="7">
        <v>2021</v>
      </c>
      <c r="AC30" s="14">
        <v>100</v>
      </c>
      <c r="AD30" s="17"/>
      <c r="AE30" s="7">
        <v>2021</v>
      </c>
      <c r="AF30" s="31">
        <f t="shared" si="4"/>
        <v>100</v>
      </c>
      <c r="AG30" s="17"/>
      <c r="AH30" s="7">
        <v>2021</v>
      </c>
      <c r="AI30" s="34">
        <v>100</v>
      </c>
      <c r="AJ30" s="19"/>
      <c r="AK30" s="7">
        <v>2021</v>
      </c>
      <c r="AL30" s="14">
        <v>100</v>
      </c>
      <c r="AM30" s="17"/>
      <c r="AN30" s="7">
        <v>2021</v>
      </c>
      <c r="AO30" s="14">
        <v>100</v>
      </c>
      <c r="AP30" s="17"/>
      <c r="AQ30" s="7">
        <v>2021</v>
      </c>
      <c r="AR30" s="14">
        <v>0</v>
      </c>
      <c r="AS30" s="17"/>
      <c r="AT30" s="7">
        <v>2021</v>
      </c>
      <c r="AU30" s="14">
        <v>100</v>
      </c>
      <c r="AV30" s="17"/>
      <c r="AW30" s="7">
        <v>2021</v>
      </c>
      <c r="AX30" s="14">
        <v>0</v>
      </c>
      <c r="AY30" s="23"/>
    </row>
    <row r="31" spans="1:51" ht="24.75" customHeight="1">
      <c r="A31" s="7">
        <v>2022</v>
      </c>
      <c r="B31" s="15">
        <f>AVERAGE(E31,H31,K31,T31,AF31,AO31,AU31,AX31,AR31)</f>
        <v>66.666666666666671</v>
      </c>
      <c r="C31" s="15"/>
      <c r="D31" s="7">
        <v>2022</v>
      </c>
      <c r="E31" s="21">
        <v>100</v>
      </c>
      <c r="F31" s="17"/>
      <c r="G31" s="7">
        <v>2022</v>
      </c>
      <c r="H31" s="14">
        <v>0</v>
      </c>
      <c r="I31" s="17"/>
      <c r="J31" s="7">
        <v>2022</v>
      </c>
      <c r="K31" s="14">
        <v>100</v>
      </c>
      <c r="L31" s="17"/>
      <c r="M31" s="7">
        <v>2022</v>
      </c>
      <c r="N31" s="14">
        <v>100</v>
      </c>
      <c r="O31" s="17"/>
      <c r="P31" s="7">
        <v>2022</v>
      </c>
      <c r="Q31" s="14">
        <v>100</v>
      </c>
      <c r="R31" s="17"/>
      <c r="S31" s="7">
        <v>2022</v>
      </c>
      <c r="T31" s="14">
        <v>100</v>
      </c>
      <c r="U31" s="17"/>
      <c r="V31" s="7">
        <v>2022</v>
      </c>
      <c r="W31" s="14">
        <v>100</v>
      </c>
      <c r="X31" s="17"/>
      <c r="Y31" s="7">
        <v>2022</v>
      </c>
      <c r="Z31" s="14">
        <v>100</v>
      </c>
      <c r="AA31" s="17"/>
      <c r="AB31" s="7">
        <v>2022</v>
      </c>
      <c r="AC31" s="14">
        <v>100</v>
      </c>
      <c r="AD31" s="17"/>
      <c r="AE31" s="7">
        <v>2022</v>
      </c>
      <c r="AF31" s="31">
        <f t="shared" si="4"/>
        <v>100</v>
      </c>
      <c r="AG31" s="17"/>
      <c r="AH31" s="7">
        <v>2022</v>
      </c>
      <c r="AI31" s="34">
        <v>100</v>
      </c>
      <c r="AJ31" s="19"/>
      <c r="AK31" s="7">
        <v>2022</v>
      </c>
      <c r="AL31" s="14">
        <v>100</v>
      </c>
      <c r="AM31" s="17"/>
      <c r="AN31" s="7">
        <v>2022</v>
      </c>
      <c r="AO31" s="14">
        <v>100</v>
      </c>
      <c r="AP31" s="17"/>
      <c r="AQ31" s="7">
        <v>2022</v>
      </c>
      <c r="AR31" s="14">
        <v>0</v>
      </c>
      <c r="AS31" s="17"/>
      <c r="AT31" s="7">
        <v>2022</v>
      </c>
      <c r="AU31" s="14">
        <v>100</v>
      </c>
      <c r="AV31" s="17"/>
      <c r="AW31" s="7">
        <v>2022</v>
      </c>
      <c r="AX31" s="14">
        <v>0</v>
      </c>
      <c r="AY31" s="23"/>
    </row>
    <row r="32" spans="1:51" ht="24.75" customHeight="1">
      <c r="A32" s="7">
        <v>2023</v>
      </c>
      <c r="B32" s="15">
        <f>AVERAGE(E32,H32,K32,T32,AF32,AO32,AU32,AX32,AR32)</f>
        <v>66.666666666666671</v>
      </c>
      <c r="C32" s="15"/>
      <c r="D32" s="7">
        <v>2023</v>
      </c>
      <c r="E32" s="21">
        <v>100</v>
      </c>
      <c r="F32" s="17"/>
      <c r="G32" s="7">
        <v>2023</v>
      </c>
      <c r="H32" s="14">
        <v>0</v>
      </c>
      <c r="I32" s="17"/>
      <c r="J32" s="7">
        <v>2023</v>
      </c>
      <c r="K32" s="14">
        <v>100</v>
      </c>
      <c r="L32" s="17"/>
      <c r="M32" s="7">
        <v>2023</v>
      </c>
      <c r="N32" s="14">
        <v>100</v>
      </c>
      <c r="O32" s="17"/>
      <c r="P32" s="7">
        <v>2023</v>
      </c>
      <c r="Q32" s="14">
        <v>100</v>
      </c>
      <c r="R32" s="17"/>
      <c r="S32" s="7">
        <v>2023</v>
      </c>
      <c r="T32" s="14">
        <v>100</v>
      </c>
      <c r="U32" s="17"/>
      <c r="V32" s="7">
        <v>2023</v>
      </c>
      <c r="W32" s="14">
        <v>100</v>
      </c>
      <c r="X32" s="17"/>
      <c r="Y32" s="7">
        <v>2023</v>
      </c>
      <c r="Z32" s="14">
        <v>100</v>
      </c>
      <c r="AA32" s="17"/>
      <c r="AB32" s="7">
        <v>2023</v>
      </c>
      <c r="AC32" s="14">
        <v>100</v>
      </c>
      <c r="AD32" s="17"/>
      <c r="AE32" s="7">
        <v>2023</v>
      </c>
      <c r="AF32" s="31">
        <f t="shared" si="4"/>
        <v>100</v>
      </c>
      <c r="AG32" s="17"/>
      <c r="AH32" s="7">
        <v>2023</v>
      </c>
      <c r="AI32" s="34">
        <v>100</v>
      </c>
      <c r="AJ32" s="19"/>
      <c r="AK32" s="7">
        <v>2023</v>
      </c>
      <c r="AL32" s="14">
        <v>100</v>
      </c>
      <c r="AM32" s="17"/>
      <c r="AN32" s="7">
        <v>2023</v>
      </c>
      <c r="AO32" s="14">
        <v>100</v>
      </c>
      <c r="AP32" s="17"/>
      <c r="AQ32" s="7">
        <v>2023</v>
      </c>
      <c r="AR32" s="14">
        <v>0</v>
      </c>
      <c r="AS32" s="17"/>
      <c r="AT32" s="7">
        <v>2023</v>
      </c>
      <c r="AU32" s="14">
        <v>100</v>
      </c>
      <c r="AV32" s="17"/>
      <c r="AW32" s="7">
        <v>2023</v>
      </c>
      <c r="AX32" s="14">
        <v>0</v>
      </c>
      <c r="AY32" s="23"/>
    </row>
    <row r="33" spans="1:51" ht="24.75" customHeight="1">
      <c r="A33" s="7">
        <v>2024</v>
      </c>
      <c r="B33" s="15">
        <f>AVERAGE(E33,H33,K33,T33,AF33,AO33,AU33,AX33,AR33)</f>
        <v>66.666666666666671</v>
      </c>
      <c r="C33" s="15"/>
      <c r="D33" s="7">
        <v>2024</v>
      </c>
      <c r="E33" s="21">
        <v>100</v>
      </c>
      <c r="F33" s="17" t="s">
        <v>965</v>
      </c>
      <c r="G33" s="7">
        <v>2024</v>
      </c>
      <c r="H33" s="14">
        <v>0</v>
      </c>
      <c r="I33" s="23" t="s">
        <v>966</v>
      </c>
      <c r="J33" s="7">
        <v>2024</v>
      </c>
      <c r="K33" s="14">
        <v>100</v>
      </c>
      <c r="L33" s="17"/>
      <c r="M33" s="7">
        <v>2024</v>
      </c>
      <c r="N33" s="14">
        <v>100</v>
      </c>
      <c r="O33" s="17" t="s">
        <v>967</v>
      </c>
      <c r="P33" s="7">
        <v>2024</v>
      </c>
      <c r="Q33" s="14">
        <v>100</v>
      </c>
      <c r="R33" s="17" t="s">
        <v>968</v>
      </c>
      <c r="S33" s="7">
        <v>2024</v>
      </c>
      <c r="T33" s="14">
        <v>100</v>
      </c>
      <c r="U33" s="17"/>
      <c r="V33" s="7">
        <v>2024</v>
      </c>
      <c r="W33" s="14">
        <v>100</v>
      </c>
      <c r="X33" s="17" t="s">
        <v>968</v>
      </c>
      <c r="Y33" s="7">
        <v>2024</v>
      </c>
      <c r="Z33" s="14">
        <v>100</v>
      </c>
      <c r="AA33" s="17"/>
      <c r="AB33" s="7">
        <v>2024</v>
      </c>
      <c r="AC33" s="14">
        <v>100</v>
      </c>
      <c r="AD33" s="17"/>
      <c r="AE33" s="7">
        <v>2024</v>
      </c>
      <c r="AF33" s="31">
        <f t="shared" si="4"/>
        <v>100</v>
      </c>
      <c r="AG33" s="17"/>
      <c r="AH33" s="7">
        <v>2024</v>
      </c>
      <c r="AI33" s="34">
        <v>100</v>
      </c>
      <c r="AJ33" s="19"/>
      <c r="AK33" s="7">
        <v>2024</v>
      </c>
      <c r="AL33" s="14">
        <v>100</v>
      </c>
      <c r="AM33" s="17"/>
      <c r="AN33" s="7">
        <v>2024</v>
      </c>
      <c r="AO33" s="14">
        <v>100</v>
      </c>
      <c r="AP33" s="17"/>
      <c r="AQ33" s="7">
        <v>2024</v>
      </c>
      <c r="AR33" s="14">
        <v>0</v>
      </c>
      <c r="AS33" s="17" t="s">
        <v>969</v>
      </c>
      <c r="AT33" s="7">
        <v>2024</v>
      </c>
      <c r="AU33" s="14">
        <v>100</v>
      </c>
      <c r="AV33" s="17"/>
      <c r="AW33" s="7">
        <v>2024</v>
      </c>
      <c r="AX33" s="14">
        <v>0</v>
      </c>
      <c r="AY33" s="23" t="s">
        <v>970</v>
      </c>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c r="AG39" s="310"/>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432</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88.142857142857139</v>
      </c>
      <c r="C42" s="16"/>
      <c r="D42" s="7">
        <v>2020</v>
      </c>
      <c r="E42" s="14">
        <v>67</v>
      </c>
      <c r="F42" s="17"/>
      <c r="G42" s="7">
        <v>2020</v>
      </c>
      <c r="H42" s="14">
        <v>100</v>
      </c>
      <c r="I42" s="17" t="s">
        <v>971</v>
      </c>
      <c r="J42" s="7">
        <v>2020</v>
      </c>
      <c r="K42" s="34">
        <v>100</v>
      </c>
      <c r="L42" s="19"/>
      <c r="M42" s="7">
        <v>2020</v>
      </c>
      <c r="N42" s="31">
        <f t="shared" ref="N42:N46" si="5">AVERAGE(Q42,T42,W42)</f>
        <v>100</v>
      </c>
      <c r="O42" s="14"/>
      <c r="P42" s="7">
        <v>2020</v>
      </c>
      <c r="Q42" s="14">
        <v>100</v>
      </c>
      <c r="R42" s="17" t="s">
        <v>972</v>
      </c>
      <c r="S42" s="7">
        <v>2020</v>
      </c>
      <c r="T42" s="14">
        <v>100</v>
      </c>
      <c r="U42" s="125" t="s">
        <v>973</v>
      </c>
      <c r="V42" s="7">
        <v>2020</v>
      </c>
      <c r="W42" s="82">
        <v>100</v>
      </c>
      <c r="X42" s="83"/>
      <c r="Y42" s="7">
        <v>2020</v>
      </c>
      <c r="Z42" s="34">
        <v>100</v>
      </c>
      <c r="AA42" s="19"/>
      <c r="AB42" s="7">
        <v>2020</v>
      </c>
      <c r="AC42" s="14">
        <v>50</v>
      </c>
      <c r="AD42" s="17"/>
      <c r="AE42" s="7">
        <v>2020</v>
      </c>
      <c r="AF42" s="34">
        <v>100</v>
      </c>
      <c r="AG42" s="14"/>
      <c r="AH42" s="7">
        <v>2020</v>
      </c>
      <c r="AI42" s="47">
        <v>50</v>
      </c>
      <c r="AJ42" s="160" t="s">
        <v>974</v>
      </c>
      <c r="AK42" s="7">
        <v>2020</v>
      </c>
      <c r="AL42" s="82">
        <v>50</v>
      </c>
      <c r="AM42" s="86"/>
    </row>
    <row r="43" spans="1:51" ht="24.75" customHeight="1">
      <c r="A43" s="7">
        <v>2021</v>
      </c>
      <c r="B43" s="16">
        <f t="shared" ref="B43:B46" si="6">AVERAGE(E43,H43,K43,N43,Z43,AC43,AF43)</f>
        <v>88.142857142857139</v>
      </c>
      <c r="C43" s="16"/>
      <c r="D43" s="7">
        <v>2021</v>
      </c>
      <c r="E43" s="14">
        <v>67</v>
      </c>
      <c r="F43" s="17"/>
      <c r="G43" s="7">
        <v>2021</v>
      </c>
      <c r="H43" s="14">
        <v>100</v>
      </c>
      <c r="I43" s="17"/>
      <c r="J43" s="7">
        <v>2021</v>
      </c>
      <c r="K43" s="34">
        <v>100</v>
      </c>
      <c r="L43" s="19"/>
      <c r="M43" s="7">
        <v>2021</v>
      </c>
      <c r="N43" s="31">
        <f t="shared" si="5"/>
        <v>100</v>
      </c>
      <c r="O43" s="14"/>
      <c r="P43" s="7">
        <v>2021</v>
      </c>
      <c r="Q43" s="14">
        <v>100</v>
      </c>
      <c r="R43" s="17"/>
      <c r="S43" s="7">
        <v>2021</v>
      </c>
      <c r="T43" s="14">
        <v>100</v>
      </c>
      <c r="U43" s="17"/>
      <c r="V43" s="7">
        <v>2021</v>
      </c>
      <c r="W43" s="82">
        <v>100</v>
      </c>
      <c r="X43" s="83"/>
      <c r="Y43" s="7">
        <v>2021</v>
      </c>
      <c r="Z43" s="34">
        <v>100</v>
      </c>
      <c r="AA43" s="19"/>
      <c r="AB43" s="7">
        <v>2021</v>
      </c>
      <c r="AC43" s="14">
        <v>50</v>
      </c>
      <c r="AD43" s="17"/>
      <c r="AE43" s="7">
        <v>2021</v>
      </c>
      <c r="AF43" s="1">
        <v>100</v>
      </c>
      <c r="AG43" s="14"/>
      <c r="AH43" s="7">
        <v>2021</v>
      </c>
      <c r="AI43" s="47">
        <v>100</v>
      </c>
      <c r="AJ43" s="19" t="s">
        <v>975</v>
      </c>
      <c r="AK43" s="7">
        <v>2021</v>
      </c>
      <c r="AL43" s="82">
        <v>50</v>
      </c>
      <c r="AM43" s="86"/>
    </row>
    <row r="44" spans="1:51" ht="24.75" customHeight="1">
      <c r="A44" s="7">
        <v>2022</v>
      </c>
      <c r="B44" s="16">
        <f t="shared" si="6"/>
        <v>88.142857142857139</v>
      </c>
      <c r="C44" s="16"/>
      <c r="D44" s="7">
        <v>2022</v>
      </c>
      <c r="E44" s="14">
        <v>67</v>
      </c>
      <c r="F44" s="17"/>
      <c r="G44" s="7">
        <v>2022</v>
      </c>
      <c r="H44" s="14">
        <v>100</v>
      </c>
      <c r="I44" s="17"/>
      <c r="J44" s="7">
        <v>2022</v>
      </c>
      <c r="K44" s="34">
        <v>100</v>
      </c>
      <c r="L44" s="19"/>
      <c r="M44" s="7">
        <v>2022</v>
      </c>
      <c r="N44" s="31">
        <f t="shared" si="5"/>
        <v>100</v>
      </c>
      <c r="O44" s="14"/>
      <c r="P44" s="7">
        <v>2022</v>
      </c>
      <c r="Q44" s="14">
        <v>100</v>
      </c>
      <c r="R44" s="17"/>
      <c r="S44" s="7">
        <v>2022</v>
      </c>
      <c r="T44" s="14">
        <v>100</v>
      </c>
      <c r="U44" s="17"/>
      <c r="V44" s="7">
        <v>2022</v>
      </c>
      <c r="W44" s="82">
        <v>100</v>
      </c>
      <c r="X44" s="83"/>
      <c r="Y44" s="7">
        <v>2022</v>
      </c>
      <c r="Z44" s="34">
        <v>100</v>
      </c>
      <c r="AA44" s="19"/>
      <c r="AB44" s="7">
        <v>2022</v>
      </c>
      <c r="AC44" s="14">
        <v>50</v>
      </c>
      <c r="AD44" s="17"/>
      <c r="AE44" s="7">
        <v>2022</v>
      </c>
      <c r="AF44" s="14">
        <v>100</v>
      </c>
      <c r="AG44" s="14"/>
      <c r="AH44" s="7">
        <v>2022</v>
      </c>
      <c r="AI44" s="47">
        <v>100</v>
      </c>
      <c r="AJ44" s="19"/>
      <c r="AK44" s="7">
        <v>2022</v>
      </c>
      <c r="AL44" s="82">
        <v>50</v>
      </c>
      <c r="AM44" s="86"/>
    </row>
    <row r="45" spans="1:51" ht="24.75" customHeight="1">
      <c r="A45" s="7">
        <v>2023</v>
      </c>
      <c r="B45" s="16">
        <f t="shared" si="6"/>
        <v>88.142857142857139</v>
      </c>
      <c r="C45" s="16"/>
      <c r="D45" s="7">
        <v>2023</v>
      </c>
      <c r="E45" s="14">
        <v>67</v>
      </c>
      <c r="F45" s="17"/>
      <c r="G45" s="7">
        <v>2023</v>
      </c>
      <c r="H45" s="14">
        <v>100</v>
      </c>
      <c r="I45" s="17"/>
      <c r="J45" s="7">
        <v>2023</v>
      </c>
      <c r="K45" s="34">
        <v>100</v>
      </c>
      <c r="L45" s="19"/>
      <c r="M45" s="7">
        <v>2023</v>
      </c>
      <c r="N45" s="31">
        <f t="shared" si="5"/>
        <v>100</v>
      </c>
      <c r="O45" s="14"/>
      <c r="P45" s="7">
        <v>2023</v>
      </c>
      <c r="Q45" s="14">
        <v>100</v>
      </c>
      <c r="R45" s="17"/>
      <c r="S45" s="7">
        <v>2023</v>
      </c>
      <c r="T45" s="14">
        <v>100</v>
      </c>
      <c r="U45" s="17"/>
      <c r="V45" s="7">
        <v>2023</v>
      </c>
      <c r="W45" s="82">
        <v>100</v>
      </c>
      <c r="X45" s="83"/>
      <c r="Y45" s="7">
        <v>2023</v>
      </c>
      <c r="Z45" s="34">
        <v>100</v>
      </c>
      <c r="AA45" s="19"/>
      <c r="AB45" s="7">
        <v>2023</v>
      </c>
      <c r="AC45" s="14">
        <v>50</v>
      </c>
      <c r="AD45" s="17"/>
      <c r="AE45" s="7">
        <v>2023</v>
      </c>
      <c r="AF45" s="14">
        <v>100</v>
      </c>
      <c r="AG45" s="14"/>
      <c r="AH45" s="7">
        <v>2023</v>
      </c>
      <c r="AI45" s="47">
        <v>100</v>
      </c>
      <c r="AJ45" s="19"/>
      <c r="AK45" s="7">
        <v>2023</v>
      </c>
      <c r="AL45" s="82">
        <v>50</v>
      </c>
      <c r="AM45" s="86"/>
    </row>
    <row r="46" spans="1:51" ht="24.75" customHeight="1">
      <c r="A46" s="7">
        <v>2024</v>
      </c>
      <c r="B46" s="16">
        <f t="shared" si="6"/>
        <v>88.142857142857139</v>
      </c>
      <c r="C46" s="16"/>
      <c r="D46" s="7">
        <v>2024</v>
      </c>
      <c r="E46" s="14">
        <v>67</v>
      </c>
      <c r="F46" s="17" t="s">
        <v>976</v>
      </c>
      <c r="G46" s="7">
        <v>2024</v>
      </c>
      <c r="H46" s="14">
        <v>100</v>
      </c>
      <c r="I46" s="17" t="s">
        <v>977</v>
      </c>
      <c r="J46" s="7">
        <v>2024</v>
      </c>
      <c r="K46" s="34">
        <v>100</v>
      </c>
      <c r="L46" s="19" t="s">
        <v>978</v>
      </c>
      <c r="M46" s="7">
        <v>2024</v>
      </c>
      <c r="N46" s="31">
        <f t="shared" si="5"/>
        <v>100</v>
      </c>
      <c r="O46" s="14"/>
      <c r="P46" s="7">
        <v>2024</v>
      </c>
      <c r="Q46" s="14">
        <v>100</v>
      </c>
      <c r="R46" s="17" t="s">
        <v>979</v>
      </c>
      <c r="S46" s="7">
        <v>2024</v>
      </c>
      <c r="T46" s="14">
        <v>100</v>
      </c>
      <c r="U46" s="17"/>
      <c r="V46" s="7">
        <v>2024</v>
      </c>
      <c r="W46" s="82">
        <v>100</v>
      </c>
      <c r="X46" s="83" t="s">
        <v>980</v>
      </c>
      <c r="Y46" s="7">
        <v>2024</v>
      </c>
      <c r="Z46" s="34">
        <v>100</v>
      </c>
      <c r="AA46" s="19" t="s">
        <v>981</v>
      </c>
      <c r="AB46" s="7">
        <v>2024</v>
      </c>
      <c r="AC46" s="14">
        <v>50</v>
      </c>
      <c r="AD46" s="17" t="s">
        <v>982</v>
      </c>
      <c r="AE46" s="7">
        <v>2024</v>
      </c>
      <c r="AF46" s="34">
        <v>100</v>
      </c>
      <c r="AG46" s="14"/>
      <c r="AH46" s="7">
        <v>2024</v>
      </c>
      <c r="AI46" s="47">
        <v>50</v>
      </c>
      <c r="AJ46" s="19" t="s">
        <v>974</v>
      </c>
      <c r="AK46" s="7">
        <v>2024</v>
      </c>
      <c r="AL46" s="82">
        <v>50</v>
      </c>
      <c r="AM46" s="86" t="s">
        <v>983</v>
      </c>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7">AVERAGE(E55,H55,K55,N55,Q55)</f>
        <v>85</v>
      </c>
      <c r="C55" s="16"/>
      <c r="D55" s="7">
        <v>2020</v>
      </c>
      <c r="E55" s="14">
        <v>75</v>
      </c>
      <c r="F55" s="17"/>
      <c r="G55" s="7">
        <v>2020</v>
      </c>
      <c r="H55" s="14">
        <v>100</v>
      </c>
      <c r="I55" s="17"/>
      <c r="J55" s="7">
        <v>2020</v>
      </c>
      <c r="K55" s="34">
        <v>100</v>
      </c>
      <c r="L55" s="35" t="s">
        <v>984</v>
      </c>
      <c r="M55" s="7">
        <v>2020</v>
      </c>
      <c r="N55" s="82">
        <v>50</v>
      </c>
      <c r="O55" s="161" t="s">
        <v>985</v>
      </c>
      <c r="P55" s="7">
        <v>2020</v>
      </c>
      <c r="Q55" s="82">
        <v>100</v>
      </c>
      <c r="R55" s="86" t="s">
        <v>986</v>
      </c>
    </row>
    <row r="56" spans="1:24" ht="24.75" customHeight="1">
      <c r="A56" s="7">
        <v>2021</v>
      </c>
      <c r="B56" s="15">
        <f t="shared" si="7"/>
        <v>85</v>
      </c>
      <c r="C56" s="15"/>
      <c r="D56" s="7">
        <v>2021</v>
      </c>
      <c r="E56" s="14">
        <v>75</v>
      </c>
      <c r="F56" s="17"/>
      <c r="G56" s="7">
        <v>2021</v>
      </c>
      <c r="H56" s="14">
        <v>100</v>
      </c>
      <c r="I56" s="17"/>
      <c r="J56" s="7">
        <v>2021</v>
      </c>
      <c r="K56" s="34">
        <v>100</v>
      </c>
      <c r="L56" s="19"/>
      <c r="M56" s="7">
        <v>2021</v>
      </c>
      <c r="N56" s="82">
        <v>50</v>
      </c>
      <c r="O56" s="83" t="s">
        <v>987</v>
      </c>
      <c r="P56" s="7">
        <v>2021</v>
      </c>
      <c r="Q56" s="82">
        <v>100</v>
      </c>
      <c r="R56" s="86"/>
    </row>
    <row r="57" spans="1:24" ht="24.75" customHeight="1">
      <c r="A57" s="7">
        <v>2022</v>
      </c>
      <c r="B57" s="15">
        <f t="shared" si="7"/>
        <v>85</v>
      </c>
      <c r="C57" s="15"/>
      <c r="D57" s="7">
        <v>2022</v>
      </c>
      <c r="E57" s="14">
        <v>75</v>
      </c>
      <c r="F57" s="17"/>
      <c r="G57" s="7">
        <v>2022</v>
      </c>
      <c r="H57" s="14">
        <v>100</v>
      </c>
      <c r="I57" s="17"/>
      <c r="J57" s="7">
        <v>2022</v>
      </c>
      <c r="K57" s="34">
        <v>100</v>
      </c>
      <c r="L57" s="19"/>
      <c r="M57" s="7">
        <v>2022</v>
      </c>
      <c r="N57" s="82">
        <v>50</v>
      </c>
      <c r="O57" s="83"/>
      <c r="P57" s="7">
        <v>2022</v>
      </c>
      <c r="Q57" s="82">
        <v>100</v>
      </c>
      <c r="R57" s="86" t="s">
        <v>988</v>
      </c>
    </row>
    <row r="58" spans="1:24" ht="24.75" customHeight="1">
      <c r="A58" s="7">
        <v>2023</v>
      </c>
      <c r="B58" s="15">
        <f t="shared" si="7"/>
        <v>85</v>
      </c>
      <c r="C58" s="15"/>
      <c r="D58" s="7">
        <v>2023</v>
      </c>
      <c r="E58" s="14">
        <v>75</v>
      </c>
      <c r="F58" s="17"/>
      <c r="G58" s="7">
        <v>2023</v>
      </c>
      <c r="H58" s="14">
        <v>100</v>
      </c>
      <c r="I58" s="17"/>
      <c r="J58" s="7">
        <v>2023</v>
      </c>
      <c r="K58" s="34">
        <v>100</v>
      </c>
      <c r="L58" s="19"/>
      <c r="M58" s="7">
        <v>2023</v>
      </c>
      <c r="N58" s="82">
        <v>50</v>
      </c>
      <c r="O58" s="86"/>
      <c r="P58" s="7">
        <v>2023</v>
      </c>
      <c r="Q58" s="82">
        <v>100</v>
      </c>
      <c r="R58" s="86"/>
    </row>
    <row r="59" spans="1:24" ht="24.75" customHeight="1">
      <c r="A59" s="7">
        <v>2024</v>
      </c>
      <c r="B59" s="15">
        <f t="shared" si="7"/>
        <v>85</v>
      </c>
      <c r="C59" s="15"/>
      <c r="D59" s="7">
        <v>2024</v>
      </c>
      <c r="E59" s="14">
        <v>75</v>
      </c>
      <c r="F59" s="17" t="s">
        <v>989</v>
      </c>
      <c r="G59" s="7">
        <v>2024</v>
      </c>
      <c r="H59" s="14">
        <v>100</v>
      </c>
      <c r="I59" s="17"/>
      <c r="J59" s="7">
        <v>2024</v>
      </c>
      <c r="K59" s="34">
        <v>100</v>
      </c>
      <c r="L59" s="121"/>
      <c r="M59" s="7">
        <v>2024</v>
      </c>
      <c r="N59" s="82">
        <v>50</v>
      </c>
      <c r="O59" s="162"/>
      <c r="P59" s="7">
        <v>2024</v>
      </c>
      <c r="Q59" s="82">
        <v>100</v>
      </c>
      <c r="R59" s="86"/>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8">AVERAGE(E68,((H68+K68)/2),((N68+Q68+T68)/3),W68)</f>
        <v>95.833333333333329</v>
      </c>
      <c r="C68" s="16"/>
      <c r="D68" s="7">
        <v>2020</v>
      </c>
      <c r="E68" s="21">
        <v>100</v>
      </c>
      <c r="F68" s="17"/>
      <c r="G68" s="7">
        <v>2020</v>
      </c>
      <c r="H68" s="14">
        <v>100</v>
      </c>
      <c r="I68" s="17"/>
      <c r="J68" s="7">
        <v>2020</v>
      </c>
      <c r="K68" s="34">
        <v>100</v>
      </c>
      <c r="L68" s="19"/>
      <c r="M68" s="7">
        <v>2020</v>
      </c>
      <c r="N68" s="14">
        <v>100</v>
      </c>
      <c r="O68" s="17"/>
      <c r="P68" s="7">
        <v>2020</v>
      </c>
      <c r="Q68" s="14">
        <v>100</v>
      </c>
      <c r="R68" s="17"/>
      <c r="S68" s="7">
        <v>2020</v>
      </c>
      <c r="T68" s="14">
        <v>50</v>
      </c>
      <c r="U68" s="17" t="s">
        <v>990</v>
      </c>
      <c r="V68" s="7">
        <v>2020</v>
      </c>
      <c r="W68" s="14">
        <v>100</v>
      </c>
      <c r="X68" s="23"/>
    </row>
    <row r="69" spans="1:27" ht="24.75" customHeight="1">
      <c r="A69" s="7">
        <v>2021</v>
      </c>
      <c r="B69" s="15">
        <f t="shared" si="8"/>
        <v>95.833333333333329</v>
      </c>
      <c r="C69" s="15"/>
      <c r="D69" s="7">
        <v>2021</v>
      </c>
      <c r="E69" s="21">
        <v>100</v>
      </c>
      <c r="F69" s="17"/>
      <c r="G69" s="7">
        <v>2021</v>
      </c>
      <c r="H69" s="14">
        <v>100</v>
      </c>
      <c r="I69" s="17"/>
      <c r="J69" s="7">
        <v>2021</v>
      </c>
      <c r="K69" s="34">
        <v>100</v>
      </c>
      <c r="L69" s="19"/>
      <c r="M69" s="7">
        <v>2021</v>
      </c>
      <c r="N69" s="14">
        <v>100</v>
      </c>
      <c r="O69" s="17"/>
      <c r="P69" s="7">
        <v>2021</v>
      </c>
      <c r="Q69" s="14">
        <v>100</v>
      </c>
      <c r="R69" s="17"/>
      <c r="S69" s="7">
        <v>2021</v>
      </c>
      <c r="T69" s="14">
        <v>50</v>
      </c>
      <c r="U69" s="17"/>
      <c r="V69" s="7">
        <v>2021</v>
      </c>
      <c r="W69" s="14">
        <v>100</v>
      </c>
      <c r="X69" s="23"/>
    </row>
    <row r="70" spans="1:27" ht="24.75" customHeight="1">
      <c r="A70" s="7">
        <v>2022</v>
      </c>
      <c r="B70" s="15">
        <f t="shared" si="8"/>
        <v>95.833333333333329</v>
      </c>
      <c r="C70" s="15"/>
      <c r="D70" s="7">
        <v>2022</v>
      </c>
      <c r="E70" s="21">
        <v>100</v>
      </c>
      <c r="F70" s="17"/>
      <c r="G70" s="7">
        <v>2022</v>
      </c>
      <c r="H70" s="14">
        <v>100</v>
      </c>
      <c r="I70" s="17"/>
      <c r="J70" s="7">
        <v>2022</v>
      </c>
      <c r="K70" s="34">
        <v>100</v>
      </c>
      <c r="L70" s="19"/>
      <c r="M70" s="7">
        <v>2022</v>
      </c>
      <c r="N70" s="14">
        <v>100</v>
      </c>
      <c r="O70" s="17"/>
      <c r="P70" s="7">
        <v>2022</v>
      </c>
      <c r="Q70" s="14">
        <v>100</v>
      </c>
      <c r="R70" s="17"/>
      <c r="S70" s="7">
        <v>2022</v>
      </c>
      <c r="T70" s="14">
        <v>50</v>
      </c>
      <c r="U70" s="17"/>
      <c r="V70" s="7">
        <v>2022</v>
      </c>
      <c r="W70" s="14">
        <v>100</v>
      </c>
      <c r="X70" s="23"/>
    </row>
    <row r="71" spans="1:27" ht="24.75" customHeight="1">
      <c r="A71" s="7">
        <v>2023</v>
      </c>
      <c r="B71" s="15">
        <f t="shared" si="8"/>
        <v>95.833333333333329</v>
      </c>
      <c r="C71" s="15"/>
      <c r="D71" s="7">
        <v>2023</v>
      </c>
      <c r="E71" s="21">
        <v>100</v>
      </c>
      <c r="F71" s="17"/>
      <c r="G71" s="7">
        <v>2023</v>
      </c>
      <c r="H71" s="14">
        <v>100</v>
      </c>
      <c r="I71" s="17"/>
      <c r="J71" s="7">
        <v>2023</v>
      </c>
      <c r="K71" s="34">
        <v>100</v>
      </c>
      <c r="L71" s="19"/>
      <c r="M71" s="7">
        <v>2023</v>
      </c>
      <c r="N71" s="14">
        <v>100</v>
      </c>
      <c r="O71" s="17"/>
      <c r="P71" s="7">
        <v>2023</v>
      </c>
      <c r="Q71" s="14">
        <v>100</v>
      </c>
      <c r="R71" s="17"/>
      <c r="S71" s="7">
        <v>2023</v>
      </c>
      <c r="T71" s="14">
        <v>50</v>
      </c>
      <c r="U71" s="17"/>
      <c r="V71" s="7">
        <v>2023</v>
      </c>
      <c r="W71" s="14">
        <v>100</v>
      </c>
      <c r="X71" s="23"/>
    </row>
    <row r="72" spans="1:27" ht="24.75" customHeight="1">
      <c r="A72" s="7">
        <v>2024</v>
      </c>
      <c r="B72" s="15">
        <f t="shared" si="8"/>
        <v>95.833333333333329</v>
      </c>
      <c r="C72" s="15"/>
      <c r="D72" s="7">
        <v>2024</v>
      </c>
      <c r="E72" s="21">
        <v>100</v>
      </c>
      <c r="F72" s="17" t="s">
        <v>991</v>
      </c>
      <c r="G72" s="7">
        <v>2024</v>
      </c>
      <c r="H72" s="14">
        <v>100</v>
      </c>
      <c r="I72" s="17" t="s">
        <v>992</v>
      </c>
      <c r="J72" s="7">
        <v>2024</v>
      </c>
      <c r="K72" s="34">
        <v>100</v>
      </c>
      <c r="L72" s="19" t="s">
        <v>993</v>
      </c>
      <c r="M72" s="7">
        <v>2024</v>
      </c>
      <c r="N72" s="14">
        <v>100</v>
      </c>
      <c r="O72" s="17"/>
      <c r="P72" s="7">
        <v>2024</v>
      </c>
      <c r="Q72" s="14">
        <v>100</v>
      </c>
      <c r="R72" s="17"/>
      <c r="S72" s="7">
        <v>2024</v>
      </c>
      <c r="T72" s="14">
        <v>50</v>
      </c>
      <c r="U72" s="17"/>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994</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AVERAGE(E81,H81,K81,Z81)</f>
        <v>73.875</v>
      </c>
      <c r="C81" s="15"/>
      <c r="D81" s="7">
        <v>2020</v>
      </c>
      <c r="E81" s="14">
        <v>100</v>
      </c>
      <c r="F81" s="17"/>
      <c r="G81" s="7">
        <v>2020</v>
      </c>
      <c r="H81" s="34">
        <v>33</v>
      </c>
      <c r="I81" s="19" t="s">
        <v>995</v>
      </c>
      <c r="J81" s="7">
        <v>2020</v>
      </c>
      <c r="K81" s="31">
        <f t="shared" ref="K81:K85" si="9">AVERAGE(N81,Q81,T81,W81)</f>
        <v>62.5</v>
      </c>
      <c r="L81" s="14"/>
      <c r="M81" s="7">
        <v>2020</v>
      </c>
      <c r="N81" s="21">
        <v>0</v>
      </c>
      <c r="O81" s="17"/>
      <c r="P81" s="7">
        <v>2020</v>
      </c>
      <c r="Q81" s="21">
        <v>100</v>
      </c>
      <c r="R81" s="17"/>
      <c r="S81" s="7">
        <v>2020</v>
      </c>
      <c r="T81" s="21">
        <v>50</v>
      </c>
      <c r="U81" s="17" t="s">
        <v>996</v>
      </c>
      <c r="V81" s="7">
        <v>2020</v>
      </c>
      <c r="W81" s="84">
        <v>100</v>
      </c>
      <c r="X81" s="86" t="s">
        <v>997</v>
      </c>
      <c r="Y81" s="7">
        <v>2020</v>
      </c>
      <c r="Z81" s="14">
        <v>100</v>
      </c>
      <c r="AA81" s="23" t="s">
        <v>998</v>
      </c>
    </row>
    <row r="82" spans="1:33" ht="24.75" customHeight="1">
      <c r="A82" s="7">
        <v>2021</v>
      </c>
      <c r="B82" s="15">
        <f>AVERAGE(E82,H82,K82,Z82)</f>
        <v>73.875</v>
      </c>
      <c r="C82" s="15"/>
      <c r="D82" s="7">
        <v>2021</v>
      </c>
      <c r="E82" s="14">
        <v>100</v>
      </c>
      <c r="F82" s="17"/>
      <c r="G82" s="7">
        <v>2021</v>
      </c>
      <c r="H82" s="34">
        <v>33</v>
      </c>
      <c r="I82" s="19"/>
      <c r="J82" s="7">
        <v>2021</v>
      </c>
      <c r="K82" s="31">
        <f t="shared" si="9"/>
        <v>62.5</v>
      </c>
      <c r="L82" s="14"/>
      <c r="M82" s="7">
        <v>2021</v>
      </c>
      <c r="N82" s="21">
        <v>0</v>
      </c>
      <c r="O82" s="17"/>
      <c r="P82" s="7">
        <v>2021</v>
      </c>
      <c r="Q82" s="21">
        <v>100</v>
      </c>
      <c r="R82" s="17"/>
      <c r="S82" s="7">
        <v>2021</v>
      </c>
      <c r="T82" s="21">
        <v>50</v>
      </c>
      <c r="U82" s="17"/>
      <c r="V82" s="7">
        <v>2021</v>
      </c>
      <c r="W82" s="84">
        <v>100</v>
      </c>
      <c r="X82" s="83"/>
      <c r="Y82" s="7">
        <v>2021</v>
      </c>
      <c r="Z82" s="14">
        <v>100</v>
      </c>
      <c r="AA82" s="23"/>
    </row>
    <row r="83" spans="1:33" ht="24.75" customHeight="1">
      <c r="A83" s="7">
        <v>2022</v>
      </c>
      <c r="B83" s="15">
        <f>AVERAGE(E83,H83,K83,Z83)</f>
        <v>73.875</v>
      </c>
      <c r="C83" s="15"/>
      <c r="D83" s="7">
        <v>2022</v>
      </c>
      <c r="E83" s="14">
        <v>100</v>
      </c>
      <c r="F83" s="17"/>
      <c r="G83" s="7">
        <v>2022</v>
      </c>
      <c r="H83" s="34">
        <v>33</v>
      </c>
      <c r="I83" s="19"/>
      <c r="J83" s="7">
        <v>2022</v>
      </c>
      <c r="K83" s="31">
        <f t="shared" si="9"/>
        <v>62.5</v>
      </c>
      <c r="L83" s="14"/>
      <c r="M83" s="7">
        <v>2022</v>
      </c>
      <c r="N83" s="21">
        <v>0</v>
      </c>
      <c r="O83" s="17"/>
      <c r="P83" s="7">
        <v>2022</v>
      </c>
      <c r="Q83" s="21">
        <v>100</v>
      </c>
      <c r="R83" s="17"/>
      <c r="S83" s="7">
        <v>2022</v>
      </c>
      <c r="T83" s="21">
        <v>50</v>
      </c>
      <c r="U83" s="17"/>
      <c r="V83" s="7">
        <v>2022</v>
      </c>
      <c r="W83" s="84">
        <v>100</v>
      </c>
      <c r="X83" s="83"/>
      <c r="Y83" s="7">
        <v>2022</v>
      </c>
      <c r="Z83" s="14">
        <v>100</v>
      </c>
      <c r="AA83" s="23"/>
    </row>
    <row r="84" spans="1:33" ht="24.75" customHeight="1">
      <c r="A84" s="7">
        <v>2023</v>
      </c>
      <c r="B84" s="15">
        <f>AVERAGE(E84,H84,K84,Z84)</f>
        <v>73.875</v>
      </c>
      <c r="C84" s="15"/>
      <c r="D84" s="7">
        <v>2023</v>
      </c>
      <c r="E84" s="14">
        <v>100</v>
      </c>
      <c r="F84" s="17"/>
      <c r="G84" s="7">
        <v>2023</v>
      </c>
      <c r="H84" s="34">
        <v>33</v>
      </c>
      <c r="I84" s="19"/>
      <c r="J84" s="7">
        <v>2023</v>
      </c>
      <c r="K84" s="31">
        <f t="shared" si="9"/>
        <v>62.5</v>
      </c>
      <c r="L84" s="14"/>
      <c r="M84" s="7">
        <v>2023</v>
      </c>
      <c r="N84" s="21">
        <v>0</v>
      </c>
      <c r="O84" s="17"/>
      <c r="P84" s="7">
        <v>2023</v>
      </c>
      <c r="Q84" s="21">
        <v>100</v>
      </c>
      <c r="R84" s="17"/>
      <c r="S84" s="7">
        <v>2023</v>
      </c>
      <c r="T84" s="21">
        <v>50</v>
      </c>
      <c r="U84" s="17"/>
      <c r="V84" s="7">
        <v>2023</v>
      </c>
      <c r="W84" s="84">
        <v>100</v>
      </c>
      <c r="X84" s="83"/>
      <c r="Y84" s="7">
        <v>2023</v>
      </c>
      <c r="Z84" s="14">
        <v>100</v>
      </c>
      <c r="AA84" s="23"/>
    </row>
    <row r="85" spans="1:33" ht="24.75" customHeight="1">
      <c r="A85" s="7">
        <v>2024</v>
      </c>
      <c r="B85" s="15">
        <f>AVERAGE(E85,H85,K85,Z85)</f>
        <v>73.875</v>
      </c>
      <c r="C85" s="15"/>
      <c r="D85" s="7">
        <v>2024</v>
      </c>
      <c r="E85" s="14">
        <v>100</v>
      </c>
      <c r="F85" s="17" t="s">
        <v>999</v>
      </c>
      <c r="G85" s="7">
        <v>2024</v>
      </c>
      <c r="H85" s="34">
        <v>33</v>
      </c>
      <c r="I85" s="19" t="s">
        <v>1000</v>
      </c>
      <c r="J85" s="7">
        <v>2024</v>
      </c>
      <c r="K85" s="31">
        <f t="shared" si="9"/>
        <v>62.5</v>
      </c>
      <c r="L85" s="14"/>
      <c r="M85" s="7">
        <v>2024</v>
      </c>
      <c r="N85" s="21">
        <v>0</v>
      </c>
      <c r="O85" s="23" t="s">
        <v>1001</v>
      </c>
      <c r="P85" s="7">
        <v>2024</v>
      </c>
      <c r="Q85" s="21">
        <v>100</v>
      </c>
      <c r="R85" s="17" t="s">
        <v>1002</v>
      </c>
      <c r="S85" s="7">
        <v>2024</v>
      </c>
      <c r="T85" s="21">
        <v>50</v>
      </c>
      <c r="U85" s="17" t="s">
        <v>1003</v>
      </c>
      <c r="V85" s="7">
        <v>2024</v>
      </c>
      <c r="W85" s="84">
        <v>100</v>
      </c>
      <c r="X85" s="83" t="s">
        <v>1004</v>
      </c>
      <c r="Y85" s="7">
        <v>2024</v>
      </c>
      <c r="Z85" s="14">
        <v>100</v>
      </c>
      <c r="AA85" s="23" t="s">
        <v>968</v>
      </c>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100</v>
      </c>
      <c r="C94" s="15"/>
      <c r="D94" s="7">
        <v>2020</v>
      </c>
      <c r="E94" s="21">
        <v>100</v>
      </c>
      <c r="F94" s="23" t="s">
        <v>1005</v>
      </c>
      <c r="G94" s="7">
        <v>2020</v>
      </c>
      <c r="H94" s="31">
        <f t="shared" ref="H94:H98" si="10">AVERAGE(K94,N94,Q94,T94)</f>
        <v>100</v>
      </c>
      <c r="I94" s="14"/>
      <c r="J94" s="7">
        <v>2020</v>
      </c>
      <c r="K94" s="14">
        <v>100</v>
      </c>
      <c r="L94" s="23" t="s">
        <v>1006</v>
      </c>
      <c r="M94" s="7">
        <v>2020</v>
      </c>
      <c r="N94" s="14">
        <v>100</v>
      </c>
      <c r="O94" s="23" t="s">
        <v>1007</v>
      </c>
      <c r="P94" s="7">
        <v>2020</v>
      </c>
      <c r="Q94" s="14">
        <v>100</v>
      </c>
      <c r="R94" s="17" t="s">
        <v>1008</v>
      </c>
      <c r="S94" s="7">
        <v>2020</v>
      </c>
      <c r="T94" s="14">
        <v>100</v>
      </c>
      <c r="U94" s="17" t="s">
        <v>1009</v>
      </c>
      <c r="V94" s="7">
        <v>2020</v>
      </c>
      <c r="W94" s="14">
        <v>100</v>
      </c>
      <c r="X94" s="23" t="s">
        <v>1010</v>
      </c>
      <c r="Y94" s="7">
        <v>2020</v>
      </c>
      <c r="Z94" s="14">
        <v>100</v>
      </c>
      <c r="AA94" s="17" t="s">
        <v>1011</v>
      </c>
      <c r="AB94" s="7">
        <v>2020</v>
      </c>
      <c r="AC94" s="14">
        <v>100</v>
      </c>
      <c r="AD94" s="23" t="s">
        <v>1012</v>
      </c>
      <c r="AE94" s="7">
        <v>2020</v>
      </c>
      <c r="AF94" s="34">
        <v>100</v>
      </c>
      <c r="AG94" s="35"/>
    </row>
    <row r="95" spans="1:33" ht="24.75" customHeight="1">
      <c r="A95" s="7">
        <v>2021</v>
      </c>
      <c r="B95" s="15">
        <f>AVERAGE(E95,H95, W95,((Z95+AC95+AF95)/3))</f>
        <v>100</v>
      </c>
      <c r="C95" s="15"/>
      <c r="D95" s="7">
        <v>2021</v>
      </c>
      <c r="E95" s="21">
        <v>100</v>
      </c>
      <c r="F95" s="17"/>
      <c r="G95" s="7">
        <v>2021</v>
      </c>
      <c r="H95" s="31">
        <f t="shared" si="10"/>
        <v>100</v>
      </c>
      <c r="I95" s="14"/>
      <c r="J95" s="7">
        <v>2021</v>
      </c>
      <c r="K95" s="14">
        <v>100</v>
      </c>
      <c r="L95" s="17"/>
      <c r="M95" s="7">
        <v>2021</v>
      </c>
      <c r="N95" s="14">
        <v>100</v>
      </c>
      <c r="O95" s="17"/>
      <c r="P95" s="7">
        <v>2021</v>
      </c>
      <c r="Q95" s="14">
        <v>100</v>
      </c>
      <c r="R95" s="17"/>
      <c r="S95" s="7">
        <v>2021</v>
      </c>
      <c r="T95" s="14">
        <v>100</v>
      </c>
      <c r="U95" s="17"/>
      <c r="V95" s="7">
        <v>2021</v>
      </c>
      <c r="W95" s="14">
        <v>100</v>
      </c>
      <c r="X95" s="17"/>
      <c r="Y95" s="7">
        <v>2021</v>
      </c>
      <c r="Z95" s="14">
        <v>100</v>
      </c>
      <c r="AA95" s="17"/>
      <c r="AB95" s="7">
        <v>2021</v>
      </c>
      <c r="AC95" s="14">
        <v>100</v>
      </c>
      <c r="AD95" s="17"/>
      <c r="AE95" s="7">
        <v>2021</v>
      </c>
      <c r="AF95" s="34">
        <v>100</v>
      </c>
      <c r="AG95" s="35"/>
    </row>
    <row r="96" spans="1:33" ht="24.75" customHeight="1">
      <c r="A96" s="7">
        <v>2022</v>
      </c>
      <c r="B96" s="15">
        <f>AVERAGE(E96,H96, W96,((Z96+AC96+AF96)/3))</f>
        <v>100</v>
      </c>
      <c r="C96" s="15"/>
      <c r="D96" s="7">
        <v>2022</v>
      </c>
      <c r="E96" s="21">
        <v>100</v>
      </c>
      <c r="F96" s="17"/>
      <c r="G96" s="7">
        <v>2022</v>
      </c>
      <c r="H96" s="31">
        <f t="shared" si="10"/>
        <v>100</v>
      </c>
      <c r="I96" s="14"/>
      <c r="J96" s="7">
        <v>2022</v>
      </c>
      <c r="K96" s="14">
        <v>100</v>
      </c>
      <c r="L96" s="23" t="s">
        <v>1013</v>
      </c>
      <c r="M96" s="7">
        <v>2022</v>
      </c>
      <c r="N96" s="14">
        <v>100</v>
      </c>
      <c r="O96" s="163" t="s">
        <v>1014</v>
      </c>
      <c r="P96" s="7">
        <v>2022</v>
      </c>
      <c r="Q96" s="14">
        <v>100</v>
      </c>
      <c r="R96" s="17"/>
      <c r="S96" s="7">
        <v>2022</v>
      </c>
      <c r="T96" s="14">
        <v>100</v>
      </c>
      <c r="U96" s="17"/>
      <c r="V96" s="7">
        <v>2022</v>
      </c>
      <c r="W96" s="14">
        <v>100</v>
      </c>
      <c r="X96" s="17" t="s">
        <v>1015</v>
      </c>
      <c r="Y96" s="7">
        <v>2022</v>
      </c>
      <c r="Z96" s="14">
        <v>100</v>
      </c>
      <c r="AA96" s="17"/>
      <c r="AB96" s="7">
        <v>2022</v>
      </c>
      <c r="AC96" s="14">
        <v>100</v>
      </c>
      <c r="AD96" s="17"/>
      <c r="AE96" s="7">
        <v>2022</v>
      </c>
      <c r="AF96" s="34">
        <v>100</v>
      </c>
      <c r="AG96" s="35"/>
    </row>
    <row r="97" spans="1:51" ht="24.75" customHeight="1">
      <c r="A97" s="7">
        <v>2023</v>
      </c>
      <c r="B97" s="15">
        <f>AVERAGE(E97,H97, W97,((Z97+AC97+AF97)/3))</f>
        <v>100</v>
      </c>
      <c r="C97" s="15"/>
      <c r="D97" s="7">
        <v>2023</v>
      </c>
      <c r="E97" s="21">
        <v>100</v>
      </c>
      <c r="F97" s="17"/>
      <c r="G97" s="7">
        <v>2023</v>
      </c>
      <c r="H97" s="31">
        <f t="shared" si="10"/>
        <v>100</v>
      </c>
      <c r="I97" s="14"/>
      <c r="J97" s="7">
        <v>2023</v>
      </c>
      <c r="K97" s="14">
        <v>100</v>
      </c>
      <c r="L97" s="17"/>
      <c r="M97" s="7">
        <v>2023</v>
      </c>
      <c r="N97" s="14">
        <v>100</v>
      </c>
      <c r="O97" s="17"/>
      <c r="P97" s="7">
        <v>2023</v>
      </c>
      <c r="Q97" s="14">
        <v>100</v>
      </c>
      <c r="R97" s="17"/>
      <c r="S97" s="7">
        <v>2023</v>
      </c>
      <c r="T97" s="14">
        <v>100</v>
      </c>
      <c r="U97" s="17"/>
      <c r="V97" s="7">
        <v>2023</v>
      </c>
      <c r="W97" s="14">
        <v>100</v>
      </c>
      <c r="X97" s="17"/>
      <c r="Y97" s="7">
        <v>2023</v>
      </c>
      <c r="Z97" s="14">
        <v>100</v>
      </c>
      <c r="AA97" s="17"/>
      <c r="AB97" s="7">
        <v>2023</v>
      </c>
      <c r="AC97" s="14">
        <v>100</v>
      </c>
      <c r="AD97" s="17"/>
      <c r="AE97" s="7">
        <v>2023</v>
      </c>
      <c r="AF97" s="34">
        <v>100</v>
      </c>
      <c r="AG97" s="35"/>
    </row>
    <row r="98" spans="1:51" ht="24.75" customHeight="1">
      <c r="A98" s="7">
        <v>2024</v>
      </c>
      <c r="B98" s="15">
        <f>AVERAGE(E98,H98, W98,((Z98+AC98+AF98)/3))</f>
        <v>100</v>
      </c>
      <c r="C98" s="15"/>
      <c r="D98" s="7">
        <v>2024</v>
      </c>
      <c r="E98" s="21">
        <v>100</v>
      </c>
      <c r="F98" s="17" t="s">
        <v>1016</v>
      </c>
      <c r="G98" s="7">
        <v>2024</v>
      </c>
      <c r="H98" s="31">
        <f t="shared" si="10"/>
        <v>100</v>
      </c>
      <c r="I98" s="14"/>
      <c r="J98" s="7">
        <v>2024</v>
      </c>
      <c r="K98" s="14">
        <v>100</v>
      </c>
      <c r="L98" s="17" t="s">
        <v>1017</v>
      </c>
      <c r="M98" s="7">
        <v>2024</v>
      </c>
      <c r="N98" s="14">
        <v>100</v>
      </c>
      <c r="O98" s="17" t="s">
        <v>1017</v>
      </c>
      <c r="P98" s="7">
        <v>2024</v>
      </c>
      <c r="Q98" s="14">
        <v>100</v>
      </c>
      <c r="R98" s="17" t="s">
        <v>1018</v>
      </c>
      <c r="S98" s="7">
        <v>2024</v>
      </c>
      <c r="T98" s="14">
        <v>100</v>
      </c>
      <c r="U98" s="17" t="s">
        <v>1018</v>
      </c>
      <c r="V98" s="7">
        <v>2024</v>
      </c>
      <c r="W98" s="14">
        <v>100</v>
      </c>
      <c r="X98" s="17" t="s">
        <v>1019</v>
      </c>
      <c r="Y98" s="7">
        <v>2024</v>
      </c>
      <c r="Z98" s="14">
        <v>100</v>
      </c>
      <c r="AA98" s="17" t="s">
        <v>1018</v>
      </c>
      <c r="AB98" s="7">
        <v>2024</v>
      </c>
      <c r="AC98" s="14">
        <v>100</v>
      </c>
      <c r="AD98" s="17" t="s">
        <v>1018</v>
      </c>
      <c r="AE98" s="7">
        <v>2024</v>
      </c>
      <c r="AF98" s="34">
        <v>100</v>
      </c>
      <c r="AG98" s="35" t="s">
        <v>1018</v>
      </c>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72.958333333333343</v>
      </c>
      <c r="C107" s="43"/>
      <c r="D107" s="27">
        <v>2020</v>
      </c>
      <c r="E107" s="14">
        <v>50</v>
      </c>
      <c r="F107" s="23"/>
      <c r="G107" s="7">
        <v>2020</v>
      </c>
      <c r="H107" s="44">
        <v>100</v>
      </c>
      <c r="I107" s="23"/>
      <c r="J107" s="27">
        <v>2020</v>
      </c>
      <c r="K107" s="74">
        <v>50</v>
      </c>
      <c r="L107" s="23"/>
      <c r="M107" s="7">
        <v>2020</v>
      </c>
      <c r="N107" s="21">
        <v>50</v>
      </c>
      <c r="O107" s="23"/>
      <c r="P107" s="27">
        <v>2020</v>
      </c>
      <c r="Q107" s="131">
        <v>100</v>
      </c>
      <c r="R107" s="164" t="s">
        <v>1020</v>
      </c>
      <c r="S107" s="7">
        <v>2020</v>
      </c>
      <c r="T107" s="46">
        <v>0</v>
      </c>
      <c r="U107" s="164" t="s">
        <v>1021</v>
      </c>
      <c r="V107" s="7">
        <v>2020</v>
      </c>
      <c r="W107" s="14">
        <v>67</v>
      </c>
      <c r="X107" s="23" t="s">
        <v>1022</v>
      </c>
      <c r="Y107" s="7">
        <v>2020</v>
      </c>
      <c r="Z107" s="131">
        <v>100</v>
      </c>
      <c r="AA107" s="164"/>
      <c r="AB107" s="7">
        <v>2020</v>
      </c>
      <c r="AC107" s="21">
        <v>100</v>
      </c>
      <c r="AD107" s="23"/>
      <c r="AE107" s="7">
        <v>2020</v>
      </c>
      <c r="AF107" s="82">
        <v>50</v>
      </c>
      <c r="AG107" s="86"/>
      <c r="AH107" s="7">
        <v>2020</v>
      </c>
      <c r="AI107" s="21">
        <v>100</v>
      </c>
      <c r="AJ107" s="23" t="s">
        <v>1023</v>
      </c>
      <c r="AK107" s="7">
        <v>2020</v>
      </c>
      <c r="AL107" s="84">
        <v>50</v>
      </c>
      <c r="AM107" s="86"/>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72.958333333333343</v>
      </c>
      <c r="C108" s="49"/>
      <c r="D108" s="27">
        <v>2021</v>
      </c>
      <c r="E108" s="14">
        <v>50</v>
      </c>
      <c r="F108" s="23"/>
      <c r="G108" s="7">
        <v>2021</v>
      </c>
      <c r="H108" s="44">
        <v>100</v>
      </c>
      <c r="I108" s="23"/>
      <c r="J108" s="27">
        <v>2021</v>
      </c>
      <c r="K108" s="74">
        <v>50</v>
      </c>
      <c r="L108" s="23"/>
      <c r="M108" s="7">
        <v>2021</v>
      </c>
      <c r="N108" s="21">
        <v>50</v>
      </c>
      <c r="O108" s="23"/>
      <c r="P108" s="27">
        <v>2021</v>
      </c>
      <c r="Q108" s="131">
        <v>100</v>
      </c>
      <c r="R108" s="164"/>
      <c r="S108" s="7">
        <v>2021</v>
      </c>
      <c r="T108" s="46">
        <v>0</v>
      </c>
      <c r="U108" s="164"/>
      <c r="V108" s="7">
        <v>2021</v>
      </c>
      <c r="W108" s="14">
        <v>67</v>
      </c>
      <c r="X108" s="23"/>
      <c r="Y108" s="7">
        <v>2021</v>
      </c>
      <c r="Z108" s="131">
        <v>100</v>
      </c>
      <c r="AA108" s="164"/>
      <c r="AB108" s="7">
        <v>2021</v>
      </c>
      <c r="AC108" s="21">
        <v>100</v>
      </c>
      <c r="AD108" s="23"/>
      <c r="AE108" s="7">
        <v>2021</v>
      </c>
      <c r="AF108" s="82">
        <v>50</v>
      </c>
      <c r="AG108" s="86"/>
      <c r="AH108" s="7">
        <v>2021</v>
      </c>
      <c r="AI108" s="21">
        <v>100</v>
      </c>
      <c r="AJ108" s="23"/>
      <c r="AK108" s="7">
        <v>2021</v>
      </c>
      <c r="AL108" s="84">
        <v>50</v>
      </c>
      <c r="AM108" s="86"/>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72.958333333333343</v>
      </c>
      <c r="C109" s="49"/>
      <c r="D109" s="27">
        <v>2022</v>
      </c>
      <c r="E109" s="14">
        <v>50</v>
      </c>
      <c r="F109" s="23"/>
      <c r="G109" s="27">
        <v>2022</v>
      </c>
      <c r="H109" s="44">
        <v>100</v>
      </c>
      <c r="I109" s="23"/>
      <c r="J109" s="27">
        <v>2022</v>
      </c>
      <c r="K109" s="74">
        <v>50</v>
      </c>
      <c r="L109" s="23"/>
      <c r="M109" s="27">
        <v>2022</v>
      </c>
      <c r="N109" s="21">
        <v>50</v>
      </c>
      <c r="O109" s="23"/>
      <c r="P109" s="27">
        <v>2022</v>
      </c>
      <c r="Q109" s="131">
        <v>100</v>
      </c>
      <c r="R109" s="164" t="s">
        <v>1024</v>
      </c>
      <c r="S109" s="27">
        <v>2022</v>
      </c>
      <c r="T109" s="46">
        <v>0</v>
      </c>
      <c r="U109" s="164"/>
      <c r="V109" s="27">
        <v>2022</v>
      </c>
      <c r="W109" s="14">
        <v>67</v>
      </c>
      <c r="X109" s="23"/>
      <c r="Y109" s="27">
        <v>2022</v>
      </c>
      <c r="Z109" s="131">
        <v>100</v>
      </c>
      <c r="AA109" s="164"/>
      <c r="AB109" s="27">
        <v>2022</v>
      </c>
      <c r="AC109" s="21">
        <v>100</v>
      </c>
      <c r="AD109" s="23"/>
      <c r="AE109" s="27">
        <v>2022</v>
      </c>
      <c r="AF109" s="82">
        <v>50</v>
      </c>
      <c r="AG109" s="86"/>
      <c r="AH109" s="27">
        <v>2022</v>
      </c>
      <c r="AI109" s="21">
        <v>100</v>
      </c>
      <c r="AJ109" s="23"/>
      <c r="AK109" s="27">
        <v>2022</v>
      </c>
      <c r="AL109" s="84">
        <v>50</v>
      </c>
      <c r="AM109" s="86"/>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72.958333333333343</v>
      </c>
      <c r="C110" s="49"/>
      <c r="D110" s="27">
        <v>2023</v>
      </c>
      <c r="E110" s="14">
        <v>50</v>
      </c>
      <c r="F110" s="23"/>
      <c r="G110" s="27">
        <v>2023</v>
      </c>
      <c r="H110" s="44">
        <v>100</v>
      </c>
      <c r="I110" s="23"/>
      <c r="J110" s="27">
        <v>2023</v>
      </c>
      <c r="K110" s="74">
        <v>50</v>
      </c>
      <c r="L110" s="23"/>
      <c r="M110" s="27">
        <v>2023</v>
      </c>
      <c r="N110" s="21">
        <v>50</v>
      </c>
      <c r="O110" s="23"/>
      <c r="P110" s="27">
        <v>2023</v>
      </c>
      <c r="Q110" s="131">
        <v>100</v>
      </c>
      <c r="R110" s="164"/>
      <c r="S110" s="27">
        <v>2023</v>
      </c>
      <c r="T110" s="46">
        <v>0</v>
      </c>
      <c r="U110" s="164"/>
      <c r="V110" s="27">
        <v>2023</v>
      </c>
      <c r="W110" s="14">
        <v>67</v>
      </c>
      <c r="X110" s="23"/>
      <c r="Y110" s="27">
        <v>2023</v>
      </c>
      <c r="Z110" s="131">
        <v>100</v>
      </c>
      <c r="AA110" s="164"/>
      <c r="AB110" s="27">
        <v>2023</v>
      </c>
      <c r="AC110" s="21">
        <v>100</v>
      </c>
      <c r="AD110" s="23"/>
      <c r="AE110" s="27">
        <v>2023</v>
      </c>
      <c r="AF110" s="82">
        <v>50</v>
      </c>
      <c r="AG110" s="86"/>
      <c r="AH110" s="27">
        <v>2023</v>
      </c>
      <c r="AI110" s="21">
        <v>100</v>
      </c>
      <c r="AJ110" s="23"/>
      <c r="AK110" s="27">
        <v>2023</v>
      </c>
      <c r="AL110" s="84">
        <v>50</v>
      </c>
      <c r="AM110" s="86"/>
    </row>
    <row r="111" spans="1:51" ht="22.5" customHeight="1">
      <c r="A111" s="27">
        <v>2024</v>
      </c>
      <c r="B111" s="42">
        <f>AVERAGE((E111+K111+Q111)/3+(H111+N111+T111)/3+W111+Z111+AC111+AF111+AI111+AL111)/8</f>
        <v>72.958333333333343</v>
      </c>
      <c r="C111" s="49"/>
      <c r="D111" s="27">
        <v>2024</v>
      </c>
      <c r="E111" s="14">
        <v>50</v>
      </c>
      <c r="F111" s="23" t="s">
        <v>1025</v>
      </c>
      <c r="G111" s="27">
        <v>2024</v>
      </c>
      <c r="H111" s="44">
        <v>100</v>
      </c>
      <c r="I111" s="23" t="s">
        <v>1026</v>
      </c>
      <c r="J111" s="27">
        <v>2024</v>
      </c>
      <c r="K111" s="74">
        <v>50</v>
      </c>
      <c r="L111" s="23" t="s">
        <v>1027</v>
      </c>
      <c r="M111" s="27">
        <v>2024</v>
      </c>
      <c r="N111" s="21">
        <v>50</v>
      </c>
      <c r="O111" s="23" t="s">
        <v>1028</v>
      </c>
      <c r="P111" s="27">
        <v>2024</v>
      </c>
      <c r="Q111" s="131">
        <v>100</v>
      </c>
      <c r="R111" s="164" t="s">
        <v>1029</v>
      </c>
      <c r="S111" s="27">
        <v>2024</v>
      </c>
      <c r="T111" s="46">
        <v>0</v>
      </c>
      <c r="U111" s="164" t="s">
        <v>1030</v>
      </c>
      <c r="V111" s="27">
        <v>2024</v>
      </c>
      <c r="W111" s="14">
        <v>67</v>
      </c>
      <c r="X111" s="23" t="s">
        <v>1031</v>
      </c>
      <c r="Y111" s="27">
        <v>2024</v>
      </c>
      <c r="Z111" s="131">
        <v>100</v>
      </c>
      <c r="AA111" s="164" t="s">
        <v>1032</v>
      </c>
      <c r="AB111" s="27">
        <v>2024</v>
      </c>
      <c r="AC111" s="21">
        <v>100</v>
      </c>
      <c r="AD111" s="165" t="s">
        <v>1033</v>
      </c>
      <c r="AE111" s="27">
        <v>2024</v>
      </c>
      <c r="AF111" s="82">
        <v>50</v>
      </c>
      <c r="AG111" s="86" t="s">
        <v>1034</v>
      </c>
      <c r="AH111" s="27">
        <v>2024</v>
      </c>
      <c r="AI111" s="21">
        <v>100</v>
      </c>
      <c r="AJ111" s="166" t="s">
        <v>1035</v>
      </c>
      <c r="AK111" s="27">
        <v>2024</v>
      </c>
      <c r="AL111" s="84">
        <v>50</v>
      </c>
      <c r="AM111" s="86" t="s">
        <v>1036</v>
      </c>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hyperlinks>
    <hyperlink ref="U42" r:id="rId1" xr:uid="{7A7CE3D0-14E8-4448-BFE8-012A73BDA378}"/>
    <hyperlink ref="AD111" r:id="rId2" display="https://kotoutuminen.fi/en/understanding-and-interpretation" xr:uid="{D8D90070-3C48-49A5-9082-D437D166CF58}"/>
  </hyperlinks>
  <pageMargins left="0.70833333333333304" right="0.70833333333333304" top="0.74791666666666701" bottom="0.74791666666666701" header="0.31458333333333299" footer="0.31458333333333299"/>
  <pageSetup paperSize="9" scale="50" orientation="landscap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502C-7686-4F95-A233-953265326C9D}">
  <dimension ref="A1:CC111"/>
  <sheetViews>
    <sheetView topLeftCell="D97" zoomScale="78" zoomScaleNormal="65" workbookViewId="0">
      <selection activeCell="I110" sqref="I110"/>
    </sheetView>
  </sheetViews>
  <sheetFormatPr defaultColWidth="8.90625" defaultRowHeight="15" customHeight="1"/>
  <cols>
    <col min="1" max="1" width="17.453125" style="1" customWidth="1"/>
    <col min="2" max="2" width="1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6328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90625" style="1"/>
  </cols>
  <sheetData>
    <row r="1" spans="1:81" ht="32.4" customHeight="1">
      <c r="A1" s="323" t="s">
        <v>0</v>
      </c>
      <c r="B1" s="323"/>
      <c r="C1" s="323"/>
      <c r="D1" s="323"/>
    </row>
    <row r="2" spans="1:81" ht="52.25" customHeight="1">
      <c r="A2" s="2" t="s">
        <v>1</v>
      </c>
      <c r="B2" s="2" t="s">
        <v>2</v>
      </c>
      <c r="C2" s="2" t="s">
        <v>3</v>
      </c>
      <c r="D2" s="2" t="s">
        <v>4</v>
      </c>
    </row>
    <row r="3" spans="1:81" ht="15" customHeight="1">
      <c r="A3" s="3">
        <v>2020</v>
      </c>
      <c r="B3" s="16">
        <f>AVERAGE(B16,B29,B42,B55,B68,B81,B94,B107)</f>
        <v>55.46602182539683</v>
      </c>
      <c r="C3" s="16">
        <f>AVERAGE(B16,B29,B42,B55,B68,B81,B94)</f>
        <v>54.758786848072567</v>
      </c>
      <c r="D3" s="16">
        <f>AVERAGE(B16,B29,B55,B68,B81,B94)</f>
        <v>57.932870370370374</v>
      </c>
    </row>
    <row r="4" spans="1:81" ht="15" customHeight="1">
      <c r="A4" s="3">
        <v>2021</v>
      </c>
      <c r="B4" s="16">
        <f t="shared" ref="B4:B7" si="0">AVERAGE(B17,B30,B43,B56,B69,B82,B95,B108)</f>
        <v>55.46602182539683</v>
      </c>
      <c r="C4" s="16">
        <f t="shared" ref="C4:C7" si="1">AVERAGE(B17,B30,B43,B56,B69,B82,B95)</f>
        <v>54.758786848072567</v>
      </c>
      <c r="D4" s="16">
        <f t="shared" ref="D4:D7" si="2">AVERAGE(B17,B30,B56,B69,B82,B95)</f>
        <v>57.932870370370374</v>
      </c>
    </row>
    <row r="5" spans="1:81" ht="15" customHeight="1">
      <c r="A5" s="3">
        <v>2022</v>
      </c>
      <c r="B5" s="16">
        <f t="shared" si="0"/>
        <v>55.46602182539683</v>
      </c>
      <c r="C5" s="16">
        <f t="shared" si="1"/>
        <v>54.758786848072567</v>
      </c>
      <c r="D5" s="16">
        <f t="shared" si="2"/>
        <v>57.932870370370374</v>
      </c>
    </row>
    <row r="6" spans="1:81" ht="15" customHeight="1">
      <c r="A6" s="3">
        <v>2023</v>
      </c>
      <c r="B6" s="16">
        <f t="shared" si="0"/>
        <v>56.358878968253975</v>
      </c>
      <c r="C6" s="16">
        <f t="shared" si="1"/>
        <v>55.779195011337876</v>
      </c>
      <c r="D6" s="16">
        <f t="shared" si="2"/>
        <v>57.932870370370374</v>
      </c>
    </row>
    <row r="7" spans="1:81" ht="24.75" customHeight="1">
      <c r="A7" s="3">
        <v>2024</v>
      </c>
      <c r="B7" s="16">
        <f t="shared" si="0"/>
        <v>55.83804563492064</v>
      </c>
      <c r="C7" s="16">
        <f t="shared" si="1"/>
        <v>55.183956916099774</v>
      </c>
      <c r="D7" s="16">
        <f t="shared" si="2"/>
        <v>57.238425925925931</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51" t="s">
        <v>22</v>
      </c>
      <c r="I12" s="351"/>
      <c r="J12" s="7" t="s">
        <v>19</v>
      </c>
      <c r="K12" s="351" t="s">
        <v>23</v>
      </c>
      <c r="L12" s="351"/>
      <c r="M12" s="7" t="s">
        <v>19</v>
      </c>
      <c r="N12" s="351" t="s">
        <v>24</v>
      </c>
      <c r="O12" s="351"/>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59" t="s">
        <v>1037</v>
      </c>
      <c r="F14" s="310"/>
      <c r="G14" s="7" t="s">
        <v>41</v>
      </c>
      <c r="H14" s="362" t="s">
        <v>1038</v>
      </c>
      <c r="I14" s="309"/>
      <c r="J14" s="7" t="s">
        <v>41</v>
      </c>
      <c r="K14" s="362" t="s">
        <v>1039</v>
      </c>
      <c r="L14" s="309"/>
      <c r="M14" s="7" t="s">
        <v>41</v>
      </c>
      <c r="N14" s="310" t="s">
        <v>46</v>
      </c>
      <c r="O14" s="310"/>
      <c r="P14" s="7" t="s">
        <v>41</v>
      </c>
      <c r="Q14" s="359" t="s">
        <v>1040</v>
      </c>
      <c r="R14" s="310"/>
      <c r="S14" s="7" t="s">
        <v>41</v>
      </c>
      <c r="T14" s="362" t="s">
        <v>1041</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51.888888888888886</v>
      </c>
      <c r="C16" s="16"/>
      <c r="D16" s="7">
        <v>2020</v>
      </c>
      <c r="E16" s="14">
        <v>50</v>
      </c>
      <c r="F16" s="23" t="s">
        <v>1042</v>
      </c>
      <c r="G16" s="7">
        <v>2020</v>
      </c>
      <c r="H16" s="14">
        <v>0</v>
      </c>
      <c r="I16" s="17" t="s">
        <v>1043</v>
      </c>
      <c r="J16" s="7">
        <v>2020</v>
      </c>
      <c r="K16" s="14">
        <v>0</v>
      </c>
      <c r="L16" s="23" t="s">
        <v>1044</v>
      </c>
      <c r="M16" s="7">
        <v>2020</v>
      </c>
      <c r="N16" s="14">
        <v>100</v>
      </c>
      <c r="O16" s="17" t="s">
        <v>1045</v>
      </c>
      <c r="P16" s="7">
        <v>2020</v>
      </c>
      <c r="Q16" s="14">
        <v>67</v>
      </c>
      <c r="R16" s="153" t="s">
        <v>1046</v>
      </c>
      <c r="S16" s="7">
        <v>2020</v>
      </c>
      <c r="T16" s="80">
        <v>0</v>
      </c>
      <c r="U16" s="23" t="s">
        <v>1047</v>
      </c>
      <c r="V16" s="7">
        <v>2020</v>
      </c>
      <c r="W16" s="33">
        <v>50</v>
      </c>
      <c r="X16" s="20" t="s">
        <v>1048</v>
      </c>
      <c r="Y16" s="7">
        <v>2020</v>
      </c>
      <c r="Z16" s="82">
        <v>100</v>
      </c>
      <c r="AA16" s="86"/>
      <c r="AB16" s="7">
        <v>2020</v>
      </c>
      <c r="AC16" s="21">
        <v>100</v>
      </c>
      <c r="AD16" s="23" t="s">
        <v>1049</v>
      </c>
    </row>
    <row r="17" spans="1:51" ht="24.75" customHeight="1">
      <c r="A17" s="7">
        <v>2021</v>
      </c>
      <c r="B17" s="15">
        <f t="shared" si="3"/>
        <v>51.888888888888886</v>
      </c>
      <c r="C17" s="16"/>
      <c r="D17" s="7">
        <v>2021</v>
      </c>
      <c r="E17" s="14">
        <v>50</v>
      </c>
      <c r="F17" s="17"/>
      <c r="G17" s="7">
        <v>2021</v>
      </c>
      <c r="H17" s="14">
        <v>0</v>
      </c>
      <c r="I17" s="17"/>
      <c r="J17" s="7">
        <v>2021</v>
      </c>
      <c r="K17" s="14">
        <v>0</v>
      </c>
      <c r="L17" s="17"/>
      <c r="M17" s="7">
        <v>2021</v>
      </c>
      <c r="N17" s="14">
        <v>100</v>
      </c>
      <c r="O17" s="17"/>
      <c r="P17" s="7">
        <v>2021</v>
      </c>
      <c r="Q17" s="14">
        <v>67</v>
      </c>
      <c r="R17" s="17"/>
      <c r="S17" s="7">
        <v>2021</v>
      </c>
      <c r="T17" s="80">
        <v>0</v>
      </c>
      <c r="U17" s="17"/>
      <c r="V17" s="7">
        <v>2021</v>
      </c>
      <c r="W17" s="33">
        <v>50</v>
      </c>
      <c r="X17" s="20"/>
      <c r="Y17" s="7">
        <v>2021</v>
      </c>
      <c r="Z17" s="82">
        <v>100</v>
      </c>
      <c r="AA17" s="86" t="s">
        <v>1050</v>
      </c>
      <c r="AB17" s="7">
        <v>2021</v>
      </c>
      <c r="AC17" s="21">
        <v>100</v>
      </c>
      <c r="AD17" s="23"/>
    </row>
    <row r="18" spans="1:51" ht="24.75" customHeight="1">
      <c r="A18" s="7">
        <v>2022</v>
      </c>
      <c r="B18" s="15">
        <f t="shared" si="3"/>
        <v>51.888888888888886</v>
      </c>
      <c r="C18" s="16"/>
      <c r="D18" s="7">
        <v>2022</v>
      </c>
      <c r="E18" s="14">
        <v>50</v>
      </c>
      <c r="F18" s="17"/>
      <c r="G18" s="7">
        <v>2022</v>
      </c>
      <c r="H18" s="14">
        <v>0</v>
      </c>
      <c r="I18" s="17"/>
      <c r="J18" s="7">
        <v>2022</v>
      </c>
      <c r="K18" s="14">
        <v>0</v>
      </c>
      <c r="L18" s="17"/>
      <c r="M18" s="7">
        <v>2022</v>
      </c>
      <c r="N18" s="14">
        <v>100</v>
      </c>
      <c r="O18" s="17"/>
      <c r="P18" s="7">
        <v>2022</v>
      </c>
      <c r="Q18" s="14">
        <v>67</v>
      </c>
      <c r="R18" s="17"/>
      <c r="S18" s="7">
        <v>2022</v>
      </c>
      <c r="T18" s="80">
        <v>0</v>
      </c>
      <c r="U18" s="17"/>
      <c r="V18" s="7">
        <v>2022</v>
      </c>
      <c r="W18" s="33">
        <v>50</v>
      </c>
      <c r="X18" s="20"/>
      <c r="Y18" s="7">
        <v>2022</v>
      </c>
      <c r="Z18" s="82">
        <v>100</v>
      </c>
      <c r="AA18" s="168" t="s">
        <v>1051</v>
      </c>
      <c r="AB18" s="7">
        <v>2022</v>
      </c>
      <c r="AC18" s="21">
        <v>100</v>
      </c>
      <c r="AD18" s="23"/>
    </row>
    <row r="19" spans="1:51" ht="24.75" customHeight="1">
      <c r="A19" s="7">
        <v>2023</v>
      </c>
      <c r="B19" s="15">
        <f t="shared" si="3"/>
        <v>51.888888888888886</v>
      </c>
      <c r="C19" s="16"/>
      <c r="D19" s="7">
        <v>2023</v>
      </c>
      <c r="E19" s="14">
        <v>50</v>
      </c>
      <c r="F19" s="17"/>
      <c r="G19" s="7">
        <v>2023</v>
      </c>
      <c r="H19" s="14">
        <v>0</v>
      </c>
      <c r="I19" s="17"/>
      <c r="J19" s="7">
        <v>2023</v>
      </c>
      <c r="K19" s="14">
        <v>0</v>
      </c>
      <c r="L19" s="17"/>
      <c r="M19" s="7">
        <v>2023</v>
      </c>
      <c r="N19" s="14">
        <v>100</v>
      </c>
      <c r="O19" s="17" t="s">
        <v>1052</v>
      </c>
      <c r="P19" s="7">
        <v>2023</v>
      </c>
      <c r="Q19" s="14">
        <v>67</v>
      </c>
      <c r="R19" s="169" t="s">
        <v>1053</v>
      </c>
      <c r="S19" s="7">
        <v>2023</v>
      </c>
      <c r="T19" s="80">
        <v>0</v>
      </c>
      <c r="U19" s="17"/>
      <c r="V19" s="7">
        <v>2023</v>
      </c>
      <c r="W19" s="33">
        <v>50</v>
      </c>
      <c r="X19" s="20"/>
      <c r="Y19" s="7">
        <v>2023</v>
      </c>
      <c r="Z19" s="82">
        <v>100</v>
      </c>
      <c r="AA19" s="83"/>
      <c r="AB19" s="7">
        <v>2023</v>
      </c>
      <c r="AC19" s="21">
        <v>100</v>
      </c>
      <c r="AD19" s="23"/>
    </row>
    <row r="20" spans="1:51" ht="24.75" customHeight="1">
      <c r="A20" s="7">
        <v>2024</v>
      </c>
      <c r="B20" s="15">
        <f t="shared" si="3"/>
        <v>51.888888888888886</v>
      </c>
      <c r="C20" s="16"/>
      <c r="D20" s="7">
        <v>2024</v>
      </c>
      <c r="E20" s="14">
        <v>50</v>
      </c>
      <c r="F20" s="170" t="s">
        <v>1054</v>
      </c>
      <c r="G20" s="7">
        <v>2024</v>
      </c>
      <c r="H20" s="14">
        <v>0</v>
      </c>
      <c r="I20" s="17"/>
      <c r="J20" s="7">
        <v>2024</v>
      </c>
      <c r="K20" s="14">
        <v>0</v>
      </c>
      <c r="L20" s="17"/>
      <c r="M20" s="7">
        <v>2024</v>
      </c>
      <c r="N20" s="14">
        <v>100</v>
      </c>
      <c r="O20" s="17"/>
      <c r="P20" s="7">
        <v>2024</v>
      </c>
      <c r="Q20" s="14">
        <v>67</v>
      </c>
      <c r="R20" s="17"/>
      <c r="S20" s="7">
        <v>2024</v>
      </c>
      <c r="T20" s="80">
        <v>0</v>
      </c>
      <c r="U20" s="17"/>
      <c r="V20" s="7">
        <v>2024</v>
      </c>
      <c r="W20" s="33">
        <v>50</v>
      </c>
      <c r="X20" s="20"/>
      <c r="Y20" s="7">
        <v>2024</v>
      </c>
      <c r="Z20" s="82">
        <v>100</v>
      </c>
      <c r="AA20" s="83"/>
      <c r="AB20" s="7">
        <v>2024</v>
      </c>
      <c r="AC20" s="21">
        <v>100</v>
      </c>
      <c r="AD20" s="23"/>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8" t="s">
        <v>81</v>
      </c>
      <c r="O25" s="328"/>
      <c r="P25" s="27" t="s">
        <v>19</v>
      </c>
      <c r="Q25" s="328" t="s">
        <v>82</v>
      </c>
      <c r="R25" s="328"/>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c r="L26" s="325"/>
      <c r="M26" s="27" t="s">
        <v>30</v>
      </c>
      <c r="N26" s="325" t="s">
        <v>96</v>
      </c>
      <c r="O26" s="325"/>
      <c r="P26" s="27" t="s">
        <v>30</v>
      </c>
      <c r="Q26" s="325" t="s">
        <v>97</v>
      </c>
      <c r="R26" s="325"/>
      <c r="S26" s="27" t="s">
        <v>30</v>
      </c>
      <c r="T26" s="325"/>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427</v>
      </c>
      <c r="L27" s="325"/>
      <c r="M27" s="27" t="s">
        <v>41</v>
      </c>
      <c r="N27" s="358" t="s">
        <v>1055</v>
      </c>
      <c r="O27" s="325"/>
      <c r="P27" s="27" t="s">
        <v>41</v>
      </c>
      <c r="Q27" s="358" t="s">
        <v>1056</v>
      </c>
      <c r="R27" s="325"/>
      <c r="S27" s="27" t="s">
        <v>41</v>
      </c>
      <c r="T27" s="329" t="s">
        <v>111</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59" t="s">
        <v>1057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43.333333333333336</v>
      </c>
      <c r="C29" s="16" t="s">
        <v>1058</v>
      </c>
      <c r="D29" s="7">
        <v>2020</v>
      </c>
      <c r="E29" s="21">
        <v>0</v>
      </c>
      <c r="F29" s="17" t="s">
        <v>1059</v>
      </c>
      <c r="G29" s="7">
        <v>2020</v>
      </c>
      <c r="H29" s="14">
        <v>0</v>
      </c>
      <c r="I29" s="17"/>
      <c r="J29" s="7">
        <v>2020</v>
      </c>
      <c r="K29" s="14">
        <v>100</v>
      </c>
      <c r="L29" s="17"/>
      <c r="M29" s="7">
        <v>2020</v>
      </c>
      <c r="N29" s="14">
        <v>100</v>
      </c>
      <c r="O29" s="17"/>
      <c r="P29" s="7">
        <v>2020</v>
      </c>
      <c r="Q29" s="14">
        <v>100</v>
      </c>
      <c r="R29" s="17"/>
      <c r="S29" s="7">
        <v>2020</v>
      </c>
      <c r="T29" s="14">
        <v>90</v>
      </c>
      <c r="U29" s="17"/>
      <c r="V29" s="7">
        <v>2020</v>
      </c>
      <c r="W29" s="82">
        <v>50</v>
      </c>
      <c r="X29" s="83"/>
      <c r="Y29" s="7">
        <v>2020</v>
      </c>
      <c r="Z29" s="14">
        <v>100</v>
      </c>
      <c r="AA29" s="17"/>
      <c r="AB29" s="7">
        <v>2020</v>
      </c>
      <c r="AC29" s="82">
        <v>50</v>
      </c>
      <c r="AD29" s="83"/>
      <c r="AE29" s="7">
        <v>2020</v>
      </c>
      <c r="AF29" s="31">
        <f t="shared" ref="AF29:AF33" si="4">0.67*AI29+0.33*AL29</f>
        <v>0</v>
      </c>
      <c r="AG29" s="17"/>
      <c r="AH29" s="7">
        <v>2020</v>
      </c>
      <c r="AI29" s="14">
        <v>0</v>
      </c>
      <c r="AJ29" s="17"/>
      <c r="AK29" s="7">
        <v>2020</v>
      </c>
      <c r="AL29" s="14">
        <v>0</v>
      </c>
      <c r="AM29" s="17"/>
      <c r="AN29" s="7">
        <v>2020</v>
      </c>
      <c r="AO29" s="82">
        <v>50</v>
      </c>
      <c r="AP29" s="83"/>
      <c r="AQ29" s="7">
        <v>2020</v>
      </c>
      <c r="AR29" s="82">
        <v>50</v>
      </c>
      <c r="AS29" s="83" t="s">
        <v>1060</v>
      </c>
      <c r="AT29" s="7">
        <v>2020</v>
      </c>
      <c r="AU29" s="82">
        <v>50</v>
      </c>
      <c r="AV29" s="83" t="s">
        <v>1061</v>
      </c>
      <c r="AW29" s="7">
        <v>2020</v>
      </c>
      <c r="AX29" s="14">
        <v>50</v>
      </c>
      <c r="AY29" s="14" t="s">
        <v>1062</v>
      </c>
    </row>
    <row r="30" spans="1:51" ht="24.75" customHeight="1">
      <c r="A30" s="7">
        <v>2021</v>
      </c>
      <c r="B30" s="15">
        <f>AVERAGE(E30,H30,K30,T30,AF30,AO30,AU30,AX30,AR30)</f>
        <v>43.333333333333336</v>
      </c>
      <c r="C30" s="15" t="s">
        <v>1058</v>
      </c>
      <c r="D30" s="7">
        <v>2021</v>
      </c>
      <c r="E30" s="21">
        <v>0</v>
      </c>
      <c r="F30" s="17"/>
      <c r="G30" s="7">
        <v>2021</v>
      </c>
      <c r="H30" s="14">
        <v>0</v>
      </c>
      <c r="I30" s="17"/>
      <c r="J30" s="7">
        <v>2021</v>
      </c>
      <c r="K30" s="14">
        <v>100</v>
      </c>
      <c r="L30" s="17"/>
      <c r="M30" s="7">
        <v>2021</v>
      </c>
      <c r="N30" s="14">
        <v>100</v>
      </c>
      <c r="O30" s="17"/>
      <c r="P30" s="7">
        <v>2021</v>
      </c>
      <c r="Q30" s="14">
        <v>100</v>
      </c>
      <c r="R30" s="17"/>
      <c r="S30" s="7">
        <v>2021</v>
      </c>
      <c r="T30" s="14">
        <v>90</v>
      </c>
      <c r="U30" s="17"/>
      <c r="V30" s="7">
        <v>2021</v>
      </c>
      <c r="W30" s="82">
        <v>50</v>
      </c>
      <c r="X30" s="83"/>
      <c r="Y30" s="7">
        <v>2021</v>
      </c>
      <c r="Z30" s="14">
        <v>100</v>
      </c>
      <c r="AA30" s="17"/>
      <c r="AB30" s="7">
        <v>2021</v>
      </c>
      <c r="AC30" s="82">
        <v>50</v>
      </c>
      <c r="AD30" s="83"/>
      <c r="AE30" s="7">
        <v>2021</v>
      </c>
      <c r="AF30" s="31">
        <f t="shared" si="4"/>
        <v>0</v>
      </c>
      <c r="AG30" s="17"/>
      <c r="AH30" s="7">
        <v>2021</v>
      </c>
      <c r="AI30" s="14">
        <v>0</v>
      </c>
      <c r="AJ30" s="17"/>
      <c r="AK30" s="7">
        <v>2021</v>
      </c>
      <c r="AL30" s="14">
        <v>0</v>
      </c>
      <c r="AM30" s="17"/>
      <c r="AN30" s="7">
        <v>2021</v>
      </c>
      <c r="AO30" s="82">
        <v>50</v>
      </c>
      <c r="AP30" s="83"/>
      <c r="AQ30" s="7">
        <v>2021</v>
      </c>
      <c r="AR30" s="82">
        <v>50</v>
      </c>
      <c r="AS30" s="83"/>
      <c r="AT30" s="7">
        <v>2021</v>
      </c>
      <c r="AU30" s="82">
        <v>50</v>
      </c>
      <c r="AV30" s="83"/>
      <c r="AW30" s="7">
        <v>2021</v>
      </c>
      <c r="AX30" s="14">
        <v>50</v>
      </c>
      <c r="AY30" s="23"/>
    </row>
    <row r="31" spans="1:51" ht="24.75" customHeight="1">
      <c r="A31" s="7">
        <v>2022</v>
      </c>
      <c r="B31" s="15">
        <f>AVERAGE(E31,H31,K31,T31,AF31,AO31,AU31,AX31,AR31)</f>
        <v>43.333333333333336</v>
      </c>
      <c r="C31" s="15" t="s">
        <v>1058</v>
      </c>
      <c r="D31" s="7">
        <v>2022</v>
      </c>
      <c r="E31" s="21">
        <v>0</v>
      </c>
      <c r="F31" s="17"/>
      <c r="G31" s="7">
        <v>2022</v>
      </c>
      <c r="H31" s="14">
        <v>0</v>
      </c>
      <c r="I31" s="17"/>
      <c r="J31" s="7">
        <v>2022</v>
      </c>
      <c r="K31" s="14">
        <v>100</v>
      </c>
      <c r="L31" s="17"/>
      <c r="M31" s="7">
        <v>2022</v>
      </c>
      <c r="N31" s="14">
        <v>100</v>
      </c>
      <c r="O31" s="17"/>
      <c r="P31" s="7">
        <v>2022</v>
      </c>
      <c r="Q31" s="14">
        <v>100</v>
      </c>
      <c r="R31" s="17"/>
      <c r="S31" s="7">
        <v>2022</v>
      </c>
      <c r="T31" s="14">
        <v>90</v>
      </c>
      <c r="U31" s="17"/>
      <c r="V31" s="7">
        <v>2022</v>
      </c>
      <c r="W31" s="82">
        <v>50</v>
      </c>
      <c r="X31" s="83"/>
      <c r="Y31" s="7">
        <v>2022</v>
      </c>
      <c r="Z31" s="14">
        <v>100</v>
      </c>
      <c r="AA31" s="17"/>
      <c r="AB31" s="7">
        <v>2022</v>
      </c>
      <c r="AC31" s="82">
        <v>50</v>
      </c>
      <c r="AD31" s="83"/>
      <c r="AE31" s="7">
        <v>2022</v>
      </c>
      <c r="AF31" s="31">
        <f t="shared" si="4"/>
        <v>0</v>
      </c>
      <c r="AG31" s="17"/>
      <c r="AH31" s="7">
        <v>2022</v>
      </c>
      <c r="AI31" s="14">
        <v>0</v>
      </c>
      <c r="AJ31" s="17"/>
      <c r="AK31" s="7">
        <v>2022</v>
      </c>
      <c r="AL31" s="14">
        <v>0</v>
      </c>
      <c r="AM31" s="17"/>
      <c r="AN31" s="7">
        <v>2022</v>
      </c>
      <c r="AO31" s="82">
        <v>50</v>
      </c>
      <c r="AP31" s="83"/>
      <c r="AQ31" s="7">
        <v>2022</v>
      </c>
      <c r="AR31" s="82">
        <v>50</v>
      </c>
      <c r="AS31" s="83"/>
      <c r="AT31" s="7">
        <v>2022</v>
      </c>
      <c r="AU31" s="82">
        <v>50</v>
      </c>
      <c r="AV31" s="83"/>
      <c r="AW31" s="7">
        <v>2022</v>
      </c>
      <c r="AX31" s="14">
        <v>50</v>
      </c>
      <c r="AY31" s="23"/>
    </row>
    <row r="32" spans="1:51" ht="24.75" customHeight="1">
      <c r="A32" s="7">
        <v>2023</v>
      </c>
      <c r="B32" s="15">
        <f>AVERAGE(E32,H32,K32,T32,AF32,AO32,AU32,AX32,AR32)</f>
        <v>43.333333333333336</v>
      </c>
      <c r="C32" s="15" t="s">
        <v>1058</v>
      </c>
      <c r="D32" s="7">
        <v>2023</v>
      </c>
      <c r="E32" s="21">
        <v>0</v>
      </c>
      <c r="F32" s="17"/>
      <c r="G32" s="7">
        <v>2023</v>
      </c>
      <c r="H32" s="14">
        <v>0</v>
      </c>
      <c r="I32" s="17"/>
      <c r="J32" s="7">
        <v>2023</v>
      </c>
      <c r="K32" s="14">
        <v>100</v>
      </c>
      <c r="L32" s="17"/>
      <c r="M32" s="7">
        <v>2023</v>
      </c>
      <c r="N32" s="14">
        <v>100</v>
      </c>
      <c r="O32" s="17"/>
      <c r="P32" s="7">
        <v>2023</v>
      </c>
      <c r="Q32" s="14">
        <v>100</v>
      </c>
      <c r="R32" s="17"/>
      <c r="S32" s="7">
        <v>2023</v>
      </c>
      <c r="T32" s="14">
        <v>90</v>
      </c>
      <c r="U32" s="17"/>
      <c r="V32" s="7">
        <v>2023</v>
      </c>
      <c r="W32" s="82">
        <v>50</v>
      </c>
      <c r="X32" s="83"/>
      <c r="Y32" s="7">
        <v>2023</v>
      </c>
      <c r="Z32" s="14">
        <v>100</v>
      </c>
      <c r="AA32" s="17"/>
      <c r="AB32" s="7">
        <v>2023</v>
      </c>
      <c r="AC32" s="82">
        <v>50</v>
      </c>
      <c r="AD32" s="83"/>
      <c r="AE32" s="7">
        <v>2023</v>
      </c>
      <c r="AF32" s="31">
        <f t="shared" si="4"/>
        <v>0</v>
      </c>
      <c r="AG32" s="17"/>
      <c r="AH32" s="7">
        <v>2023</v>
      </c>
      <c r="AI32" s="14">
        <v>0</v>
      </c>
      <c r="AJ32" s="17"/>
      <c r="AK32" s="7">
        <v>2023</v>
      </c>
      <c r="AL32" s="14">
        <v>0</v>
      </c>
      <c r="AM32" s="17"/>
      <c r="AN32" s="7">
        <v>2023</v>
      </c>
      <c r="AO32" s="82">
        <v>50</v>
      </c>
      <c r="AP32" s="83"/>
      <c r="AQ32" s="7">
        <v>2023</v>
      </c>
      <c r="AR32" s="82">
        <v>50</v>
      </c>
      <c r="AS32" s="83"/>
      <c r="AT32" s="7">
        <v>2023</v>
      </c>
      <c r="AU32" s="82">
        <v>50</v>
      </c>
      <c r="AV32" s="83"/>
      <c r="AW32" s="7">
        <v>2023</v>
      </c>
      <c r="AX32" s="14">
        <v>50</v>
      </c>
      <c r="AY32" s="23"/>
    </row>
    <row r="33" spans="1:51" ht="24.75" customHeight="1">
      <c r="A33" s="7">
        <v>2024</v>
      </c>
      <c r="B33" s="15">
        <f>AVERAGE(E33,H33,K33,T33,AF33,AO33,AU33,AX33,AR33)</f>
        <v>43.333333333333336</v>
      </c>
      <c r="C33" s="15" t="s">
        <v>1058</v>
      </c>
      <c r="D33" s="7">
        <v>2024</v>
      </c>
      <c r="E33" s="21">
        <v>0</v>
      </c>
      <c r="F33" s="17" t="s">
        <v>1063</v>
      </c>
      <c r="G33" s="7">
        <v>2024</v>
      </c>
      <c r="H33" s="14">
        <v>0</v>
      </c>
      <c r="I33" s="17" t="s">
        <v>1064</v>
      </c>
      <c r="J33" s="7">
        <v>2024</v>
      </c>
      <c r="K33" s="14">
        <v>100</v>
      </c>
      <c r="L33" s="17"/>
      <c r="M33" s="7">
        <v>2024</v>
      </c>
      <c r="N33" s="14">
        <v>100</v>
      </c>
      <c r="O33" s="17" t="s">
        <v>1065</v>
      </c>
      <c r="P33" s="7">
        <v>2024</v>
      </c>
      <c r="Q33" s="14">
        <v>100</v>
      </c>
      <c r="R33" s="17" t="s">
        <v>1065</v>
      </c>
      <c r="S33" s="7">
        <v>2024</v>
      </c>
      <c r="T33" s="14">
        <v>90</v>
      </c>
      <c r="U33" s="17"/>
      <c r="V33" s="7">
        <v>2024</v>
      </c>
      <c r="W33" s="82">
        <v>50</v>
      </c>
      <c r="X33" s="83"/>
      <c r="Y33" s="7">
        <v>2024</v>
      </c>
      <c r="Z33" s="14">
        <v>100</v>
      </c>
      <c r="AA33" s="17"/>
      <c r="AB33" s="7">
        <v>2024</v>
      </c>
      <c r="AC33" s="82">
        <v>50</v>
      </c>
      <c r="AD33" s="83"/>
      <c r="AE33" s="7">
        <v>2024</v>
      </c>
      <c r="AF33" s="31">
        <f t="shared" si="4"/>
        <v>0</v>
      </c>
      <c r="AG33" s="17"/>
      <c r="AH33" s="7">
        <v>2024</v>
      </c>
      <c r="AI33" s="14">
        <v>0</v>
      </c>
      <c r="AJ33" s="17" t="s">
        <v>1066</v>
      </c>
      <c r="AK33" s="7">
        <v>2024</v>
      </c>
      <c r="AL33" s="14">
        <v>0</v>
      </c>
      <c r="AM33" s="17" t="s">
        <v>1067</v>
      </c>
      <c r="AN33" s="7">
        <v>2024</v>
      </c>
      <c r="AO33" s="82">
        <v>50</v>
      </c>
      <c r="AP33" s="83" t="s">
        <v>1068</v>
      </c>
      <c r="AQ33" s="7">
        <v>2024</v>
      </c>
      <c r="AR33" s="82">
        <v>50</v>
      </c>
      <c r="AS33" s="83"/>
      <c r="AT33" s="7">
        <v>2024</v>
      </c>
      <c r="AU33" s="82">
        <v>50</v>
      </c>
      <c r="AV33" s="83" t="s">
        <v>1069</v>
      </c>
      <c r="AW33" s="7">
        <v>2024</v>
      </c>
      <c r="AX33" s="14">
        <v>50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30.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10"/>
      <c r="AG39" s="310"/>
      <c r="AH39" s="7" t="s">
        <v>30</v>
      </c>
      <c r="AI39" s="310" t="s">
        <v>162</v>
      </c>
      <c r="AJ39" s="310"/>
      <c r="AK39" s="7" t="s">
        <v>30</v>
      </c>
      <c r="AL39" s="310" t="s">
        <v>163</v>
      </c>
      <c r="AM39" s="310"/>
    </row>
    <row r="40" spans="1:51" ht="24.75" customHeight="1">
      <c r="A40" s="7" t="s">
        <v>41</v>
      </c>
      <c r="B40" s="310" t="s">
        <v>42</v>
      </c>
      <c r="C40" s="310"/>
      <c r="D40" s="7" t="s">
        <v>41</v>
      </c>
      <c r="E40" s="359" t="s">
        <v>1070</v>
      </c>
      <c r="F40" s="310"/>
      <c r="G40" s="7" t="s">
        <v>41</v>
      </c>
      <c r="H40" s="359" t="s">
        <v>1071</v>
      </c>
      <c r="I40" s="310"/>
      <c r="J40" s="7" t="s">
        <v>41</v>
      </c>
      <c r="K40" s="322" t="s">
        <v>166</v>
      </c>
      <c r="L40" s="310"/>
      <c r="M40" s="7" t="s">
        <v>41</v>
      </c>
      <c r="N40" s="310" t="s">
        <v>42</v>
      </c>
      <c r="O40" s="310"/>
      <c r="P40" s="7" t="s">
        <v>41</v>
      </c>
      <c r="Q40" s="359" t="s">
        <v>1072</v>
      </c>
      <c r="R40" s="310"/>
      <c r="S40" s="7" t="s">
        <v>41</v>
      </c>
      <c r="T40" s="359" t="s">
        <v>1073</v>
      </c>
      <c r="U40" s="310"/>
      <c r="V40" s="7" t="s">
        <v>41</v>
      </c>
      <c r="W40" s="359" t="s">
        <v>1074</v>
      </c>
      <c r="X40" s="310"/>
      <c r="Y40" s="7" t="s">
        <v>41</v>
      </c>
      <c r="Z40" s="359" t="s">
        <v>1075</v>
      </c>
      <c r="AA40" s="310"/>
      <c r="AB40" s="7" t="s">
        <v>41</v>
      </c>
      <c r="AC40" s="310" t="s">
        <v>171</v>
      </c>
      <c r="AD40" s="310"/>
      <c r="AE40" s="7" t="s">
        <v>41</v>
      </c>
      <c r="AF40" s="297" t="s">
        <v>172</v>
      </c>
      <c r="AG40" s="298"/>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35.714285714285715</v>
      </c>
      <c r="C42" s="16"/>
      <c r="D42" s="7">
        <v>2020</v>
      </c>
      <c r="E42" s="14">
        <v>100</v>
      </c>
      <c r="F42" s="171" t="s">
        <v>1076</v>
      </c>
      <c r="G42" s="7">
        <v>2020</v>
      </c>
      <c r="H42" s="82">
        <v>50</v>
      </c>
      <c r="I42" s="83"/>
      <c r="J42" s="7">
        <v>2020</v>
      </c>
      <c r="K42" s="14">
        <v>50</v>
      </c>
      <c r="L42" s="17"/>
      <c r="M42" s="7">
        <v>2020</v>
      </c>
      <c r="N42" s="31">
        <f t="shared" ref="N42:N46" si="5">AVERAGE(Q42,T42,W42)</f>
        <v>50</v>
      </c>
      <c r="O42" s="14"/>
      <c r="P42" s="7">
        <v>2020</v>
      </c>
      <c r="Q42" s="14">
        <v>50</v>
      </c>
      <c r="R42" s="17"/>
      <c r="S42" s="7">
        <v>2020</v>
      </c>
      <c r="T42" s="14">
        <v>100</v>
      </c>
      <c r="U42" s="169" t="s">
        <v>1077</v>
      </c>
      <c r="V42" s="7">
        <v>2020</v>
      </c>
      <c r="W42" s="14">
        <v>0</v>
      </c>
      <c r="X42" s="171" t="s">
        <v>1078</v>
      </c>
      <c r="Y42" s="7">
        <v>2020</v>
      </c>
      <c r="Z42" s="14">
        <v>0</v>
      </c>
      <c r="AA42" s="172" t="s">
        <v>1079</v>
      </c>
      <c r="AB42" s="7">
        <v>2020</v>
      </c>
      <c r="AC42" s="14">
        <v>0</v>
      </c>
      <c r="AD42" s="173" t="s">
        <v>1080</v>
      </c>
      <c r="AE42" s="7">
        <v>2020</v>
      </c>
      <c r="AF42" s="14">
        <v>0</v>
      </c>
      <c r="AG42" s="14"/>
      <c r="AH42" s="7">
        <v>2020</v>
      </c>
      <c r="AI42" s="84">
        <v>0</v>
      </c>
      <c r="AJ42" s="83"/>
      <c r="AK42" s="7">
        <v>2020</v>
      </c>
      <c r="AL42" s="14">
        <v>0</v>
      </c>
      <c r="AM42" s="171"/>
    </row>
    <row r="43" spans="1:51" ht="24.75" customHeight="1">
      <c r="A43" s="7">
        <v>2021</v>
      </c>
      <c r="B43" s="16">
        <f>AVERAGE(E43,H43,K43,N43,Z43,AC43,AF43)</f>
        <v>35.714285714285715</v>
      </c>
      <c r="C43" s="16"/>
      <c r="D43" s="7">
        <v>2021</v>
      </c>
      <c r="E43" s="14">
        <v>100</v>
      </c>
      <c r="F43" s="174" t="s">
        <v>1081</v>
      </c>
      <c r="G43" s="7">
        <v>2021</v>
      </c>
      <c r="H43" s="82">
        <v>50</v>
      </c>
      <c r="I43" s="175"/>
      <c r="J43" s="7">
        <v>2021</v>
      </c>
      <c r="K43" s="14">
        <v>50</v>
      </c>
      <c r="L43" s="174" t="s">
        <v>1082</v>
      </c>
      <c r="M43" s="7">
        <v>2021</v>
      </c>
      <c r="N43" s="31">
        <f t="shared" si="5"/>
        <v>50</v>
      </c>
      <c r="O43" s="14"/>
      <c r="P43" s="7">
        <v>2021</v>
      </c>
      <c r="Q43" s="14">
        <v>50</v>
      </c>
      <c r="R43" s="17"/>
      <c r="S43" s="7">
        <v>2021</v>
      </c>
      <c r="T43" s="14">
        <v>100</v>
      </c>
      <c r="U43" s="17"/>
      <c r="V43" s="7">
        <v>2021</v>
      </c>
      <c r="W43" s="14">
        <v>0</v>
      </c>
      <c r="X43" s="17"/>
      <c r="Y43" s="7">
        <v>2021</v>
      </c>
      <c r="Z43" s="14">
        <v>0</v>
      </c>
      <c r="AA43" s="17"/>
      <c r="AB43" s="7">
        <v>2021</v>
      </c>
      <c r="AC43" s="14">
        <v>0</v>
      </c>
      <c r="AD43" s="17"/>
      <c r="AE43" s="7">
        <v>2021</v>
      </c>
      <c r="AF43" s="14">
        <v>0</v>
      </c>
      <c r="AG43" s="14"/>
      <c r="AH43" s="7">
        <v>2021</v>
      </c>
      <c r="AI43" s="84">
        <v>0</v>
      </c>
      <c r="AJ43" s="83"/>
      <c r="AK43" s="7">
        <v>2021</v>
      </c>
      <c r="AL43" s="14">
        <v>0</v>
      </c>
      <c r="AM43" s="174" t="s">
        <v>1083</v>
      </c>
    </row>
    <row r="44" spans="1:51" ht="24.75" customHeight="1">
      <c r="A44" s="7">
        <v>2022</v>
      </c>
      <c r="B44" s="16">
        <f>AVERAGE(E44,H44,K44,N44,Z44,AC44,AF44)</f>
        <v>35.714285714285715</v>
      </c>
      <c r="C44" s="16"/>
      <c r="D44" s="7">
        <v>2022</v>
      </c>
      <c r="E44" s="14">
        <v>100</v>
      </c>
      <c r="F44" s="17"/>
      <c r="G44" s="7">
        <v>2022</v>
      </c>
      <c r="H44" s="82">
        <v>50</v>
      </c>
      <c r="I44" s="83"/>
      <c r="J44" s="7">
        <v>2022</v>
      </c>
      <c r="K44" s="14">
        <v>50</v>
      </c>
      <c r="L44" s="17"/>
      <c r="M44" s="7">
        <v>2022</v>
      </c>
      <c r="N44" s="31">
        <f t="shared" si="5"/>
        <v>50</v>
      </c>
      <c r="O44" s="14"/>
      <c r="P44" s="7">
        <v>2022</v>
      </c>
      <c r="Q44" s="14">
        <v>50</v>
      </c>
      <c r="R44" s="172" t="s">
        <v>1084</v>
      </c>
      <c r="S44" s="7">
        <v>2022</v>
      </c>
      <c r="T44" s="14">
        <v>100</v>
      </c>
      <c r="U44" s="17"/>
      <c r="V44" s="7">
        <v>2022</v>
      </c>
      <c r="W44" s="14">
        <v>0</v>
      </c>
      <c r="X44" s="17"/>
      <c r="Y44" s="7">
        <v>2022</v>
      </c>
      <c r="Z44" s="14">
        <v>0</v>
      </c>
      <c r="AA44" s="17"/>
      <c r="AB44" s="7">
        <v>2022</v>
      </c>
      <c r="AC44" s="14">
        <v>0</v>
      </c>
      <c r="AD44" s="17"/>
      <c r="AE44" s="7">
        <v>2022</v>
      </c>
      <c r="AF44" s="14">
        <v>0</v>
      </c>
      <c r="AG44" s="14"/>
      <c r="AH44" s="7">
        <v>2022</v>
      </c>
      <c r="AI44" s="84">
        <v>0</v>
      </c>
      <c r="AJ44" s="83"/>
      <c r="AK44" s="7">
        <v>2022</v>
      </c>
      <c r="AL44" s="14">
        <v>0</v>
      </c>
      <c r="AM44" s="23"/>
    </row>
    <row r="45" spans="1:51" ht="24.75" customHeight="1">
      <c r="A45" s="7">
        <v>2023</v>
      </c>
      <c r="B45" s="16">
        <f>AVERAGE(E45,H45,K45,N45,Z45,AC45,AF45)</f>
        <v>42.857142857142854</v>
      </c>
      <c r="C45" s="16"/>
      <c r="D45" s="7">
        <v>2023</v>
      </c>
      <c r="E45" s="14">
        <v>100</v>
      </c>
      <c r="F45" s="17"/>
      <c r="G45" s="7">
        <v>2023</v>
      </c>
      <c r="H45" s="82">
        <v>100</v>
      </c>
      <c r="I45" s="176" t="s">
        <v>1085</v>
      </c>
      <c r="J45" s="7">
        <v>2023</v>
      </c>
      <c r="K45" s="14">
        <v>50</v>
      </c>
      <c r="L45" s="172" t="s">
        <v>1086</v>
      </c>
      <c r="M45" s="7">
        <v>2023</v>
      </c>
      <c r="N45" s="31">
        <f t="shared" si="5"/>
        <v>50</v>
      </c>
      <c r="O45" s="14"/>
      <c r="P45" s="7">
        <v>2023</v>
      </c>
      <c r="Q45" s="14">
        <v>50</v>
      </c>
      <c r="R45" s="172" t="s">
        <v>1087</v>
      </c>
      <c r="S45" s="7">
        <v>2023</v>
      </c>
      <c r="T45" s="14">
        <v>100</v>
      </c>
      <c r="U45" s="17"/>
      <c r="V45" s="7">
        <v>2023</v>
      </c>
      <c r="W45" s="14">
        <v>0</v>
      </c>
      <c r="X45" s="17"/>
      <c r="Y45" s="7">
        <v>2023</v>
      </c>
      <c r="Z45" s="14">
        <v>0</v>
      </c>
      <c r="AA45" s="17"/>
      <c r="AB45" s="7">
        <v>2023</v>
      </c>
      <c r="AC45" s="14">
        <v>0</v>
      </c>
      <c r="AD45" s="17"/>
      <c r="AE45" s="7">
        <v>2023</v>
      </c>
      <c r="AF45" s="14">
        <v>0</v>
      </c>
      <c r="AG45" s="14"/>
      <c r="AH45" s="7">
        <v>2023</v>
      </c>
      <c r="AI45" s="84">
        <v>50</v>
      </c>
      <c r="AJ45" s="176" t="s">
        <v>1088</v>
      </c>
      <c r="AK45" s="7">
        <v>2023</v>
      </c>
      <c r="AL45" s="14">
        <v>0</v>
      </c>
      <c r="AM45" s="23"/>
    </row>
    <row r="46" spans="1:51" ht="24.75" customHeight="1">
      <c r="A46" s="7">
        <v>2024</v>
      </c>
      <c r="B46" s="16">
        <f>AVERAGE(E46,H46,K46,N46,Z46,AC46,AF46)</f>
        <v>42.857142857142854</v>
      </c>
      <c r="C46" s="16"/>
      <c r="D46" s="7">
        <v>2024</v>
      </c>
      <c r="E46" s="14">
        <v>100</v>
      </c>
      <c r="F46" s="17"/>
      <c r="G46" s="7">
        <v>2024</v>
      </c>
      <c r="H46" s="82">
        <v>100</v>
      </c>
      <c r="I46" s="83"/>
      <c r="J46" s="7">
        <v>2024</v>
      </c>
      <c r="K46" s="14">
        <v>50</v>
      </c>
      <c r="L46" s="17"/>
      <c r="M46" s="7">
        <v>2024</v>
      </c>
      <c r="N46" s="31">
        <f t="shared" si="5"/>
        <v>50</v>
      </c>
      <c r="O46" s="14"/>
      <c r="P46" s="7">
        <v>2024</v>
      </c>
      <c r="Q46" s="14">
        <v>50</v>
      </c>
      <c r="R46" s="17"/>
      <c r="S46" s="7">
        <v>2024</v>
      </c>
      <c r="T46" s="14">
        <v>100</v>
      </c>
      <c r="U46" s="17"/>
      <c r="V46" s="7">
        <v>2024</v>
      </c>
      <c r="W46" s="14">
        <v>0</v>
      </c>
      <c r="X46" s="17"/>
      <c r="Y46" s="7">
        <v>2024</v>
      </c>
      <c r="Z46" s="14">
        <v>0</v>
      </c>
      <c r="AA46" s="17"/>
      <c r="AB46" s="7">
        <v>2024</v>
      </c>
      <c r="AC46" s="14">
        <v>0</v>
      </c>
      <c r="AD46" s="17"/>
      <c r="AE46" s="7">
        <v>2024</v>
      </c>
      <c r="AF46" s="14">
        <v>0</v>
      </c>
      <c r="AG46" s="14"/>
      <c r="AH46" s="7">
        <v>2024</v>
      </c>
      <c r="AI46" s="84">
        <v>50</v>
      </c>
      <c r="AJ46" s="83"/>
      <c r="AK46" s="7">
        <v>2024</v>
      </c>
      <c r="AL46" s="14">
        <v>0</v>
      </c>
      <c r="AM46" s="23"/>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59" t="s">
        <v>1089</v>
      </c>
      <c r="L52" s="310"/>
      <c r="M52" s="7" t="s">
        <v>30</v>
      </c>
      <c r="N52" s="325" t="s">
        <v>197</v>
      </c>
      <c r="O52" s="325"/>
      <c r="P52" s="7" t="s">
        <v>30</v>
      </c>
      <c r="Q52" s="310" t="s">
        <v>198</v>
      </c>
      <c r="R52" s="310"/>
    </row>
    <row r="53" spans="1:24" ht="24.75" customHeight="1">
      <c r="A53" s="7" t="s">
        <v>41</v>
      </c>
      <c r="B53" s="310" t="s">
        <v>42</v>
      </c>
      <c r="C53" s="310"/>
      <c r="D53" s="7" t="s">
        <v>41</v>
      </c>
      <c r="E53" s="358" t="s">
        <v>1090</v>
      </c>
      <c r="F53" s="325"/>
      <c r="G53" s="7" t="s">
        <v>41</v>
      </c>
      <c r="H53" s="359" t="s">
        <v>1091</v>
      </c>
      <c r="I53" s="310"/>
      <c r="J53" s="7" t="s">
        <v>41</v>
      </c>
      <c r="K53" s="359" t="s">
        <v>1092</v>
      </c>
      <c r="L53" s="310"/>
      <c r="M53" s="7" t="s">
        <v>41</v>
      </c>
      <c r="N53" s="361" t="s">
        <v>1093</v>
      </c>
      <c r="O53" s="325"/>
      <c r="P53" s="7" t="s">
        <v>41</v>
      </c>
      <c r="Q53" s="358" t="s">
        <v>1094</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45</v>
      </c>
      <c r="C55" s="16"/>
      <c r="D55" s="7">
        <v>2020</v>
      </c>
      <c r="E55" s="14">
        <v>0</v>
      </c>
      <c r="F55" s="17"/>
      <c r="G55" s="7">
        <v>2020</v>
      </c>
      <c r="H55" s="14">
        <v>100</v>
      </c>
      <c r="I55" s="17"/>
      <c r="J55" s="7">
        <v>2020</v>
      </c>
      <c r="K55" s="48">
        <v>25</v>
      </c>
      <c r="L55" s="23" t="s">
        <v>1095</v>
      </c>
      <c r="M55" s="7">
        <v>2020</v>
      </c>
      <c r="N55" s="33">
        <v>0</v>
      </c>
      <c r="O55" s="17" t="s">
        <v>1096</v>
      </c>
      <c r="P55" s="7">
        <v>2020</v>
      </c>
      <c r="Q55" s="33">
        <v>100</v>
      </c>
      <c r="R55" s="170" t="s">
        <v>1097</v>
      </c>
    </row>
    <row r="56" spans="1:24" ht="24.75" customHeight="1">
      <c r="A56" s="7">
        <v>2021</v>
      </c>
      <c r="B56" s="15">
        <f t="shared" si="6"/>
        <v>45</v>
      </c>
      <c r="C56" s="15"/>
      <c r="D56" s="7">
        <v>2021</v>
      </c>
      <c r="E56" s="14">
        <v>0</v>
      </c>
      <c r="F56" s="17"/>
      <c r="G56" s="7">
        <v>2021</v>
      </c>
      <c r="H56" s="14">
        <v>100</v>
      </c>
      <c r="I56" s="17"/>
      <c r="J56" s="7">
        <v>2021</v>
      </c>
      <c r="K56" s="48">
        <v>25</v>
      </c>
      <c r="L56" s="23" t="s">
        <v>1098</v>
      </c>
      <c r="M56" s="7">
        <v>2021</v>
      </c>
      <c r="N56" s="33">
        <v>0</v>
      </c>
      <c r="O56" s="17"/>
      <c r="P56" s="7">
        <v>2021</v>
      </c>
      <c r="Q56" s="33">
        <v>100</v>
      </c>
      <c r="R56" s="23"/>
    </row>
    <row r="57" spans="1:24" ht="24.75" customHeight="1">
      <c r="A57" s="7">
        <v>2022</v>
      </c>
      <c r="B57" s="15">
        <f t="shared" si="6"/>
        <v>45</v>
      </c>
      <c r="C57" s="15"/>
      <c r="D57" s="7">
        <v>2022</v>
      </c>
      <c r="E57" s="14">
        <v>0</v>
      </c>
      <c r="F57" s="17"/>
      <c r="G57" s="7">
        <v>2022</v>
      </c>
      <c r="H57" s="14">
        <v>100</v>
      </c>
      <c r="I57" s="17"/>
      <c r="J57" s="7">
        <v>2022</v>
      </c>
      <c r="K57" s="48">
        <v>25</v>
      </c>
      <c r="L57" s="17"/>
      <c r="M57" s="7">
        <v>2022</v>
      </c>
      <c r="N57" s="33">
        <v>0</v>
      </c>
      <c r="O57" s="17"/>
      <c r="P57" s="7">
        <v>2022</v>
      </c>
      <c r="Q57" s="33">
        <v>100</v>
      </c>
      <c r="R57" s="23"/>
    </row>
    <row r="58" spans="1:24" ht="24.75" customHeight="1">
      <c r="A58" s="7">
        <v>2023</v>
      </c>
      <c r="B58" s="15">
        <f t="shared" si="6"/>
        <v>45</v>
      </c>
      <c r="C58" s="15"/>
      <c r="D58" s="7">
        <v>2023</v>
      </c>
      <c r="E58" s="14">
        <v>0</v>
      </c>
      <c r="F58" s="17"/>
      <c r="G58" s="7">
        <v>2023</v>
      </c>
      <c r="H58" s="14">
        <v>100</v>
      </c>
      <c r="I58" s="17"/>
      <c r="J58" s="7">
        <v>2023</v>
      </c>
      <c r="K58" s="48">
        <v>25</v>
      </c>
      <c r="L58" s="17"/>
      <c r="M58" s="7">
        <v>2023</v>
      </c>
      <c r="N58" s="33">
        <v>0</v>
      </c>
      <c r="O58" s="17"/>
      <c r="P58" s="7">
        <v>2023</v>
      </c>
      <c r="Q58" s="33">
        <v>100</v>
      </c>
      <c r="R58" s="23"/>
    </row>
    <row r="59" spans="1:24" ht="24.75" customHeight="1">
      <c r="A59" s="7">
        <v>2024</v>
      </c>
      <c r="B59" s="15">
        <f t="shared" si="6"/>
        <v>45</v>
      </c>
      <c r="C59" s="15"/>
      <c r="D59" s="7">
        <v>2024</v>
      </c>
      <c r="E59" s="14">
        <v>0</v>
      </c>
      <c r="F59" s="17"/>
      <c r="G59" s="7">
        <v>2024</v>
      </c>
      <c r="H59" s="14">
        <v>100</v>
      </c>
      <c r="I59" s="17"/>
      <c r="J59" s="7">
        <v>2024</v>
      </c>
      <c r="K59" s="48">
        <v>25</v>
      </c>
      <c r="L59" s="17"/>
      <c r="M59" s="7">
        <v>2024</v>
      </c>
      <c r="N59" s="33">
        <v>0</v>
      </c>
      <c r="O59" s="17"/>
      <c r="P59" s="7">
        <v>2024</v>
      </c>
      <c r="Q59" s="33">
        <v>100</v>
      </c>
      <c r="R59" s="23"/>
    </row>
    <row r="60" spans="1:24" ht="24.75" customHeight="1">
      <c r="K60" s="100"/>
    </row>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51" t="s">
        <v>218</v>
      </c>
      <c r="U64" s="351"/>
      <c r="V64" s="7" t="s">
        <v>19</v>
      </c>
      <c r="W64" s="322" t="s">
        <v>29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64.5" customHeight="1">
      <c r="A66" s="7" t="s">
        <v>41</v>
      </c>
      <c r="B66" s="310" t="s">
        <v>42</v>
      </c>
      <c r="C66" s="310"/>
      <c r="D66" s="7" t="s">
        <v>41</v>
      </c>
      <c r="E66" s="358" t="s">
        <v>1099</v>
      </c>
      <c r="F66" s="325"/>
      <c r="G66" s="7" t="s">
        <v>41</v>
      </c>
      <c r="H66" s="359" t="s">
        <v>1100</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58.333333333333329</v>
      </c>
      <c r="C68" s="16"/>
      <c r="D68" s="7">
        <v>2020</v>
      </c>
      <c r="E68" s="21">
        <v>50</v>
      </c>
      <c r="F68" s="177" t="s">
        <v>1101</v>
      </c>
      <c r="G68" s="7">
        <v>2020</v>
      </c>
      <c r="H68" s="14">
        <v>0</v>
      </c>
      <c r="I68" s="171"/>
      <c r="J68" s="7">
        <v>2020</v>
      </c>
      <c r="K68" s="14">
        <v>0</v>
      </c>
      <c r="L68" s="171"/>
      <c r="M68" s="7">
        <v>2020</v>
      </c>
      <c r="N68" s="14">
        <v>100</v>
      </c>
      <c r="O68" s="169"/>
      <c r="P68" s="7">
        <v>2020</v>
      </c>
      <c r="Q68" s="14">
        <v>50</v>
      </c>
      <c r="R68" s="169"/>
      <c r="S68" s="7">
        <v>2020</v>
      </c>
      <c r="T68" s="14">
        <v>100</v>
      </c>
      <c r="U68" s="169"/>
      <c r="V68" s="7">
        <v>2020</v>
      </c>
      <c r="W68" s="14">
        <v>100</v>
      </c>
      <c r="X68" s="171" t="s">
        <v>1102</v>
      </c>
    </row>
    <row r="69" spans="1:27" ht="24.75" customHeight="1">
      <c r="A69" s="7">
        <v>2021</v>
      </c>
      <c r="B69" s="15">
        <f t="shared" si="7"/>
        <v>58.333333333333329</v>
      </c>
      <c r="C69" s="15"/>
      <c r="D69" s="7">
        <v>2021</v>
      </c>
      <c r="E69" s="21">
        <v>50</v>
      </c>
      <c r="F69" s="177" t="s">
        <v>1103</v>
      </c>
      <c r="G69" s="7">
        <v>2021</v>
      </c>
      <c r="H69" s="14">
        <v>0</v>
      </c>
      <c r="I69" s="177" t="s">
        <v>1104</v>
      </c>
      <c r="J69" s="7">
        <v>2021</v>
      </c>
      <c r="K69" s="14">
        <v>0</v>
      </c>
      <c r="L69" s="174" t="s">
        <v>1105</v>
      </c>
      <c r="M69" s="7">
        <v>2021</v>
      </c>
      <c r="N69" s="14">
        <v>100</v>
      </c>
      <c r="O69" s="174" t="s">
        <v>1106</v>
      </c>
      <c r="P69" s="7">
        <v>2021</v>
      </c>
      <c r="Q69" s="14">
        <v>50</v>
      </c>
      <c r="R69" s="177" t="s">
        <v>1107</v>
      </c>
      <c r="S69" s="7">
        <v>2021</v>
      </c>
      <c r="T69" s="14">
        <v>100</v>
      </c>
      <c r="U69" s="178" t="s">
        <v>1108</v>
      </c>
      <c r="V69" s="7">
        <v>2021</v>
      </c>
      <c r="W69" s="14">
        <v>100</v>
      </c>
      <c r="X69" s="174"/>
    </row>
    <row r="70" spans="1:27" ht="24.75" customHeight="1">
      <c r="A70" s="7">
        <v>2022</v>
      </c>
      <c r="B70" s="15">
        <f t="shared" si="7"/>
        <v>58.333333333333329</v>
      </c>
      <c r="C70" s="15"/>
      <c r="D70" s="7">
        <v>2022</v>
      </c>
      <c r="E70" s="21">
        <v>50</v>
      </c>
      <c r="F70" s="17"/>
      <c r="G70" s="7">
        <v>2022</v>
      </c>
      <c r="H70" s="14">
        <v>0</v>
      </c>
      <c r="I70" s="17"/>
      <c r="J70" s="7">
        <v>2022</v>
      </c>
      <c r="K70" s="14">
        <v>0</v>
      </c>
      <c r="L70" s="17"/>
      <c r="M70" s="7">
        <v>2022</v>
      </c>
      <c r="N70" s="14">
        <v>100</v>
      </c>
      <c r="O70" s="17"/>
      <c r="P70" s="7">
        <v>2022</v>
      </c>
      <c r="Q70" s="14">
        <v>50</v>
      </c>
      <c r="R70" s="17"/>
      <c r="S70" s="7">
        <v>2022</v>
      </c>
      <c r="T70" s="14">
        <v>100</v>
      </c>
      <c r="U70" s="17"/>
      <c r="V70" s="7">
        <v>2022</v>
      </c>
      <c r="W70" s="14">
        <v>100</v>
      </c>
      <c r="X70" s="23"/>
    </row>
    <row r="71" spans="1:27" ht="24.75" customHeight="1">
      <c r="A71" s="7">
        <v>2023</v>
      </c>
      <c r="B71" s="15">
        <f t="shared" si="7"/>
        <v>58.333333333333329</v>
      </c>
      <c r="C71" s="15"/>
      <c r="D71" s="7">
        <v>2023</v>
      </c>
      <c r="E71" s="21">
        <v>50</v>
      </c>
      <c r="F71" s="17"/>
      <c r="G71" s="7">
        <v>2023</v>
      </c>
      <c r="H71" s="14">
        <v>0</v>
      </c>
      <c r="I71" s="17"/>
      <c r="J71" s="7">
        <v>2023</v>
      </c>
      <c r="K71" s="14">
        <v>0</v>
      </c>
      <c r="L71" s="17"/>
      <c r="M71" s="7">
        <v>2023</v>
      </c>
      <c r="N71" s="14">
        <v>100</v>
      </c>
      <c r="O71" s="17"/>
      <c r="P71" s="7">
        <v>2023</v>
      </c>
      <c r="Q71" s="14">
        <v>50</v>
      </c>
      <c r="R71" s="172"/>
      <c r="S71" s="7">
        <v>2023</v>
      </c>
      <c r="T71" s="14">
        <v>100</v>
      </c>
      <c r="U71" s="17"/>
      <c r="V71" s="7">
        <v>2023</v>
      </c>
      <c r="W71" s="14">
        <v>100</v>
      </c>
      <c r="X71" s="23"/>
    </row>
    <row r="72" spans="1:27" ht="24.75" customHeight="1">
      <c r="A72" s="7">
        <v>2024</v>
      </c>
      <c r="B72" s="15">
        <f t="shared" si="7"/>
        <v>54.166666666666671</v>
      </c>
      <c r="C72" s="15"/>
      <c r="D72" s="7">
        <v>2024</v>
      </c>
      <c r="E72" s="21">
        <v>50</v>
      </c>
      <c r="F72" s="174" t="s">
        <v>1109</v>
      </c>
      <c r="G72" s="7">
        <v>2024</v>
      </c>
      <c r="H72" s="14">
        <v>0</v>
      </c>
      <c r="I72" s="174" t="s">
        <v>1110</v>
      </c>
      <c r="J72" s="7">
        <v>2024</v>
      </c>
      <c r="K72" s="14">
        <v>0</v>
      </c>
      <c r="L72" s="174" t="s">
        <v>1111</v>
      </c>
      <c r="M72" s="7">
        <v>2024</v>
      </c>
      <c r="N72" s="14">
        <v>100</v>
      </c>
      <c r="O72" s="174" t="s">
        <v>1112</v>
      </c>
      <c r="P72" s="7">
        <v>2024</v>
      </c>
      <c r="Q72" s="14">
        <v>50</v>
      </c>
      <c r="R72" s="174" t="s">
        <v>1113</v>
      </c>
      <c r="S72" s="7">
        <v>2024</v>
      </c>
      <c r="T72" s="82">
        <v>50</v>
      </c>
      <c r="U72" s="176" t="s">
        <v>1114</v>
      </c>
      <c r="V72" s="7">
        <v>2024</v>
      </c>
      <c r="W72" s="14">
        <v>100</v>
      </c>
      <c r="X72" s="174"/>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8" t="s">
        <v>244</v>
      </c>
      <c r="I77" s="328"/>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1115</v>
      </c>
      <c r="L78" s="310"/>
      <c r="M78" s="7" t="s">
        <v>30</v>
      </c>
      <c r="N78" s="310" t="s">
        <v>253</v>
      </c>
      <c r="O78" s="310"/>
      <c r="P78" s="7" t="s">
        <v>30</v>
      </c>
      <c r="Q78" s="271" t="s">
        <v>254</v>
      </c>
      <c r="R78" s="272"/>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58" t="s">
        <v>1116</v>
      </c>
      <c r="I79" s="325"/>
      <c r="J79" s="7" t="s">
        <v>41</v>
      </c>
      <c r="K79" s="310" t="s">
        <v>42</v>
      </c>
      <c r="L79" s="310"/>
      <c r="M79" s="7" t="s">
        <v>41</v>
      </c>
      <c r="N79" s="359" t="s">
        <v>1117</v>
      </c>
      <c r="O79" s="310"/>
      <c r="P79" s="7" t="s">
        <v>41</v>
      </c>
      <c r="Q79" s="359" t="s">
        <v>1118</v>
      </c>
      <c r="R79" s="310"/>
      <c r="S79" s="7" t="s">
        <v>41</v>
      </c>
      <c r="T79" s="359" t="s">
        <v>1119</v>
      </c>
      <c r="U79" s="310"/>
      <c r="V79" s="7" t="s">
        <v>41</v>
      </c>
      <c r="W79" s="359" t="s">
        <v>1120</v>
      </c>
      <c r="X79" s="310"/>
      <c r="Y79" s="7" t="s">
        <v>41</v>
      </c>
      <c r="Z79" s="361" t="s">
        <v>1121</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69.875</v>
      </c>
      <c r="C81" s="15"/>
      <c r="D81" s="7">
        <v>2020</v>
      </c>
      <c r="E81" s="14">
        <v>100</v>
      </c>
      <c r="F81" s="17" t="s">
        <v>1122</v>
      </c>
      <c r="G81" s="7">
        <v>2020</v>
      </c>
      <c r="H81" s="14">
        <v>67</v>
      </c>
      <c r="I81" s="17" t="s">
        <v>1123</v>
      </c>
      <c r="J81" s="7">
        <v>2020</v>
      </c>
      <c r="K81" s="31">
        <f t="shared" ref="K81:K85" si="9">AVERAGE(N81,Q81,T81,W81)</f>
        <v>12.5</v>
      </c>
      <c r="L81" s="14"/>
      <c r="M81" s="7">
        <v>2020</v>
      </c>
      <c r="N81" s="21">
        <v>0</v>
      </c>
      <c r="O81" s="17" t="s">
        <v>1124</v>
      </c>
      <c r="P81" s="7">
        <v>2020</v>
      </c>
      <c r="Q81" s="21">
        <v>0</v>
      </c>
      <c r="R81" s="17" t="s">
        <v>1125</v>
      </c>
      <c r="S81" s="7">
        <v>2020</v>
      </c>
      <c r="T81" s="21">
        <v>0</v>
      </c>
      <c r="U81" s="17" t="s">
        <v>1126</v>
      </c>
      <c r="V81" s="7">
        <v>2020</v>
      </c>
      <c r="W81" s="21">
        <v>50</v>
      </c>
      <c r="X81" s="23" t="s">
        <v>1127</v>
      </c>
      <c r="Y81" s="7">
        <v>2020</v>
      </c>
      <c r="Z81" s="14">
        <v>100</v>
      </c>
      <c r="AA81" s="23"/>
    </row>
    <row r="82" spans="1:33" ht="24.75" customHeight="1">
      <c r="A82" s="7">
        <v>2021</v>
      </c>
      <c r="B82" s="15">
        <f t="shared" si="8"/>
        <v>69.875</v>
      </c>
      <c r="C82" s="15"/>
      <c r="D82" s="7">
        <v>2021</v>
      </c>
      <c r="E82" s="14">
        <v>100</v>
      </c>
      <c r="F82" s="17"/>
      <c r="G82" s="7">
        <v>2021</v>
      </c>
      <c r="H82" s="14">
        <v>67</v>
      </c>
      <c r="I82" s="17"/>
      <c r="J82" s="7">
        <v>2021</v>
      </c>
      <c r="K82" s="31">
        <f t="shared" si="9"/>
        <v>12.5</v>
      </c>
      <c r="L82" s="14"/>
      <c r="M82" s="7">
        <v>2021</v>
      </c>
      <c r="N82" s="21">
        <v>0</v>
      </c>
      <c r="O82" s="17"/>
      <c r="P82" s="7">
        <v>2021</v>
      </c>
      <c r="Q82" s="21">
        <v>0</v>
      </c>
      <c r="R82" s="17"/>
      <c r="S82" s="7">
        <v>2021</v>
      </c>
      <c r="T82" s="21">
        <v>0</v>
      </c>
      <c r="U82" s="17"/>
      <c r="V82" s="7">
        <v>2021</v>
      </c>
      <c r="W82" s="21">
        <v>50</v>
      </c>
      <c r="X82" s="17"/>
      <c r="Y82" s="7">
        <v>2021</v>
      </c>
      <c r="Z82" s="14">
        <v>100</v>
      </c>
      <c r="AA82" s="23"/>
    </row>
    <row r="83" spans="1:33" ht="24.75" customHeight="1">
      <c r="A83" s="7">
        <v>2022</v>
      </c>
      <c r="B83" s="15">
        <f t="shared" si="8"/>
        <v>69.875</v>
      </c>
      <c r="C83" s="15"/>
      <c r="D83" s="7">
        <v>2022</v>
      </c>
      <c r="E83" s="14">
        <v>100</v>
      </c>
      <c r="F83" s="17"/>
      <c r="G83" s="7">
        <v>2022</v>
      </c>
      <c r="H83" s="14">
        <v>67</v>
      </c>
      <c r="I83" s="17"/>
      <c r="J83" s="7">
        <v>2022</v>
      </c>
      <c r="K83" s="31">
        <f t="shared" si="9"/>
        <v>12.5</v>
      </c>
      <c r="L83" s="14"/>
      <c r="M83" s="7">
        <v>2022</v>
      </c>
      <c r="N83" s="21">
        <v>0</v>
      </c>
      <c r="O83" s="17"/>
      <c r="P83" s="7">
        <v>2022</v>
      </c>
      <c r="Q83" s="21">
        <v>0</v>
      </c>
      <c r="R83" s="17"/>
      <c r="S83" s="7">
        <v>2022</v>
      </c>
      <c r="T83" s="21">
        <v>0</v>
      </c>
      <c r="U83" s="17"/>
      <c r="V83" s="7">
        <v>2022</v>
      </c>
      <c r="W83" s="21">
        <v>50</v>
      </c>
      <c r="X83" s="17"/>
      <c r="Y83" s="7">
        <v>2022</v>
      </c>
      <c r="Z83" s="14">
        <v>100</v>
      </c>
      <c r="AA83" s="23"/>
    </row>
    <row r="84" spans="1:33" ht="24.75" customHeight="1">
      <c r="A84" s="7">
        <v>2023</v>
      </c>
      <c r="B84" s="15">
        <f t="shared" si="8"/>
        <v>69.875</v>
      </c>
      <c r="C84" s="15"/>
      <c r="D84" s="7">
        <v>2023</v>
      </c>
      <c r="E84" s="14">
        <v>100</v>
      </c>
      <c r="F84" s="17"/>
      <c r="G84" s="7">
        <v>2023</v>
      </c>
      <c r="H84" s="14">
        <v>67</v>
      </c>
      <c r="I84" s="17"/>
      <c r="J84" s="7">
        <v>2023</v>
      </c>
      <c r="K84" s="31">
        <f t="shared" si="9"/>
        <v>12.5</v>
      </c>
      <c r="L84" s="14"/>
      <c r="M84" s="7">
        <v>2023</v>
      </c>
      <c r="N84" s="21">
        <v>0</v>
      </c>
      <c r="O84" s="17"/>
      <c r="P84" s="7">
        <v>2023</v>
      </c>
      <c r="Q84" s="21">
        <v>0</v>
      </c>
      <c r="R84" s="17"/>
      <c r="S84" s="7">
        <v>2023</v>
      </c>
      <c r="T84" s="21">
        <v>0</v>
      </c>
      <c r="U84" s="17"/>
      <c r="V84" s="7">
        <v>2023</v>
      </c>
      <c r="W84" s="21">
        <v>50</v>
      </c>
      <c r="X84" s="17"/>
      <c r="Y84" s="7">
        <v>2023</v>
      </c>
      <c r="Z84" s="14">
        <v>100</v>
      </c>
      <c r="AA84" s="23"/>
    </row>
    <row r="85" spans="1:33" ht="24.75" customHeight="1">
      <c r="A85" s="7">
        <v>2024</v>
      </c>
      <c r="B85" s="15">
        <f t="shared" si="8"/>
        <v>69.875</v>
      </c>
      <c r="C85" s="15"/>
      <c r="D85" s="7">
        <v>2024</v>
      </c>
      <c r="E85" s="14">
        <v>100</v>
      </c>
      <c r="F85" s="17"/>
      <c r="G85" s="7">
        <v>2024</v>
      </c>
      <c r="H85" s="14">
        <v>67</v>
      </c>
      <c r="I85" s="17"/>
      <c r="J85" s="7">
        <v>2024</v>
      </c>
      <c r="K85" s="31">
        <f t="shared" si="9"/>
        <v>12.5</v>
      </c>
      <c r="L85" s="14"/>
      <c r="M85" s="7">
        <v>2024</v>
      </c>
      <c r="N85" s="21">
        <v>0</v>
      </c>
      <c r="O85" s="17" t="s">
        <v>1128</v>
      </c>
      <c r="P85" s="7">
        <v>2024</v>
      </c>
      <c r="Q85" s="21">
        <v>0</v>
      </c>
      <c r="R85" s="17"/>
      <c r="S85" s="7">
        <v>2024</v>
      </c>
      <c r="T85" s="21">
        <v>0</v>
      </c>
      <c r="U85" s="17"/>
      <c r="V85" s="7">
        <v>2024</v>
      </c>
      <c r="W85" s="21">
        <v>50</v>
      </c>
      <c r="X85" s="17"/>
      <c r="Y85" s="7">
        <v>2024</v>
      </c>
      <c r="Z85" s="14">
        <v>100</v>
      </c>
      <c r="AA85" s="23"/>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51" t="s">
        <v>283</v>
      </c>
      <c r="X90" s="351"/>
      <c r="Y90" s="7" t="s">
        <v>19</v>
      </c>
      <c r="Z90" s="322" t="s">
        <v>284</v>
      </c>
      <c r="AA90" s="322"/>
      <c r="AB90" s="7" t="s">
        <v>19</v>
      </c>
      <c r="AC90" s="322" t="s">
        <v>285</v>
      </c>
      <c r="AD90" s="322"/>
      <c r="AE90" s="7" t="s">
        <v>19</v>
      </c>
      <c r="AF90" s="322" t="s">
        <v>286</v>
      </c>
      <c r="AG90" s="322"/>
    </row>
    <row r="91" spans="1:33" ht="31.5" customHeight="1">
      <c r="A91" s="7" t="s">
        <v>30</v>
      </c>
      <c r="B91" s="322" t="s">
        <v>31</v>
      </c>
      <c r="C91" s="322"/>
      <c r="D91" s="7" t="s">
        <v>30</v>
      </c>
      <c r="E91" s="310" t="s">
        <v>1129</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59" t="s">
        <v>1130</v>
      </c>
      <c r="F92" s="310"/>
      <c r="G92" s="7" t="s">
        <v>41</v>
      </c>
      <c r="H92" s="310" t="s">
        <v>42</v>
      </c>
      <c r="I92" s="310"/>
      <c r="J92" s="7" t="s">
        <v>41</v>
      </c>
      <c r="K92" s="359" t="s">
        <v>1131</v>
      </c>
      <c r="L92" s="310"/>
      <c r="M92" s="7" t="s">
        <v>41</v>
      </c>
      <c r="N92" s="359" t="s">
        <v>1131</v>
      </c>
      <c r="O92" s="310"/>
      <c r="P92" s="7" t="s">
        <v>41</v>
      </c>
      <c r="Q92" s="359" t="s">
        <v>1131</v>
      </c>
      <c r="R92" s="310"/>
      <c r="S92" s="7" t="s">
        <v>41</v>
      </c>
      <c r="T92" s="310" t="s">
        <v>298</v>
      </c>
      <c r="U92" s="310"/>
      <c r="V92" s="7" t="s">
        <v>41</v>
      </c>
      <c r="W92" s="359" t="s">
        <v>1132</v>
      </c>
      <c r="X92" s="310"/>
      <c r="Y92" s="7" t="s">
        <v>41</v>
      </c>
      <c r="Z92" s="359" t="s">
        <v>1133</v>
      </c>
      <c r="AA92" s="310"/>
      <c r="AB92" s="7" t="s">
        <v>41</v>
      </c>
      <c r="AC92" s="359" t="s">
        <v>1134</v>
      </c>
      <c r="AD92" s="310"/>
      <c r="AE92" s="7" t="s">
        <v>41</v>
      </c>
      <c r="AF92" s="359" t="s">
        <v>1135</v>
      </c>
      <c r="AG92" s="310"/>
    </row>
    <row r="93" spans="1:33" ht="24.75" customHeight="1">
      <c r="A93" s="7" t="s">
        <v>121</v>
      </c>
      <c r="B93" s="7" t="s">
        <v>54</v>
      </c>
      <c r="C93" s="7" t="s">
        <v>122</v>
      </c>
      <c r="D93" s="7" t="s">
        <v>121</v>
      </c>
      <c r="E93" s="7" t="s">
        <v>54</v>
      </c>
      <c r="F93" s="179" t="s">
        <v>122</v>
      </c>
      <c r="G93" s="7" t="s">
        <v>121</v>
      </c>
      <c r="H93" s="7" t="s">
        <v>54</v>
      </c>
      <c r="I93" s="7" t="s">
        <v>122</v>
      </c>
      <c r="J93" s="7" t="s">
        <v>121</v>
      </c>
      <c r="K93" s="7" t="s">
        <v>54</v>
      </c>
      <c r="L93" s="179" t="s">
        <v>122</v>
      </c>
      <c r="M93" s="7" t="s">
        <v>121</v>
      </c>
      <c r="N93" s="7" t="s">
        <v>54</v>
      </c>
      <c r="O93" s="179" t="s">
        <v>122</v>
      </c>
      <c r="P93" s="7" t="s">
        <v>121</v>
      </c>
      <c r="Q93" s="7" t="s">
        <v>54</v>
      </c>
      <c r="R93" s="179" t="s">
        <v>122</v>
      </c>
      <c r="S93" s="7" t="s">
        <v>121</v>
      </c>
      <c r="T93" s="7" t="s">
        <v>54</v>
      </c>
      <c r="U93" s="179" t="s">
        <v>122</v>
      </c>
      <c r="V93" s="7" t="s">
        <v>121</v>
      </c>
      <c r="W93" s="7" t="s">
        <v>54</v>
      </c>
      <c r="X93" s="179" t="s">
        <v>122</v>
      </c>
      <c r="Y93" s="7" t="s">
        <v>121</v>
      </c>
      <c r="Z93" s="7" t="s">
        <v>54</v>
      </c>
      <c r="AA93" s="179" t="s">
        <v>122</v>
      </c>
      <c r="AB93" s="7" t="s">
        <v>121</v>
      </c>
      <c r="AC93" s="7"/>
      <c r="AD93" s="7"/>
      <c r="AE93" s="7" t="s">
        <v>121</v>
      </c>
      <c r="AF93" s="7"/>
      <c r="AG93" s="179"/>
    </row>
    <row r="94" spans="1:33" ht="84.75" customHeight="1">
      <c r="A94" s="7">
        <v>2020</v>
      </c>
      <c r="B94" s="15">
        <f>AVERAGE(E94,H94, W94,((Z94+AC94+AF94)/3))</f>
        <v>79.166666666666671</v>
      </c>
      <c r="C94" s="15"/>
      <c r="D94" s="7">
        <v>2020</v>
      </c>
      <c r="E94" s="180">
        <v>50</v>
      </c>
      <c r="F94" s="181" t="s">
        <v>1136</v>
      </c>
      <c r="G94" s="28">
        <v>2020</v>
      </c>
      <c r="H94" s="31">
        <f t="shared" ref="H94:H98" si="10">AVERAGE(K94,N94,Q94,T94)</f>
        <v>100</v>
      </c>
      <c r="I94" s="14"/>
      <c r="J94" s="7">
        <v>2020</v>
      </c>
      <c r="K94" s="37">
        <v>100</v>
      </c>
      <c r="L94" s="182"/>
      <c r="M94" s="28">
        <v>2020</v>
      </c>
      <c r="N94" s="180">
        <v>100</v>
      </c>
      <c r="O94" s="181"/>
      <c r="P94" s="28">
        <v>2020</v>
      </c>
      <c r="Q94" s="180">
        <v>100</v>
      </c>
      <c r="R94" s="181" t="s">
        <v>1137</v>
      </c>
      <c r="S94" s="28">
        <v>2020</v>
      </c>
      <c r="T94" s="37">
        <v>100</v>
      </c>
      <c r="U94" s="181" t="s">
        <v>1138</v>
      </c>
      <c r="V94" s="28">
        <v>2020</v>
      </c>
      <c r="W94" s="37">
        <v>100</v>
      </c>
      <c r="X94" s="181" t="s">
        <v>1139</v>
      </c>
      <c r="Y94" s="28">
        <v>2020</v>
      </c>
      <c r="Z94" s="37">
        <v>100</v>
      </c>
      <c r="AA94" s="183" t="s">
        <v>1140</v>
      </c>
      <c r="AB94" s="28">
        <v>2020</v>
      </c>
      <c r="AC94" s="14">
        <v>100</v>
      </c>
      <c r="AD94" s="184" t="s">
        <v>1141</v>
      </c>
      <c r="AE94" s="7">
        <v>2020</v>
      </c>
      <c r="AF94" s="37">
        <v>0</v>
      </c>
      <c r="AG94" s="360" t="s">
        <v>1142</v>
      </c>
    </row>
    <row r="95" spans="1:33" ht="63" customHeight="1">
      <c r="A95" s="7">
        <v>2021</v>
      </c>
      <c r="B95" s="15">
        <f>AVERAGE(E95,H95, W95,((Z95+AC95+AF95)/3))</f>
        <v>79.166666666666671</v>
      </c>
      <c r="C95" s="15"/>
      <c r="D95" s="7">
        <v>2021</v>
      </c>
      <c r="E95" s="180">
        <v>50</v>
      </c>
      <c r="F95" s="182"/>
      <c r="G95" s="28">
        <v>2021</v>
      </c>
      <c r="H95" s="31">
        <f t="shared" si="10"/>
        <v>100</v>
      </c>
      <c r="I95" s="14"/>
      <c r="J95" s="7">
        <v>2021</v>
      </c>
      <c r="K95" s="37">
        <v>100</v>
      </c>
      <c r="L95" s="182"/>
      <c r="M95" s="28">
        <v>2021</v>
      </c>
      <c r="N95" s="180">
        <v>100</v>
      </c>
      <c r="O95" s="181" t="s">
        <v>1143</v>
      </c>
      <c r="P95" s="28">
        <v>2021</v>
      </c>
      <c r="Q95" s="180">
        <v>100</v>
      </c>
      <c r="R95" s="182"/>
      <c r="S95" s="28">
        <v>2021</v>
      </c>
      <c r="T95" s="37">
        <v>100</v>
      </c>
      <c r="U95" s="182"/>
      <c r="V95" s="28">
        <v>2021</v>
      </c>
      <c r="W95" s="37">
        <v>100</v>
      </c>
      <c r="X95" s="182"/>
      <c r="Y95" s="28">
        <v>2021</v>
      </c>
      <c r="Z95" s="37">
        <v>100</v>
      </c>
      <c r="AA95" s="181" t="s">
        <v>1144</v>
      </c>
      <c r="AB95" s="28">
        <v>2021</v>
      </c>
      <c r="AC95" s="14">
        <v>100</v>
      </c>
      <c r="AD95" s="17"/>
      <c r="AE95" s="7">
        <v>2021</v>
      </c>
      <c r="AF95" s="37">
        <v>0</v>
      </c>
      <c r="AG95" s="360"/>
    </row>
    <row r="96" spans="1:33" ht="61.5" customHeight="1">
      <c r="A96" s="7">
        <v>2022</v>
      </c>
      <c r="B96" s="15">
        <f>AVERAGE(E96,H96, W96,((Z96+AC96+AF96)/3))</f>
        <v>79.166666666666671</v>
      </c>
      <c r="C96" s="15"/>
      <c r="D96" s="7">
        <v>2022</v>
      </c>
      <c r="E96" s="180">
        <v>50</v>
      </c>
      <c r="F96" s="182"/>
      <c r="G96" s="28">
        <v>2022</v>
      </c>
      <c r="H96" s="31">
        <f t="shared" si="10"/>
        <v>100</v>
      </c>
      <c r="I96" s="14"/>
      <c r="J96" s="7">
        <v>2022</v>
      </c>
      <c r="K96" s="37">
        <v>100</v>
      </c>
      <c r="L96" s="185" t="s">
        <v>1145</v>
      </c>
      <c r="M96" s="28">
        <v>2022</v>
      </c>
      <c r="N96" s="180">
        <v>100</v>
      </c>
      <c r="O96" s="182"/>
      <c r="P96" s="28">
        <v>2022</v>
      </c>
      <c r="Q96" s="180">
        <v>100</v>
      </c>
      <c r="R96" s="181" t="s">
        <v>1146</v>
      </c>
      <c r="S96" s="28">
        <v>2022</v>
      </c>
      <c r="T96" s="37">
        <v>100</v>
      </c>
      <c r="U96" s="182"/>
      <c r="V96" s="28">
        <v>2022</v>
      </c>
      <c r="W96" s="37">
        <v>100</v>
      </c>
      <c r="X96" s="182"/>
      <c r="Y96" s="28">
        <v>2022</v>
      </c>
      <c r="Z96" s="37">
        <v>100</v>
      </c>
      <c r="AA96" s="183"/>
      <c r="AB96" s="28">
        <v>2022</v>
      </c>
      <c r="AC96" s="14">
        <v>100</v>
      </c>
      <c r="AD96" s="186" t="s">
        <v>1147</v>
      </c>
      <c r="AE96" s="7">
        <v>2022</v>
      </c>
      <c r="AF96" s="37">
        <v>0</v>
      </c>
      <c r="AG96" s="360"/>
    </row>
    <row r="97" spans="1:51" ht="24.75" customHeight="1">
      <c r="A97" s="7">
        <v>2023</v>
      </c>
      <c r="B97" s="15">
        <f>AVERAGE(E97,H97, W97,((Z97+AC97+AF97)/3))</f>
        <v>79.166666666666671</v>
      </c>
      <c r="C97" s="15"/>
      <c r="D97" s="7">
        <v>2023</v>
      </c>
      <c r="E97" s="180">
        <v>50</v>
      </c>
      <c r="F97" s="182"/>
      <c r="G97" s="28">
        <v>2023</v>
      </c>
      <c r="H97" s="31">
        <f t="shared" si="10"/>
        <v>100</v>
      </c>
      <c r="I97" s="14"/>
      <c r="J97" s="7">
        <v>2023</v>
      </c>
      <c r="K97" s="37">
        <v>100</v>
      </c>
      <c r="L97" s="182"/>
      <c r="M97" s="28">
        <v>2023</v>
      </c>
      <c r="N97" s="180">
        <v>100</v>
      </c>
      <c r="O97" s="182"/>
      <c r="P97" s="28">
        <v>2023</v>
      </c>
      <c r="Q97" s="180">
        <v>100</v>
      </c>
      <c r="R97" s="182"/>
      <c r="S97" s="28">
        <v>2023</v>
      </c>
      <c r="T97" s="37">
        <v>100</v>
      </c>
      <c r="U97" s="182"/>
      <c r="V97" s="28">
        <v>2023</v>
      </c>
      <c r="W97" s="37">
        <v>100</v>
      </c>
      <c r="X97" s="182"/>
      <c r="Y97" s="28">
        <v>2023</v>
      </c>
      <c r="Z97" s="37">
        <v>100</v>
      </c>
      <c r="AA97" s="182"/>
      <c r="AB97" s="28">
        <v>2023</v>
      </c>
      <c r="AC97" s="14">
        <v>100</v>
      </c>
      <c r="AD97" s="17"/>
      <c r="AE97" s="7">
        <v>2023</v>
      </c>
      <c r="AF97" s="37">
        <v>0</v>
      </c>
      <c r="AG97" s="360"/>
    </row>
    <row r="98" spans="1:51" ht="24.75" customHeight="1">
      <c r="A98" s="7">
        <v>2024</v>
      </c>
      <c r="B98" s="15">
        <f>AVERAGE(E98,H98, W98,((Z98+AC98+AF98)/3))</f>
        <v>79.166666666666671</v>
      </c>
      <c r="C98" s="15"/>
      <c r="D98" s="7">
        <v>2024</v>
      </c>
      <c r="E98" s="180">
        <v>50</v>
      </c>
      <c r="F98" s="182"/>
      <c r="G98" s="28">
        <v>2024</v>
      </c>
      <c r="H98" s="31">
        <f t="shared" si="10"/>
        <v>100</v>
      </c>
      <c r="I98" s="14"/>
      <c r="J98" s="7">
        <v>2024</v>
      </c>
      <c r="K98" s="37">
        <v>100</v>
      </c>
      <c r="L98" s="182"/>
      <c r="M98" s="28">
        <v>2024</v>
      </c>
      <c r="N98" s="37">
        <v>100</v>
      </c>
      <c r="O98" s="182"/>
      <c r="P98" s="28">
        <v>2024</v>
      </c>
      <c r="Q98" s="180">
        <v>100</v>
      </c>
      <c r="R98" s="182"/>
      <c r="S98" s="28">
        <v>2024</v>
      </c>
      <c r="T98" s="37">
        <v>100</v>
      </c>
      <c r="U98" s="182"/>
      <c r="V98" s="28">
        <v>2024</v>
      </c>
      <c r="W98" s="37">
        <v>100</v>
      </c>
      <c r="X98" s="182"/>
      <c r="Y98" s="28">
        <v>2024</v>
      </c>
      <c r="Z98" s="37">
        <v>100</v>
      </c>
      <c r="AA98" s="182"/>
      <c r="AB98" s="28">
        <v>2024</v>
      </c>
      <c r="AC98" s="14">
        <v>100</v>
      </c>
      <c r="AD98" s="17"/>
      <c r="AE98" s="7">
        <v>2024</v>
      </c>
      <c r="AF98" s="37">
        <v>0</v>
      </c>
      <c r="AG98" s="360"/>
    </row>
    <row r="99" spans="1:51" ht="24.75" customHeight="1">
      <c r="W99" s="37"/>
    </row>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58" t="s">
        <v>1148</v>
      </c>
      <c r="F105" s="325"/>
      <c r="G105" s="27" t="s">
        <v>41</v>
      </c>
      <c r="H105" s="358" t="s">
        <v>1149</v>
      </c>
      <c r="I105" s="325"/>
      <c r="J105" s="27" t="s">
        <v>41</v>
      </c>
      <c r="K105" s="358" t="s">
        <v>1150</v>
      </c>
      <c r="L105" s="325"/>
      <c r="M105" s="27" t="s">
        <v>41</v>
      </c>
      <c r="N105" s="358" t="s">
        <v>1149</v>
      </c>
      <c r="O105" s="325"/>
      <c r="P105" s="27" t="s">
        <v>41</v>
      </c>
      <c r="Q105" s="358" t="s">
        <v>1150</v>
      </c>
      <c r="R105" s="325"/>
      <c r="S105" s="27" t="s">
        <v>41</v>
      </c>
      <c r="T105" s="358" t="s">
        <v>1149</v>
      </c>
      <c r="U105" s="325"/>
      <c r="V105" s="27" t="s">
        <v>41</v>
      </c>
      <c r="W105" s="358" t="s">
        <v>1151</v>
      </c>
      <c r="X105" s="325"/>
      <c r="Y105" s="27" t="s">
        <v>41</v>
      </c>
      <c r="Z105" s="325" t="s">
        <v>339</v>
      </c>
      <c r="AA105" s="325"/>
      <c r="AB105" s="27" t="s">
        <v>41</v>
      </c>
      <c r="AC105" s="358" t="s">
        <v>1152</v>
      </c>
      <c r="AD105" s="325"/>
      <c r="AE105" s="27" t="s">
        <v>41</v>
      </c>
      <c r="AF105" s="358" t="s">
        <v>1153</v>
      </c>
      <c r="AG105" s="325"/>
      <c r="AH105" s="27" t="s">
        <v>41</v>
      </c>
      <c r="AI105" s="358" t="s">
        <v>1154</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60.416666666666664</v>
      </c>
      <c r="C107" s="43"/>
      <c r="D107" s="27">
        <v>2020</v>
      </c>
      <c r="E107" s="82">
        <v>50</v>
      </c>
      <c r="F107" s="86" t="s">
        <v>1155</v>
      </c>
      <c r="G107" s="7">
        <v>2020</v>
      </c>
      <c r="H107" s="44">
        <v>100</v>
      </c>
      <c r="I107" s="23" t="s">
        <v>1156</v>
      </c>
      <c r="J107" s="27">
        <v>2020</v>
      </c>
      <c r="K107" s="85">
        <v>50</v>
      </c>
      <c r="L107" s="86" t="s">
        <v>1157</v>
      </c>
      <c r="M107" s="7">
        <v>2020</v>
      </c>
      <c r="N107" s="21">
        <v>100</v>
      </c>
      <c r="O107" s="23" t="s">
        <v>1158</v>
      </c>
      <c r="P107" s="27">
        <v>2020</v>
      </c>
      <c r="Q107" s="14">
        <v>50</v>
      </c>
      <c r="R107" s="23" t="s">
        <v>1159</v>
      </c>
      <c r="S107" s="7">
        <v>2020</v>
      </c>
      <c r="T107" s="14">
        <v>50</v>
      </c>
      <c r="U107" s="187" t="s">
        <v>1160</v>
      </c>
      <c r="V107" s="7">
        <v>2020</v>
      </c>
      <c r="W107" s="14">
        <v>100</v>
      </c>
      <c r="X107" s="23" t="s">
        <v>1161</v>
      </c>
      <c r="Y107" s="7">
        <v>2020</v>
      </c>
      <c r="Z107" s="14">
        <v>100</v>
      </c>
      <c r="AA107" s="23" t="s">
        <v>1162</v>
      </c>
      <c r="AB107" s="7">
        <v>2020</v>
      </c>
      <c r="AC107" s="21">
        <v>50</v>
      </c>
      <c r="AD107" s="23" t="s">
        <v>1163</v>
      </c>
      <c r="AE107" s="7">
        <v>2020</v>
      </c>
      <c r="AF107" s="14">
        <v>0</v>
      </c>
      <c r="AG107" s="23" t="s">
        <v>1164</v>
      </c>
      <c r="AH107" s="7">
        <v>2020</v>
      </c>
      <c r="AI107" s="84">
        <v>100</v>
      </c>
      <c r="AJ107" s="86" t="s">
        <v>1165</v>
      </c>
      <c r="AK107" s="7">
        <v>2020</v>
      </c>
      <c r="AL107" s="21">
        <v>0</v>
      </c>
      <c r="AM107" s="23" t="s">
        <v>1166</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60.416666666666664</v>
      </c>
      <c r="C108" s="49"/>
      <c r="D108" s="27">
        <v>2021</v>
      </c>
      <c r="E108" s="82">
        <v>50</v>
      </c>
      <c r="F108" s="86"/>
      <c r="G108" s="7">
        <v>2021</v>
      </c>
      <c r="H108" s="44">
        <v>100</v>
      </c>
      <c r="I108" s="23"/>
      <c r="J108" s="27">
        <v>2021</v>
      </c>
      <c r="K108" s="85">
        <v>50</v>
      </c>
      <c r="L108" s="86"/>
      <c r="M108" s="7">
        <v>2021</v>
      </c>
      <c r="N108" s="21">
        <v>100</v>
      </c>
      <c r="O108" s="23"/>
      <c r="P108" s="27">
        <v>2021</v>
      </c>
      <c r="Q108" s="14">
        <v>50</v>
      </c>
      <c r="R108" s="23" t="s">
        <v>1167</v>
      </c>
      <c r="S108" s="7">
        <v>2021</v>
      </c>
      <c r="T108" s="21">
        <v>50</v>
      </c>
      <c r="U108" s="23"/>
      <c r="V108" s="7">
        <v>2021</v>
      </c>
      <c r="W108" s="14">
        <v>100</v>
      </c>
      <c r="X108" s="23" t="s">
        <v>1168</v>
      </c>
      <c r="Y108" s="7">
        <v>2021</v>
      </c>
      <c r="Z108" s="14">
        <v>100</v>
      </c>
      <c r="AA108" s="23" t="s">
        <v>1169</v>
      </c>
      <c r="AB108" s="7">
        <v>2021</v>
      </c>
      <c r="AC108" s="21">
        <v>50</v>
      </c>
      <c r="AD108" s="23"/>
      <c r="AE108" s="7">
        <v>2021</v>
      </c>
      <c r="AF108" s="14">
        <v>0</v>
      </c>
      <c r="AG108" s="23"/>
      <c r="AH108" s="7">
        <v>2021</v>
      </c>
      <c r="AI108" s="21">
        <v>100</v>
      </c>
      <c r="AJ108" s="23" t="s">
        <v>1170</v>
      </c>
      <c r="AK108" s="7">
        <v>2021</v>
      </c>
      <c r="AL108" s="21">
        <v>0</v>
      </c>
      <c r="AM108" s="23"/>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60.416666666666664</v>
      </c>
      <c r="C109" s="49"/>
      <c r="D109" s="27">
        <v>2022</v>
      </c>
      <c r="E109" s="82">
        <v>50</v>
      </c>
      <c r="F109" s="86"/>
      <c r="G109" s="27">
        <v>2022</v>
      </c>
      <c r="H109" s="44">
        <v>100</v>
      </c>
      <c r="I109" s="23"/>
      <c r="J109" s="27">
        <v>2022</v>
      </c>
      <c r="K109" s="85">
        <v>50</v>
      </c>
      <c r="L109" s="86"/>
      <c r="M109" s="27">
        <v>2022</v>
      </c>
      <c r="N109" s="21">
        <v>100</v>
      </c>
      <c r="O109" s="23"/>
      <c r="P109" s="27">
        <v>2022</v>
      </c>
      <c r="Q109" s="14">
        <v>50</v>
      </c>
      <c r="R109" s="23"/>
      <c r="S109" s="27">
        <v>2022</v>
      </c>
      <c r="T109" s="21">
        <v>50</v>
      </c>
      <c r="U109" s="23"/>
      <c r="V109" s="27">
        <v>2022</v>
      </c>
      <c r="W109" s="14">
        <v>100</v>
      </c>
      <c r="X109" s="23"/>
      <c r="Y109" s="27">
        <v>2022</v>
      </c>
      <c r="Z109" s="14">
        <v>100</v>
      </c>
      <c r="AA109" s="23"/>
      <c r="AB109" s="27">
        <v>2022</v>
      </c>
      <c r="AC109" s="21">
        <v>50</v>
      </c>
      <c r="AD109" s="23"/>
      <c r="AE109" s="27">
        <v>2022</v>
      </c>
      <c r="AF109" s="14">
        <v>0</v>
      </c>
      <c r="AG109" s="23"/>
      <c r="AH109" s="27">
        <v>2022</v>
      </c>
      <c r="AI109" s="21">
        <v>100</v>
      </c>
      <c r="AJ109" s="23"/>
      <c r="AK109" s="27">
        <v>2022</v>
      </c>
      <c r="AL109" s="21">
        <v>0</v>
      </c>
      <c r="AM109" s="23"/>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60.416666666666664</v>
      </c>
      <c r="C110" s="49"/>
      <c r="D110" s="27">
        <v>2023</v>
      </c>
      <c r="E110" s="82">
        <v>50</v>
      </c>
      <c r="F110" s="86"/>
      <c r="G110" s="27">
        <v>2023</v>
      </c>
      <c r="H110" s="44">
        <v>100</v>
      </c>
      <c r="I110" s="23"/>
      <c r="J110" s="27">
        <v>2023</v>
      </c>
      <c r="K110" s="85">
        <v>50</v>
      </c>
      <c r="L110" s="86"/>
      <c r="M110" s="27">
        <v>2023</v>
      </c>
      <c r="N110" s="21">
        <v>100</v>
      </c>
      <c r="O110" s="23"/>
      <c r="P110" s="27">
        <v>2023</v>
      </c>
      <c r="Q110" s="14">
        <v>50</v>
      </c>
      <c r="R110" s="23"/>
      <c r="S110" s="27">
        <v>2023</v>
      </c>
      <c r="T110" s="21">
        <v>50</v>
      </c>
      <c r="U110" s="23"/>
      <c r="V110" s="27">
        <v>2023</v>
      </c>
      <c r="W110" s="14">
        <v>100</v>
      </c>
      <c r="X110" s="23"/>
      <c r="Y110" s="27">
        <v>2023</v>
      </c>
      <c r="Z110" s="14">
        <v>100</v>
      </c>
      <c r="AA110" s="23"/>
      <c r="AB110" s="27">
        <v>2023</v>
      </c>
      <c r="AC110" s="21">
        <v>50</v>
      </c>
      <c r="AD110" s="23"/>
      <c r="AE110" s="27">
        <v>2023</v>
      </c>
      <c r="AF110" s="14">
        <v>0</v>
      </c>
      <c r="AG110" s="23"/>
      <c r="AH110" s="27">
        <v>2023</v>
      </c>
      <c r="AI110" s="21">
        <v>100</v>
      </c>
      <c r="AJ110" s="23"/>
      <c r="AK110" s="27">
        <v>2023</v>
      </c>
      <c r="AL110" s="21">
        <v>0</v>
      </c>
      <c r="AM110" s="23"/>
    </row>
    <row r="111" spans="1:51" ht="22.5" customHeight="1">
      <c r="A111" s="27">
        <v>2024</v>
      </c>
      <c r="B111" s="42">
        <f>AVERAGE((E111+K111+Q111)/3+(H111+N111+T111)/3+W111+Z111+AC111+AF111+AI111+AL111)/8</f>
        <v>60.416666666666664</v>
      </c>
      <c r="C111" s="49"/>
      <c r="D111" s="27">
        <v>2024</v>
      </c>
      <c r="E111" s="82">
        <v>50</v>
      </c>
      <c r="F111" s="86"/>
      <c r="G111" s="27">
        <v>2024</v>
      </c>
      <c r="H111" s="44">
        <v>100</v>
      </c>
      <c r="I111" s="23"/>
      <c r="J111" s="27">
        <v>2024</v>
      </c>
      <c r="K111" s="85">
        <v>50</v>
      </c>
      <c r="L111" s="86"/>
      <c r="M111" s="27">
        <v>2024</v>
      </c>
      <c r="N111" s="21">
        <v>100</v>
      </c>
      <c r="O111" s="23"/>
      <c r="P111" s="27">
        <v>2024</v>
      </c>
      <c r="Q111" s="14">
        <v>50</v>
      </c>
      <c r="R111" s="23" t="s">
        <v>1171</v>
      </c>
      <c r="S111" s="27">
        <v>2024</v>
      </c>
      <c r="T111" s="21">
        <v>50</v>
      </c>
      <c r="U111" s="23"/>
      <c r="V111" s="27">
        <v>2024</v>
      </c>
      <c r="W111" s="14">
        <v>100</v>
      </c>
      <c r="X111" s="23"/>
      <c r="Y111" s="27">
        <v>2024</v>
      </c>
      <c r="Z111" s="14">
        <v>100</v>
      </c>
      <c r="AA111" s="23"/>
      <c r="AB111" s="27">
        <v>2024</v>
      </c>
      <c r="AC111" s="21">
        <v>50</v>
      </c>
      <c r="AD111" s="23"/>
      <c r="AE111" s="27">
        <v>2024</v>
      </c>
      <c r="AF111" s="14">
        <v>0</v>
      </c>
      <c r="AG111" s="23"/>
      <c r="AH111" s="27">
        <v>2024</v>
      </c>
      <c r="AI111" s="21">
        <v>100</v>
      </c>
      <c r="AJ111" s="23" t="s">
        <v>1172</v>
      </c>
      <c r="AK111" s="27">
        <v>2024</v>
      </c>
      <c r="AL111" s="21">
        <v>0</v>
      </c>
      <c r="AM111" s="23"/>
    </row>
  </sheetData>
  <mergeCells count="425">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Z90:AA90"/>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2:AA92"/>
    <mergeCell ref="AC92:AD92"/>
    <mergeCell ref="AF92:AG92"/>
    <mergeCell ref="AG94:AG98"/>
    <mergeCell ref="W91:X91"/>
    <mergeCell ref="Z91:AA91"/>
    <mergeCell ref="AC91:AD91"/>
    <mergeCell ref="AF91:AG91"/>
    <mergeCell ref="B100:AM100"/>
    <mergeCell ref="B92:C92"/>
    <mergeCell ref="E92:F92"/>
    <mergeCell ref="H92:I92"/>
    <mergeCell ref="K92:L92"/>
    <mergeCell ref="N92:O92"/>
    <mergeCell ref="Q92:R92"/>
    <mergeCell ref="T92:U92"/>
    <mergeCell ref="W92:X92"/>
    <mergeCell ref="B101:C101"/>
    <mergeCell ref="E101:F101"/>
    <mergeCell ref="H101:I101"/>
    <mergeCell ref="K101:L101"/>
    <mergeCell ref="N101:O101"/>
    <mergeCell ref="Q101:R101"/>
    <mergeCell ref="T101:U101"/>
    <mergeCell ref="W101:X101"/>
    <mergeCell ref="Z101:AA101"/>
    <mergeCell ref="AL102:AM102"/>
    <mergeCell ref="AC101:AD101"/>
    <mergeCell ref="AF101:AG101"/>
    <mergeCell ref="AI101:AJ101"/>
    <mergeCell ref="AL101:AM101"/>
    <mergeCell ref="E102:F102"/>
    <mergeCell ref="H102:I102"/>
    <mergeCell ref="K102:L102"/>
    <mergeCell ref="N102:O102"/>
    <mergeCell ref="Q102:R102"/>
    <mergeCell ref="T102:U102"/>
    <mergeCell ref="H103:I103"/>
    <mergeCell ref="K103:L103"/>
    <mergeCell ref="N103:O103"/>
    <mergeCell ref="Q103:R103"/>
    <mergeCell ref="W102:X102"/>
    <mergeCell ref="Z102:AA102"/>
    <mergeCell ref="AC102:AD102"/>
    <mergeCell ref="AF102:AG102"/>
    <mergeCell ref="AI102:AJ102"/>
    <mergeCell ref="B105:C105"/>
    <mergeCell ref="E105:F105"/>
    <mergeCell ref="H105:I105"/>
    <mergeCell ref="K105:L105"/>
    <mergeCell ref="N105:O105"/>
    <mergeCell ref="Q105:R105"/>
    <mergeCell ref="AL103:AM103"/>
    <mergeCell ref="B104:C104"/>
    <mergeCell ref="E104:F104"/>
    <mergeCell ref="H104:I104"/>
    <mergeCell ref="K104:L104"/>
    <mergeCell ref="N104:O104"/>
    <mergeCell ref="Q104:R104"/>
    <mergeCell ref="T104:U104"/>
    <mergeCell ref="W104:X104"/>
    <mergeCell ref="Z104:AA104"/>
    <mergeCell ref="T103:U103"/>
    <mergeCell ref="W103:X103"/>
    <mergeCell ref="Z103:AA103"/>
    <mergeCell ref="AC103:AD103"/>
    <mergeCell ref="AF103:AG103"/>
    <mergeCell ref="AI103:AJ103"/>
    <mergeCell ref="B103:C103"/>
    <mergeCell ref="E103:F103"/>
    <mergeCell ref="AL105:AM105"/>
    <mergeCell ref="T105:U105"/>
    <mergeCell ref="W105:X105"/>
    <mergeCell ref="Z105:AA105"/>
    <mergeCell ref="AC105:AD105"/>
    <mergeCell ref="AF105:AG105"/>
    <mergeCell ref="AI105:AJ105"/>
    <mergeCell ref="AC104:AD104"/>
    <mergeCell ref="AF104:AG104"/>
    <mergeCell ref="AI104:AJ104"/>
    <mergeCell ref="AL104:AM104"/>
  </mergeCells>
  <hyperlinks>
    <hyperlink ref="AY29" r:id="rId1" display="Article L314-9" xr:uid="{09962152-C04A-4812-B714-1BD1101005DF}"/>
    <hyperlink ref="AA18" r:id="rId2" xr:uid="{A79BB407-C6FB-4A09-B89A-215F9ACD0F0B}"/>
  </hyperlinks>
  <pageMargins left="0.70833333333333304" right="0.70833333333333304" top="0.74791666666666701" bottom="0.74791666666666701" header="0.31458333333333299" footer="0.31458333333333299"/>
  <pageSetup paperSize="9" scale="50" orientation="landscape"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0A9C-A65E-4802-ABE9-A765627085A1}">
  <dimension ref="A1:CC111"/>
  <sheetViews>
    <sheetView zoomScale="90" zoomScaleNormal="113" workbookViewId="0">
      <selection activeCell="G109" sqref="G109"/>
    </sheetView>
  </sheetViews>
  <sheetFormatPr defaultColWidth="8.90625" defaultRowHeight="15" customHeight="1"/>
  <cols>
    <col min="1" max="1" width="17.453125" style="1" customWidth="1"/>
    <col min="2" max="2" width="13.45312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90625" style="1"/>
  </cols>
  <sheetData>
    <row r="1" spans="1:81" ht="29.4" customHeight="1">
      <c r="A1" s="323" t="s">
        <v>0</v>
      </c>
      <c r="B1" s="323"/>
      <c r="C1" s="323"/>
      <c r="D1" s="323"/>
    </row>
    <row r="2" spans="1:81" ht="35.4" customHeight="1">
      <c r="A2" s="2" t="s">
        <v>1</v>
      </c>
      <c r="B2" s="2" t="s">
        <v>2</v>
      </c>
      <c r="C2" s="2" t="s">
        <v>3</v>
      </c>
      <c r="D2" s="2" t="s">
        <v>4</v>
      </c>
    </row>
    <row r="3" spans="1:81" ht="15" customHeight="1">
      <c r="A3" s="3">
        <v>2020</v>
      </c>
      <c r="B3" s="16">
        <f>AVERAGE(B16,B29,B42,B55,B68,B81,B94,B107)</f>
        <v>46.708829365079367</v>
      </c>
      <c r="C3" s="16">
        <f>AVERAGE(B16,B29,B42,B55,B68,B81,B94)</f>
        <v>46.821995464852606</v>
      </c>
      <c r="D3" s="16">
        <f>AVERAGE(B16,B29,B55,B68,B81,B94)</f>
        <v>47.49074074074074</v>
      </c>
    </row>
    <row r="4" spans="1:81" ht="15" customHeight="1">
      <c r="A4" s="3">
        <v>2021</v>
      </c>
      <c r="B4" s="16">
        <f t="shared" ref="B4:B7" si="0">AVERAGE(B17,B30,B43,B56,B69,B82,B95,B108)</f>
        <v>47.60168650793652</v>
      </c>
      <c r="C4" s="16">
        <f t="shared" ref="C4:C7" si="1">AVERAGE(B17,B30,B43,B56,B69,B82,B95)</f>
        <v>47.842403628117928</v>
      </c>
      <c r="D4" s="16">
        <f t="shared" ref="D4:D7" si="2">AVERAGE(B17,B30,B56,B69,B82,B95)</f>
        <v>47.49074074074074</v>
      </c>
    </row>
    <row r="5" spans="1:81" ht="15" customHeight="1">
      <c r="A5" s="3">
        <v>2022</v>
      </c>
      <c r="B5" s="16">
        <f t="shared" si="0"/>
        <v>48.990575396825406</v>
      </c>
      <c r="C5" s="16">
        <f t="shared" si="1"/>
        <v>49.42970521541951</v>
      </c>
      <c r="D5" s="16">
        <f t="shared" si="2"/>
        <v>49.342592592592602</v>
      </c>
    </row>
    <row r="6" spans="1:81" ht="15" customHeight="1">
      <c r="A6" s="3">
        <v>2023</v>
      </c>
      <c r="B6" s="16">
        <f>AVERAGE(B19,B32,B45,B58,B71,B84,B97,B110)</f>
        <v>48.990575396825406</v>
      </c>
      <c r="C6" s="16">
        <f t="shared" si="1"/>
        <v>49.42970521541951</v>
      </c>
      <c r="D6" s="16">
        <f t="shared" si="2"/>
        <v>49.342592592592602</v>
      </c>
    </row>
    <row r="7" spans="1:81" ht="15" customHeight="1">
      <c r="A7" s="3">
        <v>2024</v>
      </c>
      <c r="B7" s="16">
        <f t="shared" si="0"/>
        <v>48.990575396825406</v>
      </c>
      <c r="C7" s="16">
        <f t="shared" si="1"/>
        <v>49.42970521541951</v>
      </c>
      <c r="D7" s="16">
        <f t="shared" si="2"/>
        <v>49.342592592592602</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61.111111111111114</v>
      </c>
      <c r="C16" s="16"/>
      <c r="D16" s="7">
        <v>2020</v>
      </c>
      <c r="E16" s="14">
        <v>100</v>
      </c>
      <c r="F16" s="17"/>
      <c r="G16" s="7">
        <v>2020</v>
      </c>
      <c r="H16" s="14">
        <v>0</v>
      </c>
      <c r="I16" s="17"/>
      <c r="J16" s="7">
        <v>2020</v>
      </c>
      <c r="K16" s="14">
        <v>100</v>
      </c>
      <c r="L16" s="17"/>
      <c r="M16" s="7">
        <v>2020</v>
      </c>
      <c r="N16" s="14">
        <v>100</v>
      </c>
      <c r="O16" s="17"/>
      <c r="P16" s="7">
        <v>2020</v>
      </c>
      <c r="Q16" s="14">
        <v>100</v>
      </c>
      <c r="R16" s="17"/>
      <c r="S16" s="7">
        <v>2020</v>
      </c>
      <c r="T16" s="80">
        <v>0</v>
      </c>
      <c r="U16" s="17"/>
      <c r="V16" s="7">
        <v>2020</v>
      </c>
      <c r="W16" s="14">
        <v>50</v>
      </c>
      <c r="X16" s="23" t="s">
        <v>1173</v>
      </c>
      <c r="Y16" s="7">
        <v>2020</v>
      </c>
      <c r="Z16" s="14">
        <v>0</v>
      </c>
      <c r="AA16" s="17"/>
      <c r="AB16" s="7">
        <v>2020</v>
      </c>
      <c r="AC16" s="47">
        <v>100</v>
      </c>
      <c r="AD16" s="35" t="s">
        <v>1174</v>
      </c>
    </row>
    <row r="17" spans="1:51" ht="24.75" customHeight="1">
      <c r="A17" s="7">
        <v>2021</v>
      </c>
      <c r="B17" s="15">
        <f t="shared" si="3"/>
        <v>61.111111111111114</v>
      </c>
      <c r="C17" s="16"/>
      <c r="D17" s="7">
        <v>2021</v>
      </c>
      <c r="E17" s="14">
        <v>100</v>
      </c>
      <c r="F17" s="17"/>
      <c r="G17" s="7">
        <v>2021</v>
      </c>
      <c r="H17" s="14">
        <v>0</v>
      </c>
      <c r="I17" s="17"/>
      <c r="J17" s="7">
        <v>2021</v>
      </c>
      <c r="K17" s="14">
        <v>100</v>
      </c>
      <c r="L17" s="17"/>
      <c r="M17" s="7">
        <v>2021</v>
      </c>
      <c r="N17" s="14">
        <v>100</v>
      </c>
      <c r="O17" s="17"/>
      <c r="P17" s="7">
        <v>2021</v>
      </c>
      <c r="Q17" s="14">
        <v>100</v>
      </c>
      <c r="R17" s="17"/>
      <c r="S17" s="7">
        <v>2021</v>
      </c>
      <c r="T17" s="80">
        <v>0</v>
      </c>
      <c r="U17" s="17"/>
      <c r="V17" s="7">
        <v>2021</v>
      </c>
      <c r="W17" s="14">
        <v>50</v>
      </c>
      <c r="X17" s="17"/>
      <c r="Y17" s="7">
        <v>2021</v>
      </c>
      <c r="Z17" s="14">
        <v>0</v>
      </c>
      <c r="AA17" s="17"/>
      <c r="AB17" s="7">
        <v>2021</v>
      </c>
      <c r="AC17" s="47">
        <v>100</v>
      </c>
      <c r="AD17" s="35"/>
    </row>
    <row r="18" spans="1:51" ht="24.75" customHeight="1">
      <c r="A18" s="7">
        <v>2022</v>
      </c>
      <c r="B18" s="15">
        <f t="shared" si="3"/>
        <v>72.222222222222229</v>
      </c>
      <c r="C18" s="16"/>
      <c r="D18" s="7">
        <v>2022</v>
      </c>
      <c r="E18" s="14">
        <v>100</v>
      </c>
      <c r="F18" s="17"/>
      <c r="G18" s="7">
        <v>2022</v>
      </c>
      <c r="H18" s="14">
        <v>0</v>
      </c>
      <c r="I18" s="17"/>
      <c r="J18" s="7">
        <v>2022</v>
      </c>
      <c r="K18" s="14">
        <v>100</v>
      </c>
      <c r="L18" s="17"/>
      <c r="M18" s="7">
        <v>2022</v>
      </c>
      <c r="N18" s="14">
        <v>100</v>
      </c>
      <c r="O18" s="17"/>
      <c r="P18" s="7">
        <v>2022</v>
      </c>
      <c r="Q18" s="14">
        <v>100</v>
      </c>
      <c r="R18" s="17"/>
      <c r="S18" s="7">
        <v>2022</v>
      </c>
      <c r="T18" s="18">
        <v>100</v>
      </c>
      <c r="U18" s="35" t="s">
        <v>1175</v>
      </c>
      <c r="V18" s="7">
        <v>2022</v>
      </c>
      <c r="W18" s="14">
        <v>50</v>
      </c>
      <c r="X18" s="17"/>
      <c r="Y18" s="7">
        <v>2022</v>
      </c>
      <c r="Z18" s="14">
        <v>0</v>
      </c>
      <c r="AA18" s="17"/>
      <c r="AB18" s="7">
        <v>2022</v>
      </c>
      <c r="AC18" s="47">
        <v>100</v>
      </c>
      <c r="AD18" s="35"/>
    </row>
    <row r="19" spans="1:51" ht="24.75" customHeight="1">
      <c r="A19" s="7">
        <v>2023</v>
      </c>
      <c r="B19" s="15">
        <f t="shared" si="3"/>
        <v>72.222222222222229</v>
      </c>
      <c r="C19" s="16"/>
      <c r="D19" s="7">
        <v>2023</v>
      </c>
      <c r="E19" s="14">
        <v>100</v>
      </c>
      <c r="F19" s="17"/>
      <c r="G19" s="7">
        <v>2023</v>
      </c>
      <c r="H19" s="14">
        <v>0</v>
      </c>
      <c r="I19" s="17"/>
      <c r="J19" s="7">
        <v>2023</v>
      </c>
      <c r="K19" s="14">
        <v>100</v>
      </c>
      <c r="L19" s="17"/>
      <c r="M19" s="7">
        <v>2023</v>
      </c>
      <c r="N19" s="14">
        <v>100</v>
      </c>
      <c r="O19" s="17"/>
      <c r="P19" s="7">
        <v>2023</v>
      </c>
      <c r="Q19" s="14">
        <v>100</v>
      </c>
      <c r="R19" s="17"/>
      <c r="S19" s="7">
        <v>2023</v>
      </c>
      <c r="T19" s="80">
        <v>100</v>
      </c>
      <c r="U19" s="17"/>
      <c r="V19" s="7">
        <v>2023</v>
      </c>
      <c r="W19" s="14">
        <v>50</v>
      </c>
      <c r="X19" s="17"/>
      <c r="Y19" s="7">
        <v>2023</v>
      </c>
      <c r="Z19" s="14">
        <v>0</v>
      </c>
      <c r="AA19" s="17"/>
      <c r="AB19" s="7">
        <v>2023</v>
      </c>
      <c r="AC19" s="47">
        <v>100</v>
      </c>
      <c r="AD19" s="35"/>
    </row>
    <row r="20" spans="1:51" ht="24.75" customHeight="1">
      <c r="A20" s="7">
        <v>2024</v>
      </c>
      <c r="B20" s="15">
        <f t="shared" si="3"/>
        <v>72.222222222222229</v>
      </c>
      <c r="C20" s="16"/>
      <c r="D20" s="7">
        <v>2024</v>
      </c>
      <c r="E20" s="14">
        <v>100</v>
      </c>
      <c r="F20" s="17"/>
      <c r="G20" s="7">
        <v>2024</v>
      </c>
      <c r="H20" s="14">
        <v>0</v>
      </c>
      <c r="I20" s="17"/>
      <c r="J20" s="7">
        <v>2024</v>
      </c>
      <c r="K20" s="14">
        <v>100</v>
      </c>
      <c r="L20" s="17"/>
      <c r="M20" s="7">
        <v>2024</v>
      </c>
      <c r="N20" s="14">
        <v>100</v>
      </c>
      <c r="O20" s="17"/>
      <c r="P20" s="7">
        <v>2024</v>
      </c>
      <c r="Q20" s="14">
        <v>100</v>
      </c>
      <c r="R20" s="17"/>
      <c r="S20" s="7">
        <v>2024</v>
      </c>
      <c r="T20" s="80">
        <v>100</v>
      </c>
      <c r="U20" s="17"/>
      <c r="V20" s="7">
        <v>2024</v>
      </c>
      <c r="W20" s="14">
        <v>50</v>
      </c>
      <c r="X20" s="17"/>
      <c r="Y20" s="7">
        <v>2024</v>
      </c>
      <c r="Z20" s="14">
        <v>0</v>
      </c>
      <c r="AA20" s="17"/>
      <c r="AB20" s="7">
        <v>2024</v>
      </c>
      <c r="AC20" s="47">
        <v>100</v>
      </c>
      <c r="AD20" s="35"/>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t="s">
        <v>427</v>
      </c>
      <c r="L26" s="325"/>
      <c r="M26" s="27" t="s">
        <v>30</v>
      </c>
      <c r="N26" s="325" t="s">
        <v>96</v>
      </c>
      <c r="O26" s="325"/>
      <c r="P26" s="27" t="s">
        <v>30</v>
      </c>
      <c r="Q26" s="325" t="s">
        <v>97</v>
      </c>
      <c r="R26" s="325"/>
      <c r="S26" s="27" t="s">
        <v>30</v>
      </c>
      <c r="T26" s="325" t="s">
        <v>616</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429</v>
      </c>
      <c r="L27" s="325"/>
      <c r="M27" s="27" t="s">
        <v>41</v>
      </c>
      <c r="N27" s="325" t="s">
        <v>109</v>
      </c>
      <c r="O27" s="325"/>
      <c r="P27" s="27" t="s">
        <v>41</v>
      </c>
      <c r="Q27" s="325" t="s">
        <v>110</v>
      </c>
      <c r="R27" s="325"/>
      <c r="S27" s="27" t="s">
        <v>41</v>
      </c>
      <c r="T27" s="329" t="s">
        <v>429</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51.833333333333336</v>
      </c>
      <c r="C29" s="16"/>
      <c r="D29" s="7">
        <v>2020</v>
      </c>
      <c r="E29" s="21">
        <v>0</v>
      </c>
      <c r="F29" s="17"/>
      <c r="G29" s="7">
        <v>2020</v>
      </c>
      <c r="H29" s="14">
        <v>0</v>
      </c>
      <c r="I29" s="17" t="s">
        <v>1176</v>
      </c>
      <c r="J29" s="7">
        <v>2020</v>
      </c>
      <c r="K29" s="14">
        <v>100</v>
      </c>
      <c r="L29" s="17"/>
      <c r="M29" s="7">
        <v>2020</v>
      </c>
      <c r="N29" s="14">
        <v>100</v>
      </c>
      <c r="O29" s="17"/>
      <c r="P29" s="7">
        <v>2020</v>
      </c>
      <c r="Q29" s="14">
        <v>100</v>
      </c>
      <c r="R29" s="17"/>
      <c r="S29" s="7">
        <v>2020</v>
      </c>
      <c r="T29" s="14">
        <v>100</v>
      </c>
      <c r="U29" s="17"/>
      <c r="V29" s="7">
        <v>2020</v>
      </c>
      <c r="W29" s="14">
        <v>100</v>
      </c>
      <c r="X29" s="17"/>
      <c r="Y29" s="7">
        <v>2020</v>
      </c>
      <c r="Z29" s="14">
        <v>100</v>
      </c>
      <c r="AA29" s="17"/>
      <c r="AB29" s="7">
        <v>2020</v>
      </c>
      <c r="AC29" s="14">
        <v>100</v>
      </c>
      <c r="AD29" s="17"/>
      <c r="AE29" s="7">
        <v>2020</v>
      </c>
      <c r="AF29" s="31">
        <f t="shared" ref="AF29:AF33" si="4">0.67*AI29+0.33*AL29</f>
        <v>16.5</v>
      </c>
      <c r="AG29" s="17"/>
      <c r="AH29" s="7">
        <v>2020</v>
      </c>
      <c r="AI29" s="14">
        <v>0</v>
      </c>
      <c r="AJ29" s="17"/>
      <c r="AK29" s="7">
        <v>2020</v>
      </c>
      <c r="AL29" s="14">
        <v>50</v>
      </c>
      <c r="AM29" s="17"/>
      <c r="AN29" s="7">
        <v>2020</v>
      </c>
      <c r="AO29" s="14">
        <v>100</v>
      </c>
      <c r="AP29" s="17"/>
      <c r="AQ29" s="7">
        <v>2020</v>
      </c>
      <c r="AR29" s="14">
        <v>50</v>
      </c>
      <c r="AS29" s="17"/>
      <c r="AT29" s="7">
        <v>2020</v>
      </c>
      <c r="AU29" s="14">
        <v>50</v>
      </c>
      <c r="AV29" s="17"/>
      <c r="AW29" s="7">
        <v>2020</v>
      </c>
      <c r="AX29" s="14">
        <v>50</v>
      </c>
      <c r="AY29" s="23"/>
    </row>
    <row r="30" spans="1:51" ht="24.75" customHeight="1">
      <c r="A30" s="7">
        <v>2021</v>
      </c>
      <c r="B30" s="15">
        <f>AVERAGE(E30,H30,K30,T30,AF30,AO30,AU30,AX30,AR30)</f>
        <v>51.833333333333336</v>
      </c>
      <c r="C30" s="15"/>
      <c r="D30" s="7">
        <v>2021</v>
      </c>
      <c r="E30" s="21">
        <v>0</v>
      </c>
      <c r="F30" s="17"/>
      <c r="G30" s="7">
        <v>2021</v>
      </c>
      <c r="H30" s="14">
        <v>0</v>
      </c>
      <c r="I30" s="17"/>
      <c r="J30" s="7">
        <v>2021</v>
      </c>
      <c r="K30" s="14">
        <v>100</v>
      </c>
      <c r="L30" s="17"/>
      <c r="M30" s="7">
        <v>2021</v>
      </c>
      <c r="N30" s="14">
        <v>100</v>
      </c>
      <c r="O30" s="17"/>
      <c r="P30" s="7">
        <v>2021</v>
      </c>
      <c r="Q30" s="14">
        <v>100</v>
      </c>
      <c r="R30" s="17"/>
      <c r="S30" s="7">
        <v>2021</v>
      </c>
      <c r="T30" s="14">
        <v>100</v>
      </c>
      <c r="U30" s="17"/>
      <c r="V30" s="7">
        <v>2021</v>
      </c>
      <c r="W30" s="14">
        <v>100</v>
      </c>
      <c r="X30" s="17"/>
      <c r="Y30" s="7">
        <v>2021</v>
      </c>
      <c r="Z30" s="14">
        <v>100</v>
      </c>
      <c r="AA30" s="17"/>
      <c r="AB30" s="7">
        <v>2021</v>
      </c>
      <c r="AC30" s="14">
        <v>100</v>
      </c>
      <c r="AD30" s="17"/>
      <c r="AE30" s="7">
        <v>2021</v>
      </c>
      <c r="AF30" s="31">
        <f t="shared" si="4"/>
        <v>16.5</v>
      </c>
      <c r="AG30" s="17"/>
      <c r="AH30" s="7">
        <v>2021</v>
      </c>
      <c r="AI30" s="14">
        <v>0</v>
      </c>
      <c r="AJ30" s="17"/>
      <c r="AK30" s="7">
        <v>2021</v>
      </c>
      <c r="AL30" s="14">
        <v>50</v>
      </c>
      <c r="AM30" s="17"/>
      <c r="AN30" s="7">
        <v>2021</v>
      </c>
      <c r="AO30" s="14">
        <v>100</v>
      </c>
      <c r="AP30" s="17"/>
      <c r="AQ30" s="7">
        <v>2021</v>
      </c>
      <c r="AR30" s="14">
        <v>50</v>
      </c>
      <c r="AS30" s="17"/>
      <c r="AT30" s="7">
        <v>2021</v>
      </c>
      <c r="AU30" s="14">
        <v>50</v>
      </c>
      <c r="AV30" s="17"/>
      <c r="AW30" s="7">
        <v>2021</v>
      </c>
      <c r="AX30" s="14">
        <v>50</v>
      </c>
      <c r="AY30" s="23"/>
    </row>
    <row r="31" spans="1:51" ht="24.75" customHeight="1">
      <c r="A31" s="7">
        <v>2022</v>
      </c>
      <c r="B31" s="15">
        <f>AVERAGE(E31,H31,K31,T31,AF31,AO31,AU31,AX31,AR31)</f>
        <v>51.833333333333336</v>
      </c>
      <c r="C31" s="15"/>
      <c r="D31" s="7">
        <v>2022</v>
      </c>
      <c r="E31" s="21">
        <v>0</v>
      </c>
      <c r="F31" s="17"/>
      <c r="G31" s="7">
        <v>2022</v>
      </c>
      <c r="H31" s="14">
        <v>0</v>
      </c>
      <c r="I31" s="17"/>
      <c r="J31" s="7">
        <v>2022</v>
      </c>
      <c r="K31" s="14">
        <v>100</v>
      </c>
      <c r="L31" s="17"/>
      <c r="M31" s="7">
        <v>2022</v>
      </c>
      <c r="N31" s="14">
        <v>100</v>
      </c>
      <c r="O31" s="17"/>
      <c r="P31" s="7">
        <v>2022</v>
      </c>
      <c r="Q31" s="14">
        <v>100</v>
      </c>
      <c r="R31" s="17"/>
      <c r="S31" s="7">
        <v>2022</v>
      </c>
      <c r="T31" s="14">
        <v>100</v>
      </c>
      <c r="U31" s="17"/>
      <c r="V31" s="7">
        <v>2022</v>
      </c>
      <c r="W31" s="14">
        <v>100</v>
      </c>
      <c r="X31" s="17"/>
      <c r="Y31" s="7">
        <v>2022</v>
      </c>
      <c r="Z31" s="14">
        <v>100</v>
      </c>
      <c r="AA31" s="17"/>
      <c r="AB31" s="7">
        <v>2022</v>
      </c>
      <c r="AC31" s="14">
        <v>100</v>
      </c>
      <c r="AD31" s="17"/>
      <c r="AE31" s="7">
        <v>2022</v>
      </c>
      <c r="AF31" s="31">
        <f t="shared" si="4"/>
        <v>16.5</v>
      </c>
      <c r="AG31" s="17"/>
      <c r="AH31" s="7">
        <v>2022</v>
      </c>
      <c r="AI31" s="14">
        <v>0</v>
      </c>
      <c r="AJ31" s="17"/>
      <c r="AK31" s="7">
        <v>2022</v>
      </c>
      <c r="AL31" s="14">
        <v>50</v>
      </c>
      <c r="AM31" s="17"/>
      <c r="AN31" s="7">
        <v>2022</v>
      </c>
      <c r="AO31" s="14">
        <v>100</v>
      </c>
      <c r="AP31" s="17"/>
      <c r="AQ31" s="7">
        <v>2022</v>
      </c>
      <c r="AR31" s="14">
        <v>50</v>
      </c>
      <c r="AS31" s="17"/>
      <c r="AT31" s="7">
        <v>2022</v>
      </c>
      <c r="AU31" s="14">
        <v>50</v>
      </c>
      <c r="AV31" s="17"/>
      <c r="AW31" s="7">
        <v>2022</v>
      </c>
      <c r="AX31" s="14">
        <v>50</v>
      </c>
      <c r="AY31" s="23"/>
    </row>
    <row r="32" spans="1:51" ht="24.75" customHeight="1">
      <c r="A32" s="7">
        <v>2023</v>
      </c>
      <c r="B32" s="15">
        <f>AVERAGE(E32,H32,K32,T32,AF32,AO32,AU32,AX32,AR32)</f>
        <v>51.833333333333336</v>
      </c>
      <c r="C32" s="15"/>
      <c r="D32" s="7">
        <v>2023</v>
      </c>
      <c r="E32" s="21">
        <v>0</v>
      </c>
      <c r="F32" s="17"/>
      <c r="G32" s="7">
        <v>2023</v>
      </c>
      <c r="H32" s="14">
        <v>0</v>
      </c>
      <c r="I32" s="17"/>
      <c r="J32" s="7">
        <v>2023</v>
      </c>
      <c r="K32" s="14">
        <v>100</v>
      </c>
      <c r="L32" s="17"/>
      <c r="M32" s="7">
        <v>2023</v>
      </c>
      <c r="N32" s="14">
        <v>100</v>
      </c>
      <c r="O32" s="17"/>
      <c r="P32" s="7">
        <v>2023</v>
      </c>
      <c r="Q32" s="14">
        <v>100</v>
      </c>
      <c r="R32" s="17"/>
      <c r="S32" s="7">
        <v>2023</v>
      </c>
      <c r="T32" s="14">
        <v>100</v>
      </c>
      <c r="U32" s="17"/>
      <c r="V32" s="7">
        <v>2023</v>
      </c>
      <c r="W32" s="14">
        <v>100</v>
      </c>
      <c r="X32" s="17"/>
      <c r="Y32" s="7">
        <v>2023</v>
      </c>
      <c r="Z32" s="14">
        <v>100</v>
      </c>
      <c r="AA32" s="17"/>
      <c r="AB32" s="7">
        <v>2023</v>
      </c>
      <c r="AC32" s="14">
        <v>100</v>
      </c>
      <c r="AD32" s="17"/>
      <c r="AE32" s="7">
        <v>2023</v>
      </c>
      <c r="AF32" s="31">
        <f t="shared" si="4"/>
        <v>16.5</v>
      </c>
      <c r="AG32" s="17"/>
      <c r="AH32" s="7">
        <v>2023</v>
      </c>
      <c r="AI32" s="14">
        <v>0</v>
      </c>
      <c r="AJ32" s="17"/>
      <c r="AK32" s="7">
        <v>2023</v>
      </c>
      <c r="AL32" s="14">
        <v>50</v>
      </c>
      <c r="AM32" s="17"/>
      <c r="AN32" s="7">
        <v>2023</v>
      </c>
      <c r="AO32" s="14">
        <v>100</v>
      </c>
      <c r="AP32" s="17"/>
      <c r="AQ32" s="7">
        <v>2023</v>
      </c>
      <c r="AR32" s="14">
        <v>50</v>
      </c>
      <c r="AS32" s="17"/>
      <c r="AT32" s="7">
        <v>2023</v>
      </c>
      <c r="AU32" s="14">
        <v>50</v>
      </c>
      <c r="AV32" s="17"/>
      <c r="AW32" s="7">
        <v>2023</v>
      </c>
      <c r="AX32" s="14">
        <v>50</v>
      </c>
      <c r="AY32" s="23" t="s">
        <v>1177</v>
      </c>
    </row>
    <row r="33" spans="1:51" ht="24.75" customHeight="1">
      <c r="A33" s="7">
        <v>2024</v>
      </c>
      <c r="B33" s="15">
        <f>AVERAGE(E33,H33,K33,T33,AF33,AO33,AU33,AX33,AR33)</f>
        <v>51.833333333333336</v>
      </c>
      <c r="C33" s="15"/>
      <c r="D33" s="7">
        <v>2024</v>
      </c>
      <c r="E33" s="21">
        <v>0</v>
      </c>
      <c r="F33" s="17"/>
      <c r="G33" s="7">
        <v>2024</v>
      </c>
      <c r="H33" s="14">
        <v>0</v>
      </c>
      <c r="I33" s="17"/>
      <c r="J33" s="7">
        <v>2024</v>
      </c>
      <c r="K33" s="14">
        <v>100</v>
      </c>
      <c r="L33" s="17"/>
      <c r="M33" s="7">
        <v>2024</v>
      </c>
      <c r="N33" s="14">
        <v>100</v>
      </c>
      <c r="O33" s="17"/>
      <c r="P33" s="7">
        <v>2024</v>
      </c>
      <c r="Q33" s="14">
        <v>100</v>
      </c>
      <c r="R33" s="17"/>
      <c r="S33" s="7">
        <v>2024</v>
      </c>
      <c r="T33" s="14">
        <v>100</v>
      </c>
      <c r="U33" s="17"/>
      <c r="V33" s="7">
        <v>2024</v>
      </c>
      <c r="W33" s="14">
        <v>100</v>
      </c>
      <c r="X33" s="17"/>
      <c r="Y33" s="7">
        <v>2024</v>
      </c>
      <c r="Z33" s="14">
        <v>100</v>
      </c>
      <c r="AA33" s="17"/>
      <c r="AB33" s="7">
        <v>2024</v>
      </c>
      <c r="AC33" s="14">
        <v>100</v>
      </c>
      <c r="AD33" s="17"/>
      <c r="AE33" s="7">
        <v>2024</v>
      </c>
      <c r="AF33" s="31">
        <f t="shared" si="4"/>
        <v>16.5</v>
      </c>
      <c r="AG33" s="17"/>
      <c r="AH33" s="7">
        <v>2024</v>
      </c>
      <c r="AI33" s="14">
        <v>0</v>
      </c>
      <c r="AJ33" s="17"/>
      <c r="AK33" s="7">
        <v>2024</v>
      </c>
      <c r="AL33" s="14">
        <v>50</v>
      </c>
      <c r="AM33" s="17"/>
      <c r="AN33" s="7">
        <v>2024</v>
      </c>
      <c r="AO33" s="14">
        <v>100</v>
      </c>
      <c r="AP33" s="17"/>
      <c r="AQ33" s="7">
        <v>2024</v>
      </c>
      <c r="AR33" s="14">
        <v>50</v>
      </c>
      <c r="AS33" s="17"/>
      <c r="AT33" s="7">
        <v>2024</v>
      </c>
      <c r="AU33" s="14">
        <v>50</v>
      </c>
      <c r="AV33" s="17"/>
      <c r="AW33" s="7">
        <v>2024</v>
      </c>
      <c r="AX33" s="14">
        <v>50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63" t="s">
        <v>172</v>
      </c>
      <c r="AG39" s="364"/>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42.80952380952381</v>
      </c>
      <c r="C42" s="16"/>
      <c r="D42" s="7">
        <v>2020</v>
      </c>
      <c r="E42" s="14">
        <v>100</v>
      </c>
      <c r="F42" s="17"/>
      <c r="G42" s="7">
        <v>2020</v>
      </c>
      <c r="H42" s="14">
        <v>0</v>
      </c>
      <c r="I42" s="17"/>
      <c r="J42" s="7">
        <v>2020</v>
      </c>
      <c r="K42" s="34">
        <v>50</v>
      </c>
      <c r="L42" s="35" t="s">
        <v>1178</v>
      </c>
      <c r="M42" s="7">
        <v>2020</v>
      </c>
      <c r="N42" s="31">
        <f t="shared" ref="N42:N46" si="5">AVERAGE(Q42,T42,W42)</f>
        <v>66.666666666666671</v>
      </c>
      <c r="O42" s="14"/>
      <c r="P42" s="7">
        <v>2020</v>
      </c>
      <c r="Q42" s="14">
        <v>50</v>
      </c>
      <c r="R42" s="23" t="s">
        <v>1179</v>
      </c>
      <c r="S42" s="7">
        <v>2020</v>
      </c>
      <c r="T42" s="14">
        <v>50</v>
      </c>
      <c r="U42" s="17"/>
      <c r="V42" s="7">
        <v>2020</v>
      </c>
      <c r="W42" s="14">
        <v>100</v>
      </c>
      <c r="X42" s="17"/>
      <c r="Y42" s="7">
        <v>2020</v>
      </c>
      <c r="Z42" s="14">
        <v>0</v>
      </c>
      <c r="AA42" s="17"/>
      <c r="AB42" s="7">
        <v>2020</v>
      </c>
      <c r="AC42" s="14">
        <v>50</v>
      </c>
      <c r="AD42" s="17"/>
      <c r="AE42" s="7">
        <v>2020</v>
      </c>
      <c r="AF42" s="14">
        <v>33</v>
      </c>
      <c r="AG42" s="14"/>
      <c r="AH42" s="7">
        <v>2020</v>
      </c>
      <c r="AI42" s="21">
        <v>0</v>
      </c>
      <c r="AJ42" s="17"/>
      <c r="AK42" s="7">
        <v>2020</v>
      </c>
      <c r="AL42" s="14">
        <v>50</v>
      </c>
      <c r="AM42" s="23"/>
    </row>
    <row r="43" spans="1:51" ht="24.75" customHeight="1">
      <c r="A43" s="7">
        <v>2021</v>
      </c>
      <c r="B43" s="16">
        <f>AVERAGE(E43,H43,K43,N43,Z43,AC43,AF43)</f>
        <v>49.952380952380956</v>
      </c>
      <c r="C43" s="16"/>
      <c r="D43" s="7">
        <v>2021</v>
      </c>
      <c r="E43" s="14">
        <v>100</v>
      </c>
      <c r="F43" s="17"/>
      <c r="G43" s="7">
        <v>2021</v>
      </c>
      <c r="H43" s="14">
        <v>0</v>
      </c>
      <c r="I43" s="17"/>
      <c r="J43" s="7">
        <v>2021</v>
      </c>
      <c r="K43" s="34">
        <v>50</v>
      </c>
      <c r="L43" s="19"/>
      <c r="M43" s="7">
        <v>2021</v>
      </c>
      <c r="N43" s="31">
        <f t="shared" si="5"/>
        <v>66.666666666666671</v>
      </c>
      <c r="O43" s="14"/>
      <c r="P43" s="7">
        <v>2021</v>
      </c>
      <c r="Q43" s="14">
        <v>50</v>
      </c>
      <c r="R43" s="17"/>
      <c r="S43" s="7">
        <v>2021</v>
      </c>
      <c r="T43" s="14">
        <v>50</v>
      </c>
      <c r="U43" s="17"/>
      <c r="V43" s="7">
        <v>2021</v>
      </c>
      <c r="W43" s="14">
        <v>100</v>
      </c>
      <c r="X43" s="17"/>
      <c r="Y43" s="7">
        <v>2021</v>
      </c>
      <c r="Z43" s="82">
        <v>50</v>
      </c>
      <c r="AA43" s="188" t="s">
        <v>1180</v>
      </c>
      <c r="AB43" s="7">
        <v>2021</v>
      </c>
      <c r="AC43" s="14">
        <v>50</v>
      </c>
      <c r="AD43" s="17"/>
      <c r="AE43" s="7">
        <v>2021</v>
      </c>
      <c r="AF43" s="14">
        <v>33</v>
      </c>
      <c r="AG43" s="14"/>
      <c r="AH43" s="7">
        <v>2021</v>
      </c>
      <c r="AI43" s="21">
        <v>0</v>
      </c>
      <c r="AJ43" s="17"/>
      <c r="AK43" s="7">
        <v>2021</v>
      </c>
      <c r="AL43" s="14">
        <v>50</v>
      </c>
      <c r="AM43" s="23"/>
    </row>
    <row r="44" spans="1:51" ht="24.75" customHeight="1">
      <c r="A44" s="7">
        <v>2022</v>
      </c>
      <c r="B44" s="16">
        <f>AVERAGE(E44,H44,K44,N44,Z44,AC44,AF44)</f>
        <v>49.952380952380956</v>
      </c>
      <c r="C44" s="16"/>
      <c r="D44" s="7">
        <v>2022</v>
      </c>
      <c r="E44" s="14">
        <v>100</v>
      </c>
      <c r="F44" s="17"/>
      <c r="G44" s="7">
        <v>2022</v>
      </c>
      <c r="H44" s="14">
        <v>0</v>
      </c>
      <c r="I44" s="17"/>
      <c r="J44" s="7">
        <v>2022</v>
      </c>
      <c r="K44" s="34">
        <v>50</v>
      </c>
      <c r="L44" s="19" t="s">
        <v>1181</v>
      </c>
      <c r="M44" s="7">
        <v>2022</v>
      </c>
      <c r="N44" s="31">
        <f t="shared" si="5"/>
        <v>66.666666666666671</v>
      </c>
      <c r="O44" s="14"/>
      <c r="P44" s="7">
        <v>2022</v>
      </c>
      <c r="Q44" s="14">
        <v>50</v>
      </c>
      <c r="R44" s="17"/>
      <c r="S44" s="7">
        <v>2022</v>
      </c>
      <c r="T44" s="14">
        <v>50</v>
      </c>
      <c r="U44" s="17"/>
      <c r="V44" s="7">
        <v>2022</v>
      </c>
      <c r="W44" s="14">
        <v>100</v>
      </c>
      <c r="X44" s="17"/>
      <c r="Y44" s="7">
        <v>2022</v>
      </c>
      <c r="Z44" s="14">
        <v>50</v>
      </c>
      <c r="AA44" s="17"/>
      <c r="AB44" s="7">
        <v>2022</v>
      </c>
      <c r="AC44" s="14">
        <v>50</v>
      </c>
      <c r="AD44" s="17"/>
      <c r="AE44" s="7">
        <v>2022</v>
      </c>
      <c r="AF44" s="14">
        <v>33</v>
      </c>
      <c r="AG44" s="14"/>
      <c r="AH44" s="7">
        <v>2022</v>
      </c>
      <c r="AI44" s="21">
        <v>0</v>
      </c>
      <c r="AJ44" s="17"/>
      <c r="AK44" s="7">
        <v>2022</v>
      </c>
      <c r="AL44" s="14">
        <v>50</v>
      </c>
      <c r="AM44" s="23"/>
    </row>
    <row r="45" spans="1:51" ht="24.75" customHeight="1">
      <c r="A45" s="7">
        <v>2023</v>
      </c>
      <c r="B45" s="16">
        <f>AVERAGE(E45,H45,K45,N45,Z45,AC45,AF45)</f>
        <v>49.952380952380956</v>
      </c>
      <c r="C45" s="16"/>
      <c r="D45" s="7">
        <v>2023</v>
      </c>
      <c r="E45" s="14">
        <v>100</v>
      </c>
      <c r="F45" s="17"/>
      <c r="G45" s="7">
        <v>2023</v>
      </c>
      <c r="H45" s="14">
        <v>0</v>
      </c>
      <c r="I45" s="17"/>
      <c r="J45" s="7">
        <v>2023</v>
      </c>
      <c r="K45" s="34">
        <v>50</v>
      </c>
      <c r="L45" s="19"/>
      <c r="M45" s="7">
        <v>2023</v>
      </c>
      <c r="N45" s="31">
        <f t="shared" si="5"/>
        <v>66.666666666666671</v>
      </c>
      <c r="O45" s="14"/>
      <c r="P45" s="7">
        <v>2023</v>
      </c>
      <c r="Q45" s="14">
        <v>50</v>
      </c>
      <c r="R45" s="17"/>
      <c r="S45" s="7">
        <v>2023</v>
      </c>
      <c r="T45" s="14">
        <v>50</v>
      </c>
      <c r="U45" s="17"/>
      <c r="V45" s="7">
        <v>2023</v>
      </c>
      <c r="W45" s="14">
        <v>100</v>
      </c>
      <c r="X45" s="17"/>
      <c r="Y45" s="7">
        <v>2023</v>
      </c>
      <c r="Z45" s="14">
        <v>50</v>
      </c>
      <c r="AA45" s="17"/>
      <c r="AB45" s="7">
        <v>2023</v>
      </c>
      <c r="AC45" s="14">
        <v>50</v>
      </c>
      <c r="AD45" s="17"/>
      <c r="AE45" s="7">
        <v>2023</v>
      </c>
      <c r="AF45" s="14">
        <v>33</v>
      </c>
      <c r="AG45" s="14"/>
      <c r="AH45" s="7">
        <v>2023</v>
      </c>
      <c r="AI45" s="21">
        <v>0</v>
      </c>
      <c r="AJ45" s="17"/>
      <c r="AK45" s="7">
        <v>2023</v>
      </c>
      <c r="AL45" s="14">
        <v>50</v>
      </c>
      <c r="AM45" s="23"/>
    </row>
    <row r="46" spans="1:51" ht="24.75" customHeight="1">
      <c r="A46" s="7">
        <v>2024</v>
      </c>
      <c r="B46" s="16">
        <f>AVERAGE(E46,H46,K46,N46,Z46,AC46,AF46)</f>
        <v>49.952380952380956</v>
      </c>
      <c r="C46" s="16"/>
      <c r="D46" s="7">
        <v>2024</v>
      </c>
      <c r="E46" s="14">
        <v>100</v>
      </c>
      <c r="F46" s="17"/>
      <c r="G46" s="7">
        <v>2024</v>
      </c>
      <c r="H46" s="14">
        <v>0</v>
      </c>
      <c r="I46" s="17"/>
      <c r="J46" s="7">
        <v>2024</v>
      </c>
      <c r="K46" s="34">
        <v>50</v>
      </c>
      <c r="L46" s="19"/>
      <c r="M46" s="7">
        <v>2024</v>
      </c>
      <c r="N46" s="31">
        <f t="shared" si="5"/>
        <v>66.666666666666671</v>
      </c>
      <c r="O46" s="14"/>
      <c r="P46" s="7">
        <v>2024</v>
      </c>
      <c r="Q46" s="14">
        <v>50</v>
      </c>
      <c r="R46" s="17"/>
      <c r="S46" s="7">
        <v>2024</v>
      </c>
      <c r="T46" s="14">
        <v>50</v>
      </c>
      <c r="U46" s="17"/>
      <c r="V46" s="7">
        <v>2024</v>
      </c>
      <c r="W46" s="14">
        <v>100</v>
      </c>
      <c r="X46" s="17"/>
      <c r="Y46" s="7">
        <v>2024</v>
      </c>
      <c r="Z46" s="14">
        <v>50</v>
      </c>
      <c r="AA46" s="17"/>
      <c r="AB46" s="7">
        <v>2024</v>
      </c>
      <c r="AC46" s="14">
        <v>50</v>
      </c>
      <c r="AD46" s="17"/>
      <c r="AE46" s="7">
        <v>2024</v>
      </c>
      <c r="AF46" s="14">
        <v>33</v>
      </c>
      <c r="AG46" s="14"/>
      <c r="AH46" s="7">
        <v>2024</v>
      </c>
      <c r="AI46" s="21">
        <v>0</v>
      </c>
      <c r="AJ46" s="17"/>
      <c r="AK46" s="7">
        <v>2024</v>
      </c>
      <c r="AL46" s="14">
        <v>50</v>
      </c>
      <c r="AM46" s="23"/>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20</v>
      </c>
      <c r="C55" s="16"/>
      <c r="D55" s="7">
        <v>2020</v>
      </c>
      <c r="E55" s="14">
        <v>0</v>
      </c>
      <c r="F55" s="17"/>
      <c r="G55" s="7">
        <v>2020</v>
      </c>
      <c r="H55" s="14">
        <v>100</v>
      </c>
      <c r="I55" s="17"/>
      <c r="J55" s="7">
        <v>2020</v>
      </c>
      <c r="K55" s="14">
        <v>0</v>
      </c>
      <c r="L55" s="17"/>
      <c r="M55" s="7">
        <v>2020</v>
      </c>
      <c r="N55" s="14">
        <v>0</v>
      </c>
      <c r="O55" s="17"/>
      <c r="P55" s="7">
        <v>2020</v>
      </c>
      <c r="Q55" s="14">
        <v>0</v>
      </c>
      <c r="R55" s="23"/>
    </row>
    <row r="56" spans="1:24" ht="24.75" customHeight="1">
      <c r="A56" s="7">
        <v>2021</v>
      </c>
      <c r="B56" s="15">
        <f t="shared" si="6"/>
        <v>20</v>
      </c>
      <c r="C56" s="15"/>
      <c r="D56" s="7">
        <v>2021</v>
      </c>
      <c r="E56" s="14">
        <v>0</v>
      </c>
      <c r="F56" s="17"/>
      <c r="G56" s="7">
        <v>2021</v>
      </c>
      <c r="H56" s="14">
        <v>100</v>
      </c>
      <c r="I56" s="17"/>
      <c r="J56" s="7">
        <v>2021</v>
      </c>
      <c r="K56" s="14">
        <v>0</v>
      </c>
      <c r="L56" s="17"/>
      <c r="M56" s="7">
        <v>2021</v>
      </c>
      <c r="N56" s="14">
        <v>0</v>
      </c>
      <c r="O56" s="17"/>
      <c r="P56" s="7">
        <v>2021</v>
      </c>
      <c r="Q56" s="14">
        <v>0</v>
      </c>
      <c r="R56" s="23"/>
    </row>
    <row r="57" spans="1:24" ht="24.75" customHeight="1">
      <c r="A57" s="7">
        <v>2022</v>
      </c>
      <c r="B57" s="15">
        <f t="shared" si="6"/>
        <v>20</v>
      </c>
      <c r="C57" s="15"/>
      <c r="D57" s="7">
        <v>2022</v>
      </c>
      <c r="E57" s="14">
        <v>0</v>
      </c>
      <c r="F57" s="17"/>
      <c r="G57" s="7">
        <v>2022</v>
      </c>
      <c r="H57" s="14">
        <v>100</v>
      </c>
      <c r="I57" s="17"/>
      <c r="J57" s="7">
        <v>2022</v>
      </c>
      <c r="K57" s="21">
        <v>0</v>
      </c>
      <c r="L57" s="17"/>
      <c r="M57" s="7">
        <v>2022</v>
      </c>
      <c r="N57" s="14">
        <v>0</v>
      </c>
      <c r="O57" s="17"/>
      <c r="P57" s="7">
        <v>2022</v>
      </c>
      <c r="Q57" s="14">
        <v>0</v>
      </c>
      <c r="R57" s="23"/>
    </row>
    <row r="58" spans="1:24" ht="24.75" customHeight="1">
      <c r="A58" s="7">
        <v>2023</v>
      </c>
      <c r="B58" s="15">
        <f t="shared" si="6"/>
        <v>20</v>
      </c>
      <c r="C58" s="15"/>
      <c r="D58" s="7">
        <v>2023</v>
      </c>
      <c r="E58" s="14">
        <v>0</v>
      </c>
      <c r="F58" s="17"/>
      <c r="G58" s="7">
        <v>2023</v>
      </c>
      <c r="H58" s="14">
        <v>100</v>
      </c>
      <c r="I58" s="17"/>
      <c r="J58" s="7">
        <v>2023</v>
      </c>
      <c r="K58" s="14">
        <v>0</v>
      </c>
      <c r="L58" s="17"/>
      <c r="M58" s="7">
        <v>2023</v>
      </c>
      <c r="N58" s="14">
        <v>0</v>
      </c>
      <c r="O58" s="17"/>
      <c r="P58" s="7">
        <v>2023</v>
      </c>
      <c r="Q58" s="14">
        <v>0</v>
      </c>
      <c r="R58" s="23"/>
    </row>
    <row r="59" spans="1:24" ht="24.75" customHeight="1">
      <c r="A59" s="7">
        <v>2024</v>
      </c>
      <c r="B59" s="15">
        <f t="shared" si="6"/>
        <v>20</v>
      </c>
      <c r="C59" s="15"/>
      <c r="D59" s="7">
        <v>2024</v>
      </c>
      <c r="E59" s="14">
        <v>0</v>
      </c>
      <c r="F59" s="17"/>
      <c r="G59" s="7">
        <v>2024</v>
      </c>
      <c r="H59" s="14">
        <v>100</v>
      </c>
      <c r="I59" s="17"/>
      <c r="J59" s="7">
        <v>2024</v>
      </c>
      <c r="K59" s="14">
        <v>0</v>
      </c>
      <c r="L59" s="17"/>
      <c r="M59" s="7">
        <v>2024</v>
      </c>
      <c r="N59" s="14">
        <v>0</v>
      </c>
      <c r="O59" s="17"/>
      <c r="P59" s="7">
        <v>2024</v>
      </c>
      <c r="Q59" s="14">
        <v>0</v>
      </c>
      <c r="R59" s="23"/>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45.833333333333336</v>
      </c>
      <c r="C68" s="16"/>
      <c r="D68" s="7">
        <v>2020</v>
      </c>
      <c r="E68" s="21">
        <v>50</v>
      </c>
      <c r="F68" s="17"/>
      <c r="G68" s="7">
        <v>2020</v>
      </c>
      <c r="H68" s="14">
        <v>0</v>
      </c>
      <c r="I68" s="17" t="s">
        <v>1182</v>
      </c>
      <c r="J68" s="7">
        <v>2020</v>
      </c>
      <c r="K68" s="14">
        <v>0</v>
      </c>
      <c r="L68" s="17"/>
      <c r="M68" s="7">
        <v>2020</v>
      </c>
      <c r="N68" s="34">
        <v>50</v>
      </c>
      <c r="O68" s="35" t="s">
        <v>1183</v>
      </c>
      <c r="P68" s="7">
        <v>2020</v>
      </c>
      <c r="Q68" s="14">
        <v>50</v>
      </c>
      <c r="R68" s="17" t="s">
        <v>1184</v>
      </c>
      <c r="S68" s="7">
        <v>2020</v>
      </c>
      <c r="T68" s="14">
        <v>0</v>
      </c>
      <c r="U68" s="17" t="s">
        <v>1185</v>
      </c>
      <c r="V68" s="7">
        <v>2020</v>
      </c>
      <c r="W68" s="14">
        <v>100</v>
      </c>
      <c r="X68" s="23" t="s">
        <v>1186</v>
      </c>
    </row>
    <row r="69" spans="1:27" ht="24.75" customHeight="1">
      <c r="A69" s="7">
        <v>2021</v>
      </c>
      <c r="B69" s="15">
        <f t="shared" si="7"/>
        <v>45.833333333333336</v>
      </c>
      <c r="C69" s="15"/>
      <c r="D69" s="7">
        <v>2021</v>
      </c>
      <c r="E69" s="21">
        <v>50</v>
      </c>
      <c r="F69" s="17"/>
      <c r="G69" s="7">
        <v>2021</v>
      </c>
      <c r="H69" s="14">
        <v>0</v>
      </c>
      <c r="I69" s="17"/>
      <c r="J69" s="7">
        <v>2021</v>
      </c>
      <c r="K69" s="14">
        <v>0</v>
      </c>
      <c r="L69" s="17"/>
      <c r="M69" s="7">
        <v>2021</v>
      </c>
      <c r="N69" s="34">
        <v>50</v>
      </c>
      <c r="O69" s="19"/>
      <c r="P69" s="7">
        <v>2021</v>
      </c>
      <c r="Q69" s="14">
        <v>50</v>
      </c>
      <c r="R69" s="17"/>
      <c r="S69" s="7">
        <v>2021</v>
      </c>
      <c r="T69" s="14">
        <v>0</v>
      </c>
      <c r="U69" s="17"/>
      <c r="V69" s="7">
        <v>2021</v>
      </c>
      <c r="W69" s="14">
        <v>100</v>
      </c>
      <c r="X69" s="23"/>
    </row>
    <row r="70" spans="1:27" ht="24.75" customHeight="1">
      <c r="A70" s="7">
        <v>2022</v>
      </c>
      <c r="B70" s="15">
        <f t="shared" si="7"/>
        <v>45.833333333333336</v>
      </c>
      <c r="C70" s="15"/>
      <c r="D70" s="7">
        <v>2022</v>
      </c>
      <c r="E70" s="21">
        <v>50</v>
      </c>
      <c r="F70" s="17"/>
      <c r="G70" s="7">
        <v>2022</v>
      </c>
      <c r="H70" s="14">
        <v>0</v>
      </c>
      <c r="I70" s="17"/>
      <c r="J70" s="7">
        <v>2022</v>
      </c>
      <c r="K70" s="14">
        <v>0</v>
      </c>
      <c r="L70" s="17"/>
      <c r="M70" s="7">
        <v>2022</v>
      </c>
      <c r="N70" s="34">
        <v>50</v>
      </c>
      <c r="O70" s="19"/>
      <c r="P70" s="7">
        <v>2022</v>
      </c>
      <c r="Q70" s="14">
        <v>50</v>
      </c>
      <c r="R70" s="17"/>
      <c r="S70" s="7">
        <v>2022</v>
      </c>
      <c r="T70" s="14">
        <v>0</v>
      </c>
      <c r="U70" s="17"/>
      <c r="V70" s="7">
        <v>2022</v>
      </c>
      <c r="W70" s="14">
        <v>100</v>
      </c>
      <c r="X70" s="23"/>
    </row>
    <row r="71" spans="1:27" ht="24.75" customHeight="1">
      <c r="A71" s="7">
        <v>2023</v>
      </c>
      <c r="B71" s="15">
        <f t="shared" si="7"/>
        <v>45.833333333333336</v>
      </c>
      <c r="C71" s="15"/>
      <c r="D71" s="7">
        <v>2023</v>
      </c>
      <c r="E71" s="21">
        <v>50</v>
      </c>
      <c r="F71" s="17"/>
      <c r="G71" s="7">
        <v>2023</v>
      </c>
      <c r="H71" s="14">
        <v>0</v>
      </c>
      <c r="I71" s="17" t="s">
        <v>1187</v>
      </c>
      <c r="J71" s="7">
        <v>2023</v>
      </c>
      <c r="K71" s="14">
        <v>0</v>
      </c>
      <c r="L71" s="17" t="s">
        <v>1187</v>
      </c>
      <c r="M71" s="7">
        <v>2023</v>
      </c>
      <c r="N71" s="34">
        <v>50</v>
      </c>
      <c r="O71" s="35" t="s">
        <v>1188</v>
      </c>
      <c r="P71" s="7">
        <v>2023</v>
      </c>
      <c r="Q71" s="14">
        <v>50</v>
      </c>
      <c r="R71" s="17" t="s">
        <v>1189</v>
      </c>
      <c r="S71" s="7">
        <v>2023</v>
      </c>
      <c r="T71" s="14">
        <v>0</v>
      </c>
      <c r="U71" s="17" t="s">
        <v>1190</v>
      </c>
      <c r="V71" s="7">
        <v>2023</v>
      </c>
      <c r="W71" s="14">
        <v>100</v>
      </c>
      <c r="X71" s="23" t="s">
        <v>1191</v>
      </c>
    </row>
    <row r="72" spans="1:27" ht="24.75" customHeight="1">
      <c r="A72" s="7">
        <v>2024</v>
      </c>
      <c r="B72" s="15">
        <f t="shared" si="7"/>
        <v>45.833333333333336</v>
      </c>
      <c r="C72" s="15"/>
      <c r="D72" s="7">
        <v>2024</v>
      </c>
      <c r="E72" s="21">
        <v>50</v>
      </c>
      <c r="F72" s="17"/>
      <c r="G72" s="7">
        <v>2024</v>
      </c>
      <c r="H72" s="14">
        <v>0</v>
      </c>
      <c r="I72" s="17"/>
      <c r="J72" s="7">
        <v>2024</v>
      </c>
      <c r="K72" s="14">
        <v>0</v>
      </c>
      <c r="L72" s="17"/>
      <c r="M72" s="7">
        <v>2024</v>
      </c>
      <c r="N72" s="34">
        <v>50</v>
      </c>
      <c r="O72" s="19"/>
      <c r="P72" s="7">
        <v>2024</v>
      </c>
      <c r="Q72" s="14">
        <v>50</v>
      </c>
      <c r="R72" s="17"/>
      <c r="S72" s="7">
        <v>2024</v>
      </c>
      <c r="T72" s="14">
        <v>0</v>
      </c>
      <c r="U72" s="17"/>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39.5</v>
      </c>
      <c r="C81" s="15"/>
      <c r="D81" s="7">
        <v>2020</v>
      </c>
      <c r="E81" s="82">
        <v>0</v>
      </c>
      <c r="F81" s="86" t="s">
        <v>1192</v>
      </c>
      <c r="G81" s="7">
        <v>2020</v>
      </c>
      <c r="H81" s="14">
        <v>33</v>
      </c>
      <c r="I81" s="23" t="s">
        <v>1193</v>
      </c>
      <c r="J81" s="7">
        <v>2020</v>
      </c>
      <c r="K81" s="31">
        <f t="shared" ref="K81:K85" si="9">AVERAGE(N81,Q81,T81,W81)</f>
        <v>25</v>
      </c>
      <c r="L81" s="14"/>
      <c r="M81" s="7">
        <v>2020</v>
      </c>
      <c r="N81" s="47">
        <v>0</v>
      </c>
      <c r="O81" s="35" t="s">
        <v>1194</v>
      </c>
      <c r="P81" s="7">
        <v>2020</v>
      </c>
      <c r="Q81" s="21">
        <v>0</v>
      </c>
      <c r="R81" s="17"/>
      <c r="S81" s="7">
        <v>2020</v>
      </c>
      <c r="T81" s="21">
        <v>50</v>
      </c>
      <c r="U81" s="23" t="s">
        <v>1195</v>
      </c>
      <c r="V81" s="7">
        <v>2020</v>
      </c>
      <c r="W81" s="84">
        <v>50</v>
      </c>
      <c r="X81" s="86" t="s">
        <v>1196</v>
      </c>
      <c r="Y81" s="7">
        <v>2020</v>
      </c>
      <c r="Z81" s="14">
        <v>100</v>
      </c>
      <c r="AA81" s="23" t="s">
        <v>1197</v>
      </c>
    </row>
    <row r="82" spans="1:33" ht="24.75" customHeight="1">
      <c r="A82" s="7">
        <v>2021</v>
      </c>
      <c r="B82" s="15">
        <f t="shared" si="8"/>
        <v>39.5</v>
      </c>
      <c r="C82" s="15"/>
      <c r="D82" s="7">
        <v>2021</v>
      </c>
      <c r="E82" s="82">
        <v>0</v>
      </c>
      <c r="F82" s="83"/>
      <c r="G82" s="7">
        <v>2021</v>
      </c>
      <c r="H82" s="14">
        <v>33</v>
      </c>
      <c r="I82" s="17"/>
      <c r="J82" s="7">
        <v>2021</v>
      </c>
      <c r="K82" s="31">
        <f t="shared" si="9"/>
        <v>25</v>
      </c>
      <c r="L82" s="14"/>
      <c r="M82" s="7">
        <v>2021</v>
      </c>
      <c r="N82" s="47">
        <v>0</v>
      </c>
      <c r="O82" s="19"/>
      <c r="P82" s="7">
        <v>2021</v>
      </c>
      <c r="Q82" s="21">
        <v>0</v>
      </c>
      <c r="R82" s="17"/>
      <c r="S82" s="7">
        <v>2021</v>
      </c>
      <c r="T82" s="21">
        <v>50</v>
      </c>
      <c r="U82" s="17"/>
      <c r="V82" s="7">
        <v>2021</v>
      </c>
      <c r="W82" s="84">
        <v>50</v>
      </c>
      <c r="X82" s="83"/>
      <c r="Y82" s="7">
        <v>2021</v>
      </c>
      <c r="Z82" s="14">
        <v>100</v>
      </c>
      <c r="AA82" s="23"/>
    </row>
    <row r="83" spans="1:33" ht="24.75" customHeight="1">
      <c r="A83" s="7">
        <v>2022</v>
      </c>
      <c r="B83" s="15">
        <f t="shared" si="8"/>
        <v>39.5</v>
      </c>
      <c r="C83" s="15"/>
      <c r="D83" s="7">
        <v>2022</v>
      </c>
      <c r="E83" s="82">
        <v>0</v>
      </c>
      <c r="F83" s="83"/>
      <c r="G83" s="7">
        <v>2022</v>
      </c>
      <c r="H83" s="14">
        <v>33</v>
      </c>
      <c r="I83" s="17"/>
      <c r="J83" s="7">
        <v>2022</v>
      </c>
      <c r="K83" s="31">
        <f t="shared" si="9"/>
        <v>25</v>
      </c>
      <c r="L83" s="14"/>
      <c r="M83" s="7">
        <v>2022</v>
      </c>
      <c r="N83" s="47">
        <v>0</v>
      </c>
      <c r="O83" s="19"/>
      <c r="P83" s="7">
        <v>2022</v>
      </c>
      <c r="Q83" s="21">
        <v>0</v>
      </c>
      <c r="R83" s="17"/>
      <c r="S83" s="7">
        <v>2022</v>
      </c>
      <c r="T83" s="21">
        <v>50</v>
      </c>
      <c r="U83" s="17"/>
      <c r="V83" s="7">
        <v>2022</v>
      </c>
      <c r="W83" s="84">
        <v>50</v>
      </c>
      <c r="X83" s="83"/>
      <c r="Y83" s="7">
        <v>2022</v>
      </c>
      <c r="Z83" s="14">
        <v>100</v>
      </c>
      <c r="AA83" s="23"/>
    </row>
    <row r="84" spans="1:33" ht="24.75" customHeight="1">
      <c r="A84" s="7">
        <v>2023</v>
      </c>
      <c r="B84" s="15">
        <f t="shared" si="8"/>
        <v>39.5</v>
      </c>
      <c r="C84" s="15"/>
      <c r="D84" s="7">
        <v>2023</v>
      </c>
      <c r="E84" s="82">
        <v>0</v>
      </c>
      <c r="F84" s="83"/>
      <c r="G84" s="7">
        <v>2023</v>
      </c>
      <c r="H84" s="14">
        <v>33</v>
      </c>
      <c r="I84" s="17"/>
      <c r="J84" s="7">
        <v>2023</v>
      </c>
      <c r="K84" s="31">
        <f t="shared" si="9"/>
        <v>25</v>
      </c>
      <c r="L84" s="14"/>
      <c r="M84" s="7">
        <v>2023</v>
      </c>
      <c r="N84" s="47">
        <v>0</v>
      </c>
      <c r="O84" s="19"/>
      <c r="P84" s="7">
        <v>2023</v>
      </c>
      <c r="Q84" s="21">
        <v>0</v>
      </c>
      <c r="R84" s="17"/>
      <c r="S84" s="7">
        <v>2023</v>
      </c>
      <c r="T84" s="21">
        <v>50</v>
      </c>
      <c r="U84" s="17"/>
      <c r="V84" s="7">
        <v>2023</v>
      </c>
      <c r="W84" s="84">
        <v>50</v>
      </c>
      <c r="X84" s="83"/>
      <c r="Y84" s="7">
        <v>2023</v>
      </c>
      <c r="Z84" s="14">
        <v>100</v>
      </c>
      <c r="AA84" s="23"/>
    </row>
    <row r="85" spans="1:33" ht="24.75" customHeight="1">
      <c r="A85" s="7">
        <v>2024</v>
      </c>
      <c r="B85" s="15">
        <f t="shared" si="8"/>
        <v>39.5</v>
      </c>
      <c r="C85" s="15"/>
      <c r="D85" s="7">
        <v>2024</v>
      </c>
      <c r="E85" s="82">
        <v>0</v>
      </c>
      <c r="F85" s="83"/>
      <c r="G85" s="7">
        <v>2024</v>
      </c>
      <c r="H85" s="14">
        <v>33</v>
      </c>
      <c r="I85" s="17"/>
      <c r="J85" s="7">
        <v>2024</v>
      </c>
      <c r="K85" s="31">
        <f t="shared" si="9"/>
        <v>25</v>
      </c>
      <c r="L85" s="14"/>
      <c r="M85" s="7">
        <v>2024</v>
      </c>
      <c r="N85" s="47">
        <v>0</v>
      </c>
      <c r="O85" s="19"/>
      <c r="P85" s="7">
        <v>2024</v>
      </c>
      <c r="Q85" s="21">
        <v>0</v>
      </c>
      <c r="R85" s="17"/>
      <c r="S85" s="7">
        <v>2024</v>
      </c>
      <c r="T85" s="21">
        <v>50</v>
      </c>
      <c r="U85" s="17"/>
      <c r="V85" s="7">
        <v>2024</v>
      </c>
      <c r="W85" s="84">
        <v>50</v>
      </c>
      <c r="X85" s="83"/>
      <c r="Y85" s="7">
        <v>2024</v>
      </c>
      <c r="Z85" s="14">
        <v>100</v>
      </c>
      <c r="AA85" s="23"/>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66.666666666666671</v>
      </c>
      <c r="C94" s="15"/>
      <c r="D94" s="7">
        <v>2020</v>
      </c>
      <c r="E94" s="21">
        <v>50</v>
      </c>
      <c r="F94" s="17"/>
      <c r="G94" s="7">
        <v>2020</v>
      </c>
      <c r="H94" s="31">
        <f t="shared" ref="H94:H98" si="10">AVERAGE(K94,N94,Q94,T94)</f>
        <v>50</v>
      </c>
      <c r="I94" s="14"/>
      <c r="J94" s="7">
        <v>2020</v>
      </c>
      <c r="K94" s="14">
        <v>50</v>
      </c>
      <c r="L94" s="23" t="s">
        <v>1198</v>
      </c>
      <c r="M94" s="7">
        <v>2020</v>
      </c>
      <c r="N94" s="14">
        <v>50</v>
      </c>
      <c r="O94" s="17"/>
      <c r="P94" s="7">
        <v>2020</v>
      </c>
      <c r="Q94" s="21">
        <v>50</v>
      </c>
      <c r="R94" s="17"/>
      <c r="S94" s="7">
        <v>2020</v>
      </c>
      <c r="T94" s="14">
        <v>50</v>
      </c>
      <c r="U94" s="17" t="s">
        <v>1199</v>
      </c>
      <c r="V94" s="7">
        <v>2020</v>
      </c>
      <c r="W94" s="14">
        <v>100</v>
      </c>
      <c r="X94" s="17" t="s">
        <v>1200</v>
      </c>
      <c r="Y94" s="7">
        <v>2020</v>
      </c>
      <c r="Z94" s="14">
        <v>50</v>
      </c>
      <c r="AA94" s="17" t="s">
        <v>1201</v>
      </c>
      <c r="AB94" s="7">
        <v>2020</v>
      </c>
      <c r="AC94" s="14">
        <v>100</v>
      </c>
      <c r="AD94" s="17" t="s">
        <v>1202</v>
      </c>
      <c r="AE94" s="7">
        <v>2020</v>
      </c>
      <c r="AF94" s="14">
        <v>50</v>
      </c>
      <c r="AG94" s="23" t="s">
        <v>1203</v>
      </c>
    </row>
    <row r="95" spans="1:33" ht="24.75" customHeight="1">
      <c r="A95" s="7">
        <v>2021</v>
      </c>
      <c r="B95" s="15">
        <f>AVERAGE(E95,H95, W95,((Z95+AC95+AF95)/3))</f>
        <v>66.666666666666671</v>
      </c>
      <c r="C95" s="15"/>
      <c r="D95" s="7">
        <v>2021</v>
      </c>
      <c r="E95" s="21">
        <v>50</v>
      </c>
      <c r="F95" s="17"/>
      <c r="G95" s="7">
        <v>2021</v>
      </c>
      <c r="H95" s="31">
        <f t="shared" si="10"/>
        <v>50</v>
      </c>
      <c r="I95" s="14"/>
      <c r="J95" s="7">
        <v>2021</v>
      </c>
      <c r="K95" s="14">
        <v>50</v>
      </c>
      <c r="L95" s="17"/>
      <c r="M95" s="7">
        <v>2021</v>
      </c>
      <c r="N95" s="14">
        <v>50</v>
      </c>
      <c r="O95" s="17"/>
      <c r="P95" s="7">
        <v>2021</v>
      </c>
      <c r="Q95" s="21">
        <v>50</v>
      </c>
      <c r="R95" s="17"/>
      <c r="S95" s="7">
        <v>2021</v>
      </c>
      <c r="T95" s="14">
        <v>50</v>
      </c>
      <c r="U95" s="17"/>
      <c r="V95" s="7">
        <v>2021</v>
      </c>
      <c r="W95" s="14">
        <v>100</v>
      </c>
      <c r="X95" s="17"/>
      <c r="Y95" s="7">
        <v>2021</v>
      </c>
      <c r="Z95" s="14">
        <v>50</v>
      </c>
      <c r="AA95" s="17"/>
      <c r="AB95" s="7">
        <v>2021</v>
      </c>
      <c r="AC95" s="14">
        <v>100</v>
      </c>
      <c r="AD95" s="17"/>
      <c r="AE95" s="7">
        <v>2021</v>
      </c>
      <c r="AF95" s="14">
        <v>50</v>
      </c>
      <c r="AG95" s="23"/>
    </row>
    <row r="96" spans="1:33" ht="24.75" customHeight="1">
      <c r="A96" s="7">
        <v>2022</v>
      </c>
      <c r="B96" s="15">
        <f>AVERAGE(E96,H96, W96,((Z96+AC96+AF96)/3))</f>
        <v>66.666666666666671</v>
      </c>
      <c r="C96" s="15"/>
      <c r="D96" s="7">
        <v>2022</v>
      </c>
      <c r="E96" s="21">
        <v>50</v>
      </c>
      <c r="F96" s="17"/>
      <c r="G96" s="7">
        <v>2022</v>
      </c>
      <c r="H96" s="31">
        <f t="shared" si="10"/>
        <v>50</v>
      </c>
      <c r="I96" s="14"/>
      <c r="J96" s="7">
        <v>2022</v>
      </c>
      <c r="K96" s="14">
        <v>50</v>
      </c>
      <c r="L96" s="17"/>
      <c r="M96" s="7">
        <v>2022</v>
      </c>
      <c r="N96" s="14">
        <v>50</v>
      </c>
      <c r="O96" s="17"/>
      <c r="P96" s="7">
        <v>2022</v>
      </c>
      <c r="Q96" s="21">
        <v>50</v>
      </c>
      <c r="R96" s="17"/>
      <c r="S96" s="7">
        <v>2022</v>
      </c>
      <c r="T96" s="14">
        <v>50</v>
      </c>
      <c r="U96" s="17"/>
      <c r="V96" s="7">
        <v>2022</v>
      </c>
      <c r="W96" s="14">
        <v>100</v>
      </c>
      <c r="X96" s="17"/>
      <c r="Y96" s="7">
        <v>2022</v>
      </c>
      <c r="Z96" s="14">
        <v>50</v>
      </c>
      <c r="AA96" s="17"/>
      <c r="AB96" s="7">
        <v>2022</v>
      </c>
      <c r="AC96" s="14">
        <v>100</v>
      </c>
      <c r="AD96" s="17"/>
      <c r="AE96" s="7">
        <v>2022</v>
      </c>
      <c r="AF96" s="14">
        <v>50</v>
      </c>
      <c r="AG96" s="23"/>
    </row>
    <row r="97" spans="1:51" ht="24.75" customHeight="1">
      <c r="A97" s="7">
        <v>2023</v>
      </c>
      <c r="B97" s="15">
        <f>AVERAGE(E97,H97, W97,((Z97+AC97+AF97)/3))</f>
        <v>66.666666666666671</v>
      </c>
      <c r="C97" s="15"/>
      <c r="D97" s="7">
        <v>2023</v>
      </c>
      <c r="E97" s="21">
        <v>50</v>
      </c>
      <c r="F97" s="17"/>
      <c r="G97" s="7">
        <v>2023</v>
      </c>
      <c r="H97" s="31">
        <f t="shared" si="10"/>
        <v>50</v>
      </c>
      <c r="I97" s="14"/>
      <c r="J97" s="7">
        <v>2023</v>
      </c>
      <c r="K97" s="14">
        <v>50</v>
      </c>
      <c r="L97" s="17"/>
      <c r="M97" s="7">
        <v>2023</v>
      </c>
      <c r="N97" s="14">
        <v>50</v>
      </c>
      <c r="O97" s="17"/>
      <c r="P97" s="7">
        <v>2023</v>
      </c>
      <c r="Q97" s="21">
        <v>50</v>
      </c>
      <c r="R97" s="17"/>
      <c r="S97" s="7">
        <v>2023</v>
      </c>
      <c r="T97" s="14">
        <v>50</v>
      </c>
      <c r="U97" s="17"/>
      <c r="V97" s="7">
        <v>2023</v>
      </c>
      <c r="W97" s="14">
        <v>100</v>
      </c>
      <c r="X97" s="17"/>
      <c r="Y97" s="7">
        <v>2023</v>
      </c>
      <c r="Z97" s="14">
        <v>50</v>
      </c>
      <c r="AA97" s="17"/>
      <c r="AB97" s="7">
        <v>2023</v>
      </c>
      <c r="AC97" s="14">
        <v>100</v>
      </c>
      <c r="AD97" s="17"/>
      <c r="AE97" s="7">
        <v>2023</v>
      </c>
      <c r="AF97" s="14">
        <v>50</v>
      </c>
      <c r="AG97" s="23"/>
    </row>
    <row r="98" spans="1:51" ht="24.75" customHeight="1">
      <c r="A98" s="7">
        <v>2024</v>
      </c>
      <c r="B98" s="15">
        <f>AVERAGE(E98,H98, W98,((Z98+AC98+AF98)/3))</f>
        <v>66.666666666666671</v>
      </c>
      <c r="C98" s="15"/>
      <c r="D98" s="7">
        <v>2024</v>
      </c>
      <c r="E98" s="21">
        <v>50</v>
      </c>
      <c r="F98" s="17"/>
      <c r="G98" s="7">
        <v>2024</v>
      </c>
      <c r="H98" s="31">
        <f t="shared" si="10"/>
        <v>50</v>
      </c>
      <c r="I98" s="14"/>
      <c r="J98" s="7">
        <v>2024</v>
      </c>
      <c r="K98" s="14">
        <v>50</v>
      </c>
      <c r="L98" s="17"/>
      <c r="M98" s="7">
        <v>2024</v>
      </c>
      <c r="N98" s="14">
        <v>50</v>
      </c>
      <c r="O98" s="17"/>
      <c r="P98" s="7">
        <v>2024</v>
      </c>
      <c r="Q98" s="21">
        <v>50</v>
      </c>
      <c r="R98" s="17"/>
      <c r="S98" s="7">
        <v>2024</v>
      </c>
      <c r="T98" s="14">
        <v>50</v>
      </c>
      <c r="U98" s="17"/>
      <c r="V98" s="7">
        <v>2024</v>
      </c>
      <c r="W98" s="14">
        <v>100</v>
      </c>
      <c r="X98" s="17"/>
      <c r="Y98" s="7">
        <v>2024</v>
      </c>
      <c r="Z98" s="14">
        <v>50</v>
      </c>
      <c r="AA98" s="17"/>
      <c r="AB98" s="7">
        <v>2024</v>
      </c>
      <c r="AC98" s="14">
        <v>100</v>
      </c>
      <c r="AD98" s="17"/>
      <c r="AE98" s="7">
        <v>2024</v>
      </c>
      <c r="AF98" s="14">
        <v>50</v>
      </c>
      <c r="AG98" s="23"/>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45.916666666666671</v>
      </c>
      <c r="C107" s="43"/>
      <c r="D107" s="27">
        <v>2020</v>
      </c>
      <c r="E107" s="14">
        <v>50</v>
      </c>
      <c r="F107" s="23"/>
      <c r="G107" s="7">
        <v>2020</v>
      </c>
      <c r="H107" s="129">
        <v>100</v>
      </c>
      <c r="I107" s="86" t="s">
        <v>1204</v>
      </c>
      <c r="J107" s="27">
        <v>2020</v>
      </c>
      <c r="K107" s="85">
        <v>100</v>
      </c>
      <c r="L107" s="86" t="s">
        <v>1205</v>
      </c>
      <c r="M107" s="7">
        <v>2020</v>
      </c>
      <c r="N107" s="21">
        <v>100</v>
      </c>
      <c r="O107" s="23" t="s">
        <v>1206</v>
      </c>
      <c r="P107" s="27">
        <v>2020</v>
      </c>
      <c r="Q107" s="14">
        <v>50</v>
      </c>
      <c r="R107" s="23"/>
      <c r="S107" s="7">
        <v>2020</v>
      </c>
      <c r="T107" s="47">
        <v>0</v>
      </c>
      <c r="U107" s="35" t="s">
        <v>1207</v>
      </c>
      <c r="V107" s="7">
        <v>2020</v>
      </c>
      <c r="W107" s="14">
        <v>67</v>
      </c>
      <c r="X107" s="23"/>
      <c r="Y107" s="7">
        <v>2020</v>
      </c>
      <c r="Z107" s="14">
        <v>67</v>
      </c>
      <c r="AA107" s="23"/>
      <c r="AB107" s="7">
        <v>2020</v>
      </c>
      <c r="AC107" s="21">
        <v>50</v>
      </c>
      <c r="AD107" s="23"/>
      <c r="AE107" s="7">
        <v>2020</v>
      </c>
      <c r="AF107" s="14">
        <v>50</v>
      </c>
      <c r="AG107" s="23" t="s">
        <v>1208</v>
      </c>
      <c r="AH107" s="7">
        <v>2020</v>
      </c>
      <c r="AI107" s="47">
        <v>0</v>
      </c>
      <c r="AJ107" s="35"/>
      <c r="AK107" s="7">
        <v>2020</v>
      </c>
      <c r="AL107" s="84">
        <v>0</v>
      </c>
      <c r="AM107" s="86" t="s">
        <v>1209</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45.916666666666671</v>
      </c>
      <c r="C108" s="49"/>
      <c r="D108" s="27">
        <v>2021</v>
      </c>
      <c r="E108" s="14">
        <v>50</v>
      </c>
      <c r="F108" s="23"/>
      <c r="G108" s="7">
        <v>2021</v>
      </c>
      <c r="H108" s="129">
        <v>100</v>
      </c>
      <c r="I108" s="86"/>
      <c r="J108" s="27">
        <v>2021</v>
      </c>
      <c r="K108" s="85">
        <v>100</v>
      </c>
      <c r="L108" s="86"/>
      <c r="M108" s="7">
        <v>2021</v>
      </c>
      <c r="N108" s="21">
        <v>100</v>
      </c>
      <c r="O108" s="23"/>
      <c r="P108" s="27">
        <v>2021</v>
      </c>
      <c r="Q108" s="14">
        <v>50</v>
      </c>
      <c r="R108" s="23"/>
      <c r="S108" s="7">
        <v>2021</v>
      </c>
      <c r="T108" s="47">
        <v>0</v>
      </c>
      <c r="U108" s="35"/>
      <c r="V108" s="7">
        <v>2021</v>
      </c>
      <c r="W108" s="14">
        <v>67</v>
      </c>
      <c r="X108" s="23"/>
      <c r="Y108" s="7">
        <v>2021</v>
      </c>
      <c r="Z108" s="14">
        <v>67</v>
      </c>
      <c r="AA108" s="23"/>
      <c r="AB108" s="7">
        <v>2021</v>
      </c>
      <c r="AC108" s="21">
        <v>50</v>
      </c>
      <c r="AD108" s="23"/>
      <c r="AE108" s="7">
        <v>2021</v>
      </c>
      <c r="AF108" s="14">
        <v>50</v>
      </c>
      <c r="AG108" s="23"/>
      <c r="AH108" s="7">
        <v>2021</v>
      </c>
      <c r="AI108" s="47">
        <v>0</v>
      </c>
      <c r="AJ108" s="35"/>
      <c r="AK108" s="7">
        <v>2021</v>
      </c>
      <c r="AL108" s="84">
        <v>0</v>
      </c>
      <c r="AM108" s="86"/>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45.916666666666671</v>
      </c>
      <c r="C109" s="49"/>
      <c r="D109" s="27">
        <v>2022</v>
      </c>
      <c r="E109" s="14">
        <v>50</v>
      </c>
      <c r="F109" s="23"/>
      <c r="G109" s="27">
        <v>2022</v>
      </c>
      <c r="H109" s="129">
        <v>100</v>
      </c>
      <c r="I109" s="86"/>
      <c r="J109" s="27">
        <v>2022</v>
      </c>
      <c r="K109" s="85">
        <v>100</v>
      </c>
      <c r="L109" s="86"/>
      <c r="M109" s="27">
        <v>2022</v>
      </c>
      <c r="N109" s="21">
        <v>100</v>
      </c>
      <c r="O109" s="23" t="s">
        <v>1210</v>
      </c>
      <c r="P109" s="27">
        <v>2022</v>
      </c>
      <c r="Q109" s="14">
        <v>50</v>
      </c>
      <c r="R109" s="23"/>
      <c r="S109" s="27">
        <v>2022</v>
      </c>
      <c r="T109" s="47">
        <v>0</v>
      </c>
      <c r="U109" s="35"/>
      <c r="V109" s="27">
        <v>2022</v>
      </c>
      <c r="W109" s="14">
        <v>67</v>
      </c>
      <c r="X109" s="23"/>
      <c r="Y109" s="27">
        <v>2022</v>
      </c>
      <c r="Z109" s="14">
        <v>67</v>
      </c>
      <c r="AA109" s="23"/>
      <c r="AB109" s="27">
        <v>2022</v>
      </c>
      <c r="AC109" s="21">
        <v>50</v>
      </c>
      <c r="AD109" s="23"/>
      <c r="AE109" s="27">
        <v>2022</v>
      </c>
      <c r="AF109" s="14">
        <v>50</v>
      </c>
      <c r="AG109" s="23"/>
      <c r="AH109" s="27">
        <v>2022</v>
      </c>
      <c r="AI109" s="47">
        <v>0</v>
      </c>
      <c r="AJ109" s="35"/>
      <c r="AK109" s="27">
        <v>2022</v>
      </c>
      <c r="AL109" s="84">
        <v>0</v>
      </c>
      <c r="AM109" s="86"/>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45.916666666666671</v>
      </c>
      <c r="C110" s="49"/>
      <c r="D110" s="27">
        <v>2023</v>
      </c>
      <c r="E110" s="14">
        <v>50</v>
      </c>
      <c r="F110" s="23"/>
      <c r="G110" s="27">
        <v>2023</v>
      </c>
      <c r="H110" s="129">
        <v>100</v>
      </c>
      <c r="I110" s="86"/>
      <c r="J110" s="27">
        <v>2023</v>
      </c>
      <c r="K110" s="85">
        <v>100</v>
      </c>
      <c r="L110" s="86"/>
      <c r="M110" s="27">
        <v>2023</v>
      </c>
      <c r="N110" s="21">
        <v>100</v>
      </c>
      <c r="O110" s="23"/>
      <c r="P110" s="27">
        <v>2023</v>
      </c>
      <c r="Q110" s="14">
        <v>50</v>
      </c>
      <c r="R110" s="23"/>
      <c r="S110" s="27">
        <v>2023</v>
      </c>
      <c r="T110" s="47">
        <v>0</v>
      </c>
      <c r="U110" s="35"/>
      <c r="V110" s="27">
        <v>2023</v>
      </c>
      <c r="W110" s="14">
        <v>67</v>
      </c>
      <c r="X110" s="23"/>
      <c r="Y110" s="27">
        <v>2023</v>
      </c>
      <c r="Z110" s="14">
        <v>67</v>
      </c>
      <c r="AA110" s="23"/>
      <c r="AB110" s="27">
        <v>2023</v>
      </c>
      <c r="AC110" s="21">
        <v>50</v>
      </c>
      <c r="AD110" s="23"/>
      <c r="AE110" s="27">
        <v>2023</v>
      </c>
      <c r="AF110" s="14">
        <v>50</v>
      </c>
      <c r="AG110" s="23"/>
      <c r="AH110" s="27">
        <v>2023</v>
      </c>
      <c r="AI110" s="47">
        <v>0</v>
      </c>
      <c r="AJ110" s="35"/>
      <c r="AK110" s="27">
        <v>2023</v>
      </c>
      <c r="AL110" s="84">
        <v>0</v>
      </c>
      <c r="AM110" s="86"/>
    </row>
    <row r="111" spans="1:51" ht="22.5" customHeight="1">
      <c r="A111" s="27">
        <v>2024</v>
      </c>
      <c r="B111" s="42">
        <f>AVERAGE((E111+K111+Q111)/3+(H111+N111+T111)/3+W111+Z111+AC111+AF111+AI111+AL111)/8</f>
        <v>45.916666666666671</v>
      </c>
      <c r="C111" s="49"/>
      <c r="D111" s="27">
        <v>2024</v>
      </c>
      <c r="E111" s="14">
        <v>50</v>
      </c>
      <c r="F111" s="23"/>
      <c r="G111" s="27">
        <v>2024</v>
      </c>
      <c r="H111" s="129">
        <v>100</v>
      </c>
      <c r="I111" s="86"/>
      <c r="J111" s="27">
        <v>2024</v>
      </c>
      <c r="K111" s="85">
        <v>100</v>
      </c>
      <c r="L111" s="86"/>
      <c r="M111" s="27">
        <v>2024</v>
      </c>
      <c r="N111" s="21">
        <v>100</v>
      </c>
      <c r="O111" s="23"/>
      <c r="P111" s="27">
        <v>2024</v>
      </c>
      <c r="Q111" s="14">
        <v>50</v>
      </c>
      <c r="R111" s="23"/>
      <c r="S111" s="27">
        <v>2024</v>
      </c>
      <c r="T111" s="47">
        <v>0</v>
      </c>
      <c r="U111" s="35"/>
      <c r="V111" s="27">
        <v>2024</v>
      </c>
      <c r="W111" s="14">
        <v>67</v>
      </c>
      <c r="X111" s="23"/>
      <c r="Y111" s="27">
        <v>2024</v>
      </c>
      <c r="Z111" s="14">
        <v>67</v>
      </c>
      <c r="AA111" s="23"/>
      <c r="AB111" s="27">
        <v>2024</v>
      </c>
      <c r="AC111" s="21">
        <v>50</v>
      </c>
      <c r="AD111" s="23"/>
      <c r="AE111" s="27">
        <v>2024</v>
      </c>
      <c r="AF111" s="14">
        <v>50</v>
      </c>
      <c r="AG111" s="23"/>
      <c r="AH111" s="27">
        <v>2024</v>
      </c>
      <c r="AI111" s="47">
        <v>0</v>
      </c>
      <c r="AJ111" s="35"/>
      <c r="AK111" s="27">
        <v>2024</v>
      </c>
      <c r="AL111" s="84">
        <v>0</v>
      </c>
      <c r="AM111" s="86"/>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hyperlinks>
    <hyperlink ref="AA43" r:id="rId1" display="https://migration.gov.gr/en/ace/" xr:uid="{20D6C5D9-A63A-4A28-8C66-BCFC819E3080}"/>
  </hyperlinks>
  <pageMargins left="0.70833333333333304" right="0.70833333333333304" top="0.74791666666666701" bottom="0.74791666666666701" header="0.31458333333333299" footer="0.31458333333333299"/>
  <pageSetup paperSize="9" scale="5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F337-FFAB-4532-9C99-334A07F49D27}">
  <dimension ref="A1:CC102"/>
  <sheetViews>
    <sheetView zoomScale="89" zoomScaleNormal="88" workbookViewId="0">
      <selection activeCell="C50" sqref="C50"/>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43.75" customHeight="1">
      <c r="A1" s="323" t="s">
        <v>0</v>
      </c>
      <c r="B1" s="323"/>
      <c r="C1" s="323"/>
      <c r="D1" s="323"/>
    </row>
    <row r="2" spans="1:81" ht="35.4" customHeight="1">
      <c r="A2" s="2" t="s">
        <v>1</v>
      </c>
      <c r="B2" s="2" t="s">
        <v>2</v>
      </c>
      <c r="C2" s="2" t="s">
        <v>3</v>
      </c>
      <c r="D2" s="2" t="s">
        <v>4</v>
      </c>
    </row>
    <row r="3" spans="1:81" ht="15" customHeight="1">
      <c r="A3" s="3">
        <v>2020</v>
      </c>
      <c r="B3" s="4">
        <f>AVERAGE(B15,B27,B39,B51,B63,B75,B87,B99)</f>
        <v>42.29414682539683</v>
      </c>
      <c r="C3" s="4">
        <f>AVERAGE(B15,B27,B39,B51,B63,B75,B87)</f>
        <v>44.169501133786852</v>
      </c>
      <c r="D3" s="4">
        <f>AVERAGE(B15,B27,B51,B63,B75,B87)</f>
        <v>44.800925925925931</v>
      </c>
    </row>
    <row r="4" spans="1:81" ht="15" customHeight="1">
      <c r="A4" s="3">
        <v>2021</v>
      </c>
      <c r="B4" s="4">
        <f>AVERAGE(B16,B28,B40,B52,B64,B76,B88,B100)</f>
        <v>42.988591269841272</v>
      </c>
      <c r="C4" s="4">
        <f>AVERAGE(B16,B28,B40,B52,B64,B76,B88)</f>
        <v>44.963151927437643</v>
      </c>
      <c r="D4" s="4">
        <f>AVERAGE(B16,B28,B52,B64,B76,B88)</f>
        <v>45.726851851851855</v>
      </c>
    </row>
    <row r="5" spans="1:81" ht="15" customHeight="1">
      <c r="A5" s="3">
        <v>2022</v>
      </c>
      <c r="B5" s="4">
        <f>AVERAGE(B17,B29,B41,B53,B65,B77,B89,B101)</f>
        <v>43.379216269841272</v>
      </c>
      <c r="C5" s="4">
        <f>AVERAGE(B17,B29,B41,B53,B65,B77,B89)</f>
        <v>45.409580498866212</v>
      </c>
      <c r="D5" s="4">
        <f>AVERAGE(B17,B29,B53,B65,B77,B89)</f>
        <v>46.24768518518519</v>
      </c>
    </row>
    <row r="6" spans="1:81" ht="15" customHeight="1">
      <c r="A6" s="3">
        <v>2023</v>
      </c>
      <c r="B6" s="4">
        <f t="shared" ref="B6" si="0">AVERAGE(B18,B30,B42,B54,B66,B78,B90,B102)</f>
        <v>43.900049603174601</v>
      </c>
      <c r="C6" s="4">
        <f>AVERAGE(B18,B30,B42,B54,B66,B78,B90)</f>
        <v>46.0048185941043</v>
      </c>
      <c r="D6" s="4">
        <f>AVERAGE(B18,B30,B54,B66,B78,B90)</f>
        <v>46.942129629629626</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AVERAGE(E15, H15,K15,N15,Q15,T15,W15,Z15,AC15)</f>
        <v>50</v>
      </c>
      <c r="C15" s="16"/>
      <c r="D15" s="7">
        <v>2020</v>
      </c>
      <c r="E15" s="14">
        <v>50</v>
      </c>
      <c r="F15" s="17"/>
      <c r="G15" s="7">
        <v>2020</v>
      </c>
      <c r="H15" s="14">
        <v>0</v>
      </c>
      <c r="I15" s="23" t="s">
        <v>536</v>
      </c>
      <c r="J15" s="7">
        <v>2020</v>
      </c>
      <c r="K15" s="14">
        <v>100</v>
      </c>
      <c r="L15" s="17"/>
      <c r="M15" s="7">
        <v>2020</v>
      </c>
      <c r="N15" s="14">
        <v>100</v>
      </c>
      <c r="O15" s="17" t="s">
        <v>537</v>
      </c>
      <c r="P15" s="7">
        <v>2020</v>
      </c>
      <c r="Q15" s="34">
        <v>0</v>
      </c>
      <c r="R15" s="19" t="s">
        <v>538</v>
      </c>
      <c r="S15" s="7">
        <v>2020</v>
      </c>
      <c r="T15" s="80">
        <v>100</v>
      </c>
      <c r="U15" s="23" t="s">
        <v>539</v>
      </c>
      <c r="V15" s="7">
        <v>2020</v>
      </c>
      <c r="W15" s="14">
        <v>0</v>
      </c>
      <c r="X15" s="17" t="s">
        <v>540</v>
      </c>
      <c r="Y15" s="7">
        <v>2020</v>
      </c>
      <c r="Z15" s="14">
        <v>0</v>
      </c>
      <c r="AA15" s="17" t="s">
        <v>541</v>
      </c>
      <c r="AB15" s="7">
        <v>2020</v>
      </c>
      <c r="AC15" s="21">
        <v>100</v>
      </c>
      <c r="AD15" s="23" t="s">
        <v>542</v>
      </c>
    </row>
    <row r="16" spans="1:81" ht="24.75" customHeight="1">
      <c r="A16" s="7">
        <v>2021</v>
      </c>
      <c r="B16" s="15">
        <f>AVERAGE(E16, H16,K16,N16,Q16,T16,W16,Z16,AC16)</f>
        <v>50</v>
      </c>
      <c r="C16" s="16"/>
      <c r="D16" s="7">
        <v>2021</v>
      </c>
      <c r="E16" s="14">
        <v>50</v>
      </c>
      <c r="F16" s="17"/>
      <c r="G16" s="7">
        <v>2021</v>
      </c>
      <c r="H16" s="14">
        <v>0</v>
      </c>
      <c r="I16" s="17"/>
      <c r="J16" s="7">
        <v>2021</v>
      </c>
      <c r="K16" s="14">
        <v>100</v>
      </c>
      <c r="L16" s="17"/>
      <c r="M16" s="7">
        <v>2021</v>
      </c>
      <c r="N16" s="14">
        <v>100</v>
      </c>
      <c r="O16" s="17"/>
      <c r="P16" s="7">
        <v>2021</v>
      </c>
      <c r="Q16" s="34">
        <v>0</v>
      </c>
      <c r="R16" s="19"/>
      <c r="S16" s="7">
        <v>2021</v>
      </c>
      <c r="T16" s="80">
        <v>100</v>
      </c>
      <c r="U16" s="17"/>
      <c r="V16" s="7">
        <v>2021</v>
      </c>
      <c r="W16" s="14">
        <v>0</v>
      </c>
      <c r="X16" s="17"/>
      <c r="Y16" s="7">
        <v>2021</v>
      </c>
      <c r="Z16" s="14">
        <v>0</v>
      </c>
      <c r="AA16" s="17"/>
      <c r="AB16" s="7">
        <v>2021</v>
      </c>
      <c r="AC16" s="21">
        <v>100</v>
      </c>
      <c r="AD16" s="23"/>
    </row>
    <row r="17" spans="1:51" ht="24.75" customHeight="1">
      <c r="A17" s="7">
        <v>2022</v>
      </c>
      <c r="B17" s="15">
        <f>AVERAGE(E17, H17,K17,N17,Q17,T17,W17,Z17,AC17)</f>
        <v>50</v>
      </c>
      <c r="C17" s="16"/>
      <c r="D17" s="7">
        <v>2022</v>
      </c>
      <c r="E17" s="14">
        <v>50</v>
      </c>
      <c r="F17" s="17"/>
      <c r="G17" s="7">
        <v>2022</v>
      </c>
      <c r="H17" s="14">
        <v>0</v>
      </c>
      <c r="I17" s="17"/>
      <c r="J17" s="7">
        <v>2022</v>
      </c>
      <c r="K17" s="14">
        <v>100</v>
      </c>
      <c r="L17" s="17"/>
      <c r="M17" s="7">
        <v>2022</v>
      </c>
      <c r="N17" s="14">
        <v>100</v>
      </c>
      <c r="O17" s="17"/>
      <c r="P17" s="7">
        <v>2022</v>
      </c>
      <c r="Q17" s="34">
        <v>0</v>
      </c>
      <c r="R17" s="19"/>
      <c r="S17" s="7">
        <v>2022</v>
      </c>
      <c r="T17" s="80">
        <v>100</v>
      </c>
      <c r="U17" s="17"/>
      <c r="V17" s="7">
        <v>2022</v>
      </c>
      <c r="W17" s="14">
        <v>0</v>
      </c>
      <c r="X17" s="17"/>
      <c r="Y17" s="7">
        <v>2022</v>
      </c>
      <c r="Z17" s="14">
        <v>0</v>
      </c>
      <c r="AA17" s="17"/>
      <c r="AB17" s="7">
        <v>2022</v>
      </c>
      <c r="AC17" s="21">
        <v>100</v>
      </c>
      <c r="AD17" s="23"/>
    </row>
    <row r="18" spans="1:51" ht="24.75" customHeight="1">
      <c r="A18" s="7">
        <v>2023</v>
      </c>
      <c r="B18" s="15">
        <f>AVERAGE(E18, H18,K18,N18,Q18,T18,W18,Z18,AC18)</f>
        <v>50</v>
      </c>
      <c r="C18" s="16"/>
      <c r="D18" s="7">
        <v>2023</v>
      </c>
      <c r="E18" s="14">
        <v>50</v>
      </c>
      <c r="F18" s="23" t="s">
        <v>543</v>
      </c>
      <c r="G18" s="7">
        <v>2023</v>
      </c>
      <c r="H18" s="14">
        <v>0</v>
      </c>
      <c r="I18" s="17" t="s">
        <v>544</v>
      </c>
      <c r="J18" s="7">
        <v>2023</v>
      </c>
      <c r="K18" s="14">
        <v>100</v>
      </c>
      <c r="L18" s="17"/>
      <c r="M18" s="7">
        <v>2023</v>
      </c>
      <c r="N18" s="14">
        <v>100</v>
      </c>
      <c r="O18" s="17"/>
      <c r="P18" s="7">
        <v>2023</v>
      </c>
      <c r="Q18" s="34">
        <v>0</v>
      </c>
      <c r="R18" s="19"/>
      <c r="S18" s="7">
        <v>2023</v>
      </c>
      <c r="T18" s="80">
        <v>100</v>
      </c>
      <c r="U18" s="17"/>
      <c r="V18" s="7">
        <v>2023</v>
      </c>
      <c r="W18" s="14">
        <v>0</v>
      </c>
      <c r="X18" s="17"/>
      <c r="Y18" s="7">
        <v>2023</v>
      </c>
      <c r="Z18" s="14">
        <v>0</v>
      </c>
      <c r="AA18" s="17"/>
      <c r="AB18" s="7">
        <v>2023</v>
      </c>
      <c r="AC18" s="21">
        <v>100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t="s">
        <v>433</v>
      </c>
      <c r="L24" s="325"/>
      <c r="M24" s="27" t="s">
        <v>30</v>
      </c>
      <c r="N24" s="325" t="s">
        <v>96</v>
      </c>
      <c r="O24" s="325"/>
      <c r="P24" s="27" t="s">
        <v>30</v>
      </c>
      <c r="Q24" s="325" t="s">
        <v>97</v>
      </c>
      <c r="R24" s="325"/>
      <c r="S24" s="27" t="s">
        <v>30</v>
      </c>
      <c r="T24" s="325" t="s">
        <v>433</v>
      </c>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297" t="s">
        <v>108</v>
      </c>
      <c r="L25" s="298"/>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54</v>
      </c>
      <c r="I26" s="8" t="s">
        <v>122</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54</v>
      </c>
      <c r="AP26" s="7" t="s">
        <v>123</v>
      </c>
      <c r="AQ26" s="7" t="s">
        <v>1</v>
      </c>
      <c r="AR26" s="7" t="s">
        <v>54</v>
      </c>
      <c r="AS26" s="7" t="s">
        <v>123</v>
      </c>
      <c r="AT26" s="7" t="s">
        <v>1</v>
      </c>
      <c r="AU26" s="7" t="s">
        <v>52</v>
      </c>
      <c r="AV26" s="7" t="s">
        <v>123</v>
      </c>
      <c r="AW26" s="7" t="s">
        <v>1</v>
      </c>
      <c r="AX26" s="7" t="s">
        <v>52</v>
      </c>
      <c r="AY26" s="7" t="s">
        <v>123</v>
      </c>
    </row>
    <row r="27" spans="1:51" ht="24.75" customHeight="1">
      <c r="A27" s="7">
        <v>2020</v>
      </c>
      <c r="B27" s="15">
        <f>AVERAGE(E27,H27,K27,T27,AF27,AO27,AU27,AX27,AR27)</f>
        <v>59.222222222222221</v>
      </c>
      <c r="C27" s="16"/>
      <c r="D27" s="7">
        <v>2020</v>
      </c>
      <c r="E27" s="21">
        <v>100</v>
      </c>
      <c r="F27" s="17" t="s">
        <v>545</v>
      </c>
      <c r="G27" s="7">
        <v>2020</v>
      </c>
      <c r="H27" s="14">
        <v>50</v>
      </c>
      <c r="I27" s="17" t="s">
        <v>546</v>
      </c>
      <c r="J27" s="7">
        <v>2020</v>
      </c>
      <c r="K27" s="14">
        <v>100</v>
      </c>
      <c r="L27" s="17"/>
      <c r="M27" s="7">
        <v>2020</v>
      </c>
      <c r="N27" s="14">
        <v>100</v>
      </c>
      <c r="O27" s="17" t="s">
        <v>547</v>
      </c>
      <c r="P27" s="7">
        <v>2020</v>
      </c>
      <c r="Q27" s="14">
        <v>100</v>
      </c>
      <c r="R27" s="17" t="s">
        <v>548</v>
      </c>
      <c r="S27" s="7">
        <v>2020</v>
      </c>
      <c r="T27" s="14">
        <v>100</v>
      </c>
      <c r="U27" s="17"/>
      <c r="V27" s="7">
        <v>2020</v>
      </c>
      <c r="W27" s="14">
        <v>100</v>
      </c>
      <c r="X27" s="17" t="s">
        <v>549</v>
      </c>
      <c r="Y27" s="7">
        <v>2020</v>
      </c>
      <c r="Z27" s="14">
        <v>100</v>
      </c>
      <c r="AA27" s="17"/>
      <c r="AB27" s="7">
        <v>2020</v>
      </c>
      <c r="AC27" s="14">
        <v>100</v>
      </c>
      <c r="AD27" s="17"/>
      <c r="AE27" s="7">
        <v>2020</v>
      </c>
      <c r="AF27" s="31">
        <f>0.67*AI27+0.33*AL27</f>
        <v>33</v>
      </c>
      <c r="AG27" s="17"/>
      <c r="AH27" s="7">
        <v>2020</v>
      </c>
      <c r="AI27" s="14">
        <v>0</v>
      </c>
      <c r="AJ27" s="23"/>
      <c r="AK27" s="7">
        <v>2020</v>
      </c>
      <c r="AL27" s="14">
        <v>100</v>
      </c>
      <c r="AM27" s="17" t="s">
        <v>550</v>
      </c>
      <c r="AN27" s="7">
        <v>2020</v>
      </c>
      <c r="AO27" s="14">
        <v>50</v>
      </c>
      <c r="AP27" s="23" t="s">
        <v>551</v>
      </c>
      <c r="AQ27" s="7">
        <v>2020</v>
      </c>
      <c r="AR27" s="14">
        <v>0</v>
      </c>
      <c r="AS27" s="17" t="s">
        <v>552</v>
      </c>
      <c r="AT27" s="7">
        <v>2020</v>
      </c>
      <c r="AU27" s="14">
        <v>0</v>
      </c>
      <c r="AV27" s="23" t="s">
        <v>553</v>
      </c>
      <c r="AW27" s="7">
        <v>2020</v>
      </c>
      <c r="AX27" s="14">
        <v>100</v>
      </c>
      <c r="AY27" s="23" t="s">
        <v>554</v>
      </c>
    </row>
    <row r="28" spans="1:51" ht="24.75" customHeight="1">
      <c r="A28" s="7">
        <v>2021</v>
      </c>
      <c r="B28" s="15">
        <f>AVERAGE(E28,H28,K28,T28,AF28,AO28,AU28,AX28,AR28)</f>
        <v>64.777777777777771</v>
      </c>
      <c r="C28" s="15"/>
      <c r="D28" s="7">
        <v>2021</v>
      </c>
      <c r="E28" s="21">
        <v>100</v>
      </c>
      <c r="F28" s="17"/>
      <c r="G28" s="7">
        <v>2021</v>
      </c>
      <c r="H28" s="14">
        <v>50</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0.67*AI28+0.33*AL28</f>
        <v>33</v>
      </c>
      <c r="AG28" s="17"/>
      <c r="AH28" s="7">
        <v>2021</v>
      </c>
      <c r="AI28" s="14">
        <v>0</v>
      </c>
      <c r="AJ28" s="17"/>
      <c r="AK28" s="7">
        <v>2021</v>
      </c>
      <c r="AL28" s="14">
        <v>100</v>
      </c>
      <c r="AM28" s="17"/>
      <c r="AN28" s="7">
        <v>2021</v>
      </c>
      <c r="AO28" s="14">
        <v>50</v>
      </c>
      <c r="AP28" s="17"/>
      <c r="AQ28" s="7">
        <v>2021</v>
      </c>
      <c r="AR28" s="14">
        <v>50</v>
      </c>
      <c r="AS28" s="17" t="s">
        <v>555</v>
      </c>
      <c r="AT28" s="7">
        <v>2021</v>
      </c>
      <c r="AU28" s="14">
        <v>0</v>
      </c>
      <c r="AV28" s="17"/>
      <c r="AW28" s="7">
        <v>2021</v>
      </c>
      <c r="AX28" s="14">
        <v>100</v>
      </c>
      <c r="AY28" s="23"/>
    </row>
    <row r="29" spans="1:51" ht="24.75" customHeight="1">
      <c r="A29" s="7">
        <v>2022</v>
      </c>
      <c r="B29" s="15">
        <f>AVERAGE(E29,H29,K29,T29,AF29,AO29,AU29,AX29,AR29)</f>
        <v>64.777777777777771</v>
      </c>
      <c r="C29" s="15"/>
      <c r="D29" s="7">
        <v>2022</v>
      </c>
      <c r="E29" s="21">
        <v>100</v>
      </c>
      <c r="F29" s="17"/>
      <c r="G29" s="7">
        <v>2022</v>
      </c>
      <c r="H29" s="14">
        <v>50</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0.67*AI29+0.33*AL29</f>
        <v>33</v>
      </c>
      <c r="AG29" s="17"/>
      <c r="AH29" s="7">
        <v>2022</v>
      </c>
      <c r="AI29" s="14">
        <v>0</v>
      </c>
      <c r="AJ29" s="17"/>
      <c r="AK29" s="7">
        <v>2022</v>
      </c>
      <c r="AL29" s="14">
        <v>100</v>
      </c>
      <c r="AM29" s="17"/>
      <c r="AN29" s="7">
        <v>2022</v>
      </c>
      <c r="AO29" s="14">
        <v>50</v>
      </c>
      <c r="AP29" s="17"/>
      <c r="AQ29" s="7">
        <v>2022</v>
      </c>
      <c r="AR29" s="14">
        <v>50</v>
      </c>
      <c r="AS29" s="17"/>
      <c r="AT29" s="7">
        <v>2022</v>
      </c>
      <c r="AU29" s="14">
        <v>0</v>
      </c>
      <c r="AV29" s="17"/>
      <c r="AW29" s="7">
        <v>2022</v>
      </c>
      <c r="AX29" s="14">
        <v>100</v>
      </c>
      <c r="AY29" s="23"/>
    </row>
    <row r="30" spans="1:51" ht="24.75" customHeight="1">
      <c r="A30" s="7">
        <v>2023</v>
      </c>
      <c r="B30" s="15">
        <f>AVERAGE(E30,H30,K30,T30,AF30,AO30,AU30,AX30,AR30)</f>
        <v>64.777777777777771</v>
      </c>
      <c r="C30" s="15"/>
      <c r="D30" s="7">
        <v>2023</v>
      </c>
      <c r="E30" s="21">
        <v>100</v>
      </c>
      <c r="F30" s="17"/>
      <c r="G30" s="7">
        <v>2023</v>
      </c>
      <c r="H30" s="14">
        <v>50</v>
      </c>
      <c r="I30" s="17"/>
      <c r="J30" s="7">
        <v>2023</v>
      </c>
      <c r="K30" s="14">
        <v>100</v>
      </c>
      <c r="L30" s="17"/>
      <c r="M30" s="7">
        <v>2023</v>
      </c>
      <c r="N30" s="14">
        <v>100</v>
      </c>
      <c r="O30" s="17"/>
      <c r="P30" s="7">
        <v>2023</v>
      </c>
      <c r="Q30" s="14">
        <v>100</v>
      </c>
      <c r="R30" s="17"/>
      <c r="S30" s="7">
        <v>2023</v>
      </c>
      <c r="T30" s="14">
        <v>100</v>
      </c>
      <c r="U30" s="17"/>
      <c r="V30" s="7">
        <v>2023</v>
      </c>
      <c r="W30" s="14">
        <v>100</v>
      </c>
      <c r="X30" s="17"/>
      <c r="Y30" s="7">
        <v>2023</v>
      </c>
      <c r="Z30" s="14">
        <v>100</v>
      </c>
      <c r="AA30" s="17"/>
      <c r="AB30" s="7">
        <v>2023</v>
      </c>
      <c r="AC30" s="14">
        <v>100</v>
      </c>
      <c r="AD30" s="17"/>
      <c r="AE30" s="7">
        <v>2023</v>
      </c>
      <c r="AF30" s="31">
        <f>0.67*AI30+0.33*AL30</f>
        <v>33</v>
      </c>
      <c r="AG30" s="17"/>
      <c r="AH30" s="7">
        <v>2023</v>
      </c>
      <c r="AI30" s="14">
        <v>0</v>
      </c>
      <c r="AJ30" s="17"/>
      <c r="AK30" s="7">
        <v>2023</v>
      </c>
      <c r="AL30" s="14">
        <v>100</v>
      </c>
      <c r="AM30" s="17"/>
      <c r="AN30" s="7">
        <v>2023</v>
      </c>
      <c r="AO30" s="14">
        <v>50</v>
      </c>
      <c r="AP30" s="17"/>
      <c r="AQ30" s="7">
        <v>2023</v>
      </c>
      <c r="AR30" s="14">
        <v>50</v>
      </c>
      <c r="AS30" s="17"/>
      <c r="AT30" s="7">
        <v>2023</v>
      </c>
      <c r="AU30" s="14">
        <v>0</v>
      </c>
      <c r="AV30" s="17"/>
      <c r="AW30" s="7">
        <v>2023</v>
      </c>
      <c r="AX30" s="14">
        <v>100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t="s">
        <v>433</v>
      </c>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297" t="s">
        <v>172</v>
      </c>
      <c r="AG37" s="298"/>
      <c r="AH37" s="7" t="s">
        <v>41</v>
      </c>
      <c r="AI37" s="310" t="s">
        <v>173</v>
      </c>
      <c r="AJ37" s="310"/>
      <c r="AK37" s="7" t="s">
        <v>41</v>
      </c>
      <c r="AL37" s="310" t="s">
        <v>174</v>
      </c>
      <c r="AM37" s="310"/>
    </row>
    <row r="38" spans="1:39" ht="24.75" customHeight="1">
      <c r="A38" s="7" t="s">
        <v>1</v>
      </c>
      <c r="B38" s="7" t="s">
        <v>52</v>
      </c>
      <c r="C38" s="7" t="s">
        <v>53</v>
      </c>
      <c r="D38" s="7" t="s">
        <v>121</v>
      </c>
      <c r="E38" s="7" t="s">
        <v>52</v>
      </c>
      <c r="F38" s="7" t="s">
        <v>53</v>
      </c>
      <c r="G38" s="7" t="s">
        <v>121</v>
      </c>
      <c r="H38" s="7" t="s">
        <v>52</v>
      </c>
      <c r="I38" s="7" t="s">
        <v>53</v>
      </c>
      <c r="J38" s="7" t="s">
        <v>121</v>
      </c>
      <c r="K38" s="7" t="s">
        <v>52</v>
      </c>
      <c r="L38" s="7" t="s">
        <v>53</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AVERAGE(E39,H39,K39,N39,Z39,AC39,AF41)</f>
        <v>40.380952380952387</v>
      </c>
      <c r="C39" s="16"/>
      <c r="D39" s="7">
        <v>2020</v>
      </c>
      <c r="E39" s="14">
        <v>33</v>
      </c>
      <c r="F39" s="17" t="s">
        <v>556</v>
      </c>
      <c r="G39" s="7">
        <v>2020</v>
      </c>
      <c r="H39" s="14">
        <v>0</v>
      </c>
      <c r="I39" s="23" t="s">
        <v>557</v>
      </c>
      <c r="J39" s="7">
        <v>2020</v>
      </c>
      <c r="K39" s="14">
        <v>50</v>
      </c>
      <c r="L39" s="17" t="s">
        <v>558</v>
      </c>
      <c r="M39" s="7">
        <v>2020</v>
      </c>
      <c r="N39" s="31">
        <f>AVERAGE(Q39,T39,W39)</f>
        <v>66.666666666666671</v>
      </c>
      <c r="O39" s="14"/>
      <c r="P39" s="7">
        <v>2020</v>
      </c>
      <c r="Q39" s="14">
        <v>50</v>
      </c>
      <c r="R39" s="23" t="s">
        <v>559</v>
      </c>
      <c r="S39" s="7">
        <v>2020</v>
      </c>
      <c r="T39" s="14">
        <v>50</v>
      </c>
      <c r="U39" s="17" t="s">
        <v>560</v>
      </c>
      <c r="V39" s="7">
        <v>2020</v>
      </c>
      <c r="W39" s="14">
        <v>100</v>
      </c>
      <c r="X39" s="17" t="s">
        <v>561</v>
      </c>
      <c r="Y39" s="7">
        <v>2020</v>
      </c>
      <c r="Z39" s="14">
        <v>50</v>
      </c>
      <c r="AA39" s="17" t="s">
        <v>562</v>
      </c>
      <c r="AB39" s="7">
        <v>2020</v>
      </c>
      <c r="AC39" s="14">
        <v>50</v>
      </c>
      <c r="AD39" s="17" t="s">
        <v>563</v>
      </c>
      <c r="AE39" s="7">
        <v>2020</v>
      </c>
      <c r="AF39" s="14">
        <v>33</v>
      </c>
      <c r="AG39" s="14"/>
      <c r="AH39" s="7">
        <v>2020</v>
      </c>
      <c r="AI39" s="21">
        <v>0</v>
      </c>
      <c r="AJ39" s="17"/>
      <c r="AK39" s="7">
        <v>2020</v>
      </c>
      <c r="AL39" s="14">
        <v>50</v>
      </c>
      <c r="AM39" s="23" t="s">
        <v>564</v>
      </c>
    </row>
    <row r="40" spans="1:39" ht="24.75" customHeight="1">
      <c r="A40" s="7">
        <v>2021</v>
      </c>
      <c r="B40" s="16">
        <f>AVERAGE(E40,H40,K40,N40,Z40,AC40,AF40)</f>
        <v>40.380952380952387</v>
      </c>
      <c r="C40" s="16"/>
      <c r="D40" s="7">
        <v>2021</v>
      </c>
      <c r="E40" s="14">
        <v>33</v>
      </c>
      <c r="F40" s="17"/>
      <c r="G40" s="7">
        <v>2021</v>
      </c>
      <c r="H40" s="14">
        <v>0</v>
      </c>
      <c r="I40" s="17"/>
      <c r="J40" s="7">
        <v>2021</v>
      </c>
      <c r="K40" s="14">
        <v>50</v>
      </c>
      <c r="L40" s="17"/>
      <c r="M40" s="7">
        <v>2021</v>
      </c>
      <c r="N40" s="31">
        <f>AVERAGE(Q40,T40,W40)</f>
        <v>66.666666666666671</v>
      </c>
      <c r="O40" s="14"/>
      <c r="P40" s="7">
        <v>2021</v>
      </c>
      <c r="Q40" s="14">
        <v>50</v>
      </c>
      <c r="R40" s="17"/>
      <c r="S40" s="7">
        <v>2021</v>
      </c>
      <c r="T40" s="14">
        <v>50</v>
      </c>
      <c r="U40" s="17"/>
      <c r="V40" s="7">
        <v>2021</v>
      </c>
      <c r="W40" s="14">
        <v>100</v>
      </c>
      <c r="X40" s="17"/>
      <c r="Y40" s="7">
        <v>2021</v>
      </c>
      <c r="Z40" s="14">
        <v>50</v>
      </c>
      <c r="AA40" s="17"/>
      <c r="AB40" s="7">
        <v>2021</v>
      </c>
      <c r="AC40" s="14">
        <v>50</v>
      </c>
      <c r="AD40" s="17"/>
      <c r="AE40" s="7">
        <v>2021</v>
      </c>
      <c r="AF40" s="14">
        <v>33</v>
      </c>
      <c r="AG40" s="14"/>
      <c r="AH40" s="7">
        <v>2021</v>
      </c>
      <c r="AI40" s="21">
        <v>0</v>
      </c>
      <c r="AJ40" s="17"/>
      <c r="AK40" s="7">
        <v>2021</v>
      </c>
      <c r="AL40" s="14">
        <v>50</v>
      </c>
      <c r="AM40" s="23"/>
    </row>
    <row r="41" spans="1:39" ht="24.75" customHeight="1">
      <c r="A41" s="7">
        <v>2022</v>
      </c>
      <c r="B41" s="16">
        <f>AVERAGE(E41,H41,K41,N41,Z41,AC41,AF41)</f>
        <v>40.380952380952387</v>
      </c>
      <c r="C41" s="16"/>
      <c r="D41" s="7">
        <v>2022</v>
      </c>
      <c r="E41" s="14">
        <v>33</v>
      </c>
      <c r="F41" s="17"/>
      <c r="G41" s="7">
        <v>2022</v>
      </c>
      <c r="H41" s="14">
        <v>0</v>
      </c>
      <c r="I41" s="17"/>
      <c r="J41" s="7">
        <v>2022</v>
      </c>
      <c r="K41" s="14">
        <v>50</v>
      </c>
      <c r="L41" s="17" t="s">
        <v>565</v>
      </c>
      <c r="M41" s="7">
        <v>2022</v>
      </c>
      <c r="N41" s="31">
        <f>AVERAGE(Q41,T41,W41)</f>
        <v>66.666666666666671</v>
      </c>
      <c r="O41" s="14"/>
      <c r="P41" s="7">
        <v>2022</v>
      </c>
      <c r="Q41" s="14">
        <v>50</v>
      </c>
      <c r="R41" s="17"/>
      <c r="S41" s="7">
        <v>2022</v>
      </c>
      <c r="T41" s="14">
        <v>50</v>
      </c>
      <c r="U41" s="17"/>
      <c r="V41" s="7">
        <v>2022</v>
      </c>
      <c r="W41" s="14">
        <v>100</v>
      </c>
      <c r="X41" s="17"/>
      <c r="Y41" s="7">
        <v>2022</v>
      </c>
      <c r="Z41" s="14">
        <v>50</v>
      </c>
      <c r="AA41" s="17"/>
      <c r="AB41" s="7">
        <v>2022</v>
      </c>
      <c r="AC41" s="14">
        <v>50</v>
      </c>
      <c r="AD41" s="17"/>
      <c r="AE41" s="7">
        <v>2022</v>
      </c>
      <c r="AF41" s="14">
        <v>33</v>
      </c>
      <c r="AG41" s="14"/>
      <c r="AH41" s="7">
        <v>2022</v>
      </c>
      <c r="AI41" s="21">
        <v>0</v>
      </c>
      <c r="AJ41" s="17"/>
      <c r="AK41" s="7">
        <v>2022</v>
      </c>
      <c r="AL41" s="14">
        <v>50</v>
      </c>
      <c r="AM41" s="23"/>
    </row>
    <row r="42" spans="1:39" ht="24.75" customHeight="1">
      <c r="A42" s="7">
        <v>2023</v>
      </c>
      <c r="B42" s="16">
        <f>AVERAGE(E42,H42,K42,N42,Z42,AC42,AF42)</f>
        <v>40.380952380952387</v>
      </c>
      <c r="C42" s="16"/>
      <c r="D42" s="7">
        <v>2023</v>
      </c>
      <c r="E42" s="14">
        <v>33</v>
      </c>
      <c r="F42" s="17"/>
      <c r="G42" s="7">
        <v>2023</v>
      </c>
      <c r="H42" s="14">
        <v>0</v>
      </c>
      <c r="I42" s="17"/>
      <c r="J42" s="7">
        <v>2023</v>
      </c>
      <c r="K42" s="14">
        <v>50</v>
      </c>
      <c r="L42" s="17"/>
      <c r="M42" s="7">
        <v>2023</v>
      </c>
      <c r="N42" s="31">
        <f>AVERAGE(Q42,T42,W42)</f>
        <v>66.666666666666671</v>
      </c>
      <c r="O42" s="14"/>
      <c r="P42" s="7">
        <v>2023</v>
      </c>
      <c r="Q42" s="14">
        <v>50</v>
      </c>
      <c r="R42" s="17"/>
      <c r="S42" s="7">
        <v>2023</v>
      </c>
      <c r="T42" s="14">
        <v>50</v>
      </c>
      <c r="U42" s="17"/>
      <c r="V42" s="7">
        <v>2023</v>
      </c>
      <c r="W42" s="14">
        <v>100</v>
      </c>
      <c r="X42" s="17"/>
      <c r="Y42" s="7">
        <v>2023</v>
      </c>
      <c r="Z42" s="14">
        <v>50</v>
      </c>
      <c r="AA42" s="17"/>
      <c r="AB42" s="7">
        <v>2023</v>
      </c>
      <c r="AC42" s="14">
        <v>50</v>
      </c>
      <c r="AD42" s="17"/>
      <c r="AE42" s="7">
        <v>2023</v>
      </c>
      <c r="AF42" s="14">
        <v>33</v>
      </c>
      <c r="AG42" s="14"/>
      <c r="AH42" s="7">
        <v>2023</v>
      </c>
      <c r="AI42" s="21">
        <v>0</v>
      </c>
      <c r="AJ42" s="17"/>
      <c r="AK42" s="7">
        <v>2023</v>
      </c>
      <c r="AL42" s="14">
        <v>50</v>
      </c>
      <c r="AM42" s="23"/>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AVERAGE(E51,H51,K51,N51,Q51)</f>
        <v>20</v>
      </c>
      <c r="C51" s="16"/>
      <c r="D51" s="7">
        <v>2020</v>
      </c>
      <c r="E51" s="14">
        <v>0</v>
      </c>
      <c r="F51" s="17" t="s">
        <v>566</v>
      </c>
      <c r="G51" s="7">
        <v>2020</v>
      </c>
      <c r="H51" s="14">
        <v>0</v>
      </c>
      <c r="I51" s="17" t="s">
        <v>567</v>
      </c>
      <c r="J51" s="7">
        <v>2020</v>
      </c>
      <c r="K51" s="131">
        <v>50</v>
      </c>
      <c r="L51" s="19"/>
      <c r="M51" s="7">
        <v>2020</v>
      </c>
      <c r="N51" s="14">
        <v>50</v>
      </c>
      <c r="O51" s="17" t="s">
        <v>568</v>
      </c>
      <c r="P51" s="7">
        <v>2020</v>
      </c>
      <c r="Q51" s="14">
        <v>0</v>
      </c>
      <c r="R51" s="23"/>
    </row>
    <row r="52" spans="1:24" ht="24.75" customHeight="1">
      <c r="A52" s="7">
        <v>2021</v>
      </c>
      <c r="B52" s="15">
        <f>AVERAGE(E52,H52,K52,N52,Q52)</f>
        <v>20</v>
      </c>
      <c r="C52" s="15"/>
      <c r="D52" s="7">
        <v>2021</v>
      </c>
      <c r="E52" s="14">
        <v>0</v>
      </c>
      <c r="F52" s="17"/>
      <c r="G52" s="7">
        <v>2021</v>
      </c>
      <c r="H52" s="14">
        <v>0</v>
      </c>
      <c r="I52" s="17"/>
      <c r="J52" s="7">
        <v>2021</v>
      </c>
      <c r="K52" s="131">
        <v>50</v>
      </c>
      <c r="L52" s="19" t="s">
        <v>569</v>
      </c>
      <c r="M52" s="7">
        <v>2021</v>
      </c>
      <c r="N52" s="14">
        <v>50</v>
      </c>
      <c r="O52" s="17"/>
      <c r="P52" s="7">
        <v>2021</v>
      </c>
      <c r="Q52" s="14">
        <v>0</v>
      </c>
      <c r="R52" s="23" t="s">
        <v>570</v>
      </c>
    </row>
    <row r="53" spans="1:24" ht="24.75" customHeight="1">
      <c r="A53" s="7">
        <v>2022</v>
      </c>
      <c r="B53" s="15">
        <f>AVERAGE(E53,H53,K53,N53,Q53)</f>
        <v>20</v>
      </c>
      <c r="C53" s="15"/>
      <c r="D53" s="7">
        <v>2022</v>
      </c>
      <c r="E53" s="14">
        <v>0</v>
      </c>
      <c r="F53" s="17"/>
      <c r="G53" s="7">
        <v>2022</v>
      </c>
      <c r="H53" s="14">
        <v>0</v>
      </c>
      <c r="I53" s="17"/>
      <c r="J53" s="7">
        <v>2022</v>
      </c>
      <c r="K53" s="46">
        <v>50</v>
      </c>
      <c r="L53" s="19"/>
      <c r="M53" s="7">
        <v>2022</v>
      </c>
      <c r="N53" s="14">
        <v>50</v>
      </c>
      <c r="O53" s="17"/>
      <c r="P53" s="7">
        <v>2022</v>
      </c>
      <c r="Q53" s="14">
        <v>0</v>
      </c>
      <c r="R53" s="23"/>
    </row>
    <row r="54" spans="1:24" ht="24.75" customHeight="1">
      <c r="A54" s="7">
        <v>2023</v>
      </c>
      <c r="B54" s="15">
        <f>AVERAGE(E54,H54,K54,N54,Q54)</f>
        <v>20</v>
      </c>
      <c r="C54" s="15"/>
      <c r="D54" s="7">
        <v>2023</v>
      </c>
      <c r="E54" s="14">
        <v>0</v>
      </c>
      <c r="F54" s="17"/>
      <c r="G54" s="7">
        <v>2023</v>
      </c>
      <c r="H54" s="14">
        <v>0</v>
      </c>
      <c r="I54" s="17"/>
      <c r="J54" s="7">
        <v>2023</v>
      </c>
      <c r="K54" s="131">
        <v>50</v>
      </c>
      <c r="L54" s="132"/>
      <c r="M54" s="7">
        <v>2023</v>
      </c>
      <c r="N54" s="14">
        <v>50</v>
      </c>
      <c r="O54" s="17"/>
      <c r="P54" s="7">
        <v>2023</v>
      </c>
      <c r="Q54" s="14">
        <v>0</v>
      </c>
      <c r="R54" s="13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AVERAGE(E63,((H63+K63)/2),((N63+Q63+T63)/3),W63)</f>
        <v>54.166666666666671</v>
      </c>
      <c r="C63" s="16"/>
      <c r="D63" s="7">
        <v>2020</v>
      </c>
      <c r="E63" s="21">
        <v>50</v>
      </c>
      <c r="F63" s="134" t="s">
        <v>571</v>
      </c>
      <c r="G63" s="7">
        <v>2020</v>
      </c>
      <c r="H63" s="14">
        <v>0</v>
      </c>
      <c r="I63" s="23" t="s">
        <v>572</v>
      </c>
      <c r="J63" s="7">
        <v>2020</v>
      </c>
      <c r="K63" s="14">
        <v>0</v>
      </c>
      <c r="L63" s="17"/>
      <c r="M63" s="7">
        <v>2020</v>
      </c>
      <c r="N63" s="14">
        <v>100</v>
      </c>
      <c r="O63" s="17" t="s">
        <v>573</v>
      </c>
      <c r="P63" s="7">
        <v>2020</v>
      </c>
      <c r="Q63" s="14">
        <v>100</v>
      </c>
      <c r="R63" s="23" t="s">
        <v>574</v>
      </c>
      <c r="S63" s="7">
        <v>2020</v>
      </c>
      <c r="T63" s="14">
        <v>0</v>
      </c>
      <c r="U63" s="17" t="s">
        <v>575</v>
      </c>
      <c r="V63" s="7">
        <v>2020</v>
      </c>
      <c r="W63" s="14">
        <v>100</v>
      </c>
      <c r="X63" s="23" t="s">
        <v>576</v>
      </c>
    </row>
    <row r="64" spans="1:24" ht="24.75" customHeight="1">
      <c r="A64" s="7">
        <v>2021</v>
      </c>
      <c r="B64" s="15">
        <f>AVERAGE(E64,((H64+K64)/2),((N64+Q64+T64)/3),W64)</f>
        <v>54.166666666666671</v>
      </c>
      <c r="C64" s="15"/>
      <c r="D64" s="7">
        <v>2021</v>
      </c>
      <c r="E64" s="21">
        <v>50</v>
      </c>
      <c r="F64" s="17"/>
      <c r="G64" s="7">
        <v>2021</v>
      </c>
      <c r="H64" s="14">
        <v>0</v>
      </c>
      <c r="I64" s="17" t="s">
        <v>577</v>
      </c>
      <c r="J64" s="7">
        <v>2021</v>
      </c>
      <c r="K64" s="14">
        <v>0</v>
      </c>
      <c r="L64" s="17"/>
      <c r="M64" s="7">
        <v>2021</v>
      </c>
      <c r="N64" s="14">
        <v>100</v>
      </c>
      <c r="O64" s="17"/>
      <c r="P64" s="7">
        <v>2021</v>
      </c>
      <c r="Q64" s="14">
        <v>100</v>
      </c>
      <c r="R64" s="17"/>
      <c r="S64" s="7">
        <v>2021</v>
      </c>
      <c r="T64" s="14">
        <v>0</v>
      </c>
      <c r="U64" s="17"/>
      <c r="V64" s="7">
        <v>2021</v>
      </c>
      <c r="W64" s="14">
        <v>100</v>
      </c>
      <c r="X64" s="23"/>
    </row>
    <row r="65" spans="1:33" ht="24.75" customHeight="1">
      <c r="A65" s="7">
        <v>2022</v>
      </c>
      <c r="B65" s="15">
        <f>AVERAGE(E65,((H65+K65)/2),((N65+Q65+T65)/3),W65)</f>
        <v>54.166666666666671</v>
      </c>
      <c r="C65" s="15"/>
      <c r="D65" s="7">
        <v>2022</v>
      </c>
      <c r="E65" s="21">
        <v>50</v>
      </c>
      <c r="F65" s="17"/>
      <c r="G65" s="7">
        <v>2022</v>
      </c>
      <c r="H65" s="14">
        <v>0</v>
      </c>
      <c r="I65" s="17"/>
      <c r="J65" s="7">
        <v>2022</v>
      </c>
      <c r="K65" s="14">
        <v>0</v>
      </c>
      <c r="L65" s="23" t="s">
        <v>578</v>
      </c>
      <c r="M65" s="7">
        <v>2022</v>
      </c>
      <c r="N65" s="14">
        <v>100</v>
      </c>
      <c r="O65" s="17"/>
      <c r="P65" s="7">
        <v>2022</v>
      </c>
      <c r="Q65" s="14">
        <v>100</v>
      </c>
      <c r="R65" s="17"/>
      <c r="S65" s="7">
        <v>2022</v>
      </c>
      <c r="T65" s="14">
        <v>0</v>
      </c>
      <c r="U65" s="17"/>
      <c r="V65" s="7">
        <v>2022</v>
      </c>
      <c r="W65" s="14">
        <v>100</v>
      </c>
      <c r="X65" s="23"/>
    </row>
    <row r="66" spans="1:33" ht="24.75" customHeight="1">
      <c r="A66" s="7">
        <v>2023</v>
      </c>
      <c r="B66" s="15">
        <f>AVERAGE(E66,((H66+K66)/2),((N66+Q66+T66)/3),W66)</f>
        <v>54.166666666666671</v>
      </c>
      <c r="C66" s="15"/>
      <c r="D66" s="7">
        <v>2023</v>
      </c>
      <c r="E66" s="21">
        <v>50</v>
      </c>
      <c r="F66" s="17"/>
      <c r="G66" s="7">
        <v>2023</v>
      </c>
      <c r="H66" s="14">
        <v>0</v>
      </c>
      <c r="I66" s="17"/>
      <c r="J66" s="7">
        <v>2023</v>
      </c>
      <c r="K66" s="14">
        <v>0</v>
      </c>
      <c r="L66" s="17"/>
      <c r="M66" s="7">
        <v>2023</v>
      </c>
      <c r="N66" s="14">
        <v>100</v>
      </c>
      <c r="O66" s="17"/>
      <c r="P66" s="7">
        <v>2023</v>
      </c>
      <c r="Q66" s="14">
        <v>100</v>
      </c>
      <c r="R66" s="17"/>
      <c r="S66" s="7">
        <v>2023</v>
      </c>
      <c r="T66" s="14">
        <v>0</v>
      </c>
      <c r="U66" s="17"/>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AVERAGE(E75,H75,K75,Z75)</f>
        <v>18.75</v>
      </c>
      <c r="C75" s="15"/>
      <c r="D75" s="7">
        <v>2020</v>
      </c>
      <c r="E75" s="14">
        <v>50</v>
      </c>
      <c r="F75" s="17" t="s">
        <v>579</v>
      </c>
      <c r="G75" s="7">
        <v>2020</v>
      </c>
      <c r="H75" s="14">
        <v>0</v>
      </c>
      <c r="I75" s="17" t="s">
        <v>580</v>
      </c>
      <c r="J75" s="7">
        <v>2020</v>
      </c>
      <c r="K75" s="31">
        <f>AVERAGE(N75,Q75,T75,W75)</f>
        <v>25</v>
      </c>
      <c r="L75" s="14"/>
      <c r="M75" s="7">
        <v>2020</v>
      </c>
      <c r="N75" s="21">
        <v>0</v>
      </c>
      <c r="O75" s="17" t="s">
        <v>581</v>
      </c>
      <c r="P75" s="7">
        <v>2020</v>
      </c>
      <c r="Q75" s="21">
        <v>0</v>
      </c>
      <c r="R75" s="17" t="s">
        <v>582</v>
      </c>
      <c r="S75" s="7">
        <v>2020</v>
      </c>
      <c r="T75" s="21">
        <v>100</v>
      </c>
      <c r="U75" s="17" t="s">
        <v>583</v>
      </c>
      <c r="V75" s="7">
        <v>2020</v>
      </c>
      <c r="W75" s="21">
        <v>0</v>
      </c>
      <c r="X75" s="17"/>
      <c r="Y75" s="7">
        <v>2020</v>
      </c>
      <c r="Z75" s="14">
        <v>0</v>
      </c>
      <c r="AA75" s="23" t="s">
        <v>584</v>
      </c>
    </row>
    <row r="76" spans="1:33" ht="24.75" customHeight="1">
      <c r="A76" s="7">
        <v>2021</v>
      </c>
      <c r="B76" s="15">
        <f>AVERAGE(E76,H76,K76,Z76)</f>
        <v>18.75</v>
      </c>
      <c r="C76" s="15"/>
      <c r="D76" s="7">
        <v>2021</v>
      </c>
      <c r="E76" s="14">
        <v>50</v>
      </c>
      <c r="F76" s="17"/>
      <c r="G76" s="7">
        <v>2021</v>
      </c>
      <c r="H76" s="14">
        <v>0</v>
      </c>
      <c r="I76" s="17"/>
      <c r="J76" s="7">
        <v>2021</v>
      </c>
      <c r="K76" s="31">
        <f>AVERAGE(N76,Q76,T76,W76)</f>
        <v>25</v>
      </c>
      <c r="L76" s="14"/>
      <c r="M76" s="7">
        <v>2021</v>
      </c>
      <c r="N76" s="21">
        <v>0</v>
      </c>
      <c r="O76" s="17"/>
      <c r="P76" s="7">
        <v>2021</v>
      </c>
      <c r="Q76" s="21">
        <v>0</v>
      </c>
      <c r="R76" s="17" t="s">
        <v>585</v>
      </c>
      <c r="S76" s="7">
        <v>2021</v>
      </c>
      <c r="T76" s="21">
        <v>100</v>
      </c>
      <c r="U76" s="17"/>
      <c r="V76" s="7">
        <v>2021</v>
      </c>
      <c r="W76" s="21">
        <v>0</v>
      </c>
      <c r="X76" s="17"/>
      <c r="Y76" s="7">
        <v>2021</v>
      </c>
      <c r="Z76" s="14">
        <v>0</v>
      </c>
      <c r="AA76" s="23"/>
    </row>
    <row r="77" spans="1:33" ht="24.75" customHeight="1">
      <c r="A77" s="7">
        <v>2022</v>
      </c>
      <c r="B77" s="15">
        <f>AVERAGE(E77,H77,K77,Z77)</f>
        <v>18.75</v>
      </c>
      <c r="C77" s="15"/>
      <c r="D77" s="7">
        <v>2022</v>
      </c>
      <c r="E77" s="14">
        <v>50</v>
      </c>
      <c r="F77" s="17"/>
      <c r="G77" s="7">
        <v>2022</v>
      </c>
      <c r="H77" s="14">
        <v>0</v>
      </c>
      <c r="I77" s="17"/>
      <c r="J77" s="7">
        <v>2022</v>
      </c>
      <c r="K77" s="31">
        <f>AVERAGE(N77,Q77,T77,W77)</f>
        <v>25</v>
      </c>
      <c r="L77" s="14"/>
      <c r="M77" s="7">
        <v>2022</v>
      </c>
      <c r="N77" s="21">
        <v>0</v>
      </c>
      <c r="O77" s="17"/>
      <c r="P77" s="7">
        <v>2022</v>
      </c>
      <c r="Q77" s="21">
        <v>0</v>
      </c>
      <c r="R77" s="17"/>
      <c r="S77" s="7">
        <v>2022</v>
      </c>
      <c r="T77" s="21">
        <v>100</v>
      </c>
      <c r="U77" s="17"/>
      <c r="V77" s="7">
        <v>2022</v>
      </c>
      <c r="W77" s="21">
        <v>0</v>
      </c>
      <c r="X77" s="17"/>
      <c r="Y77" s="7">
        <v>2022</v>
      </c>
      <c r="Z77" s="14">
        <v>0</v>
      </c>
      <c r="AA77" s="23"/>
    </row>
    <row r="78" spans="1:33" ht="24.75" customHeight="1">
      <c r="A78" s="7">
        <v>2023</v>
      </c>
      <c r="B78" s="15">
        <f>AVERAGE(E78,H78,K78,Z78)</f>
        <v>18.75</v>
      </c>
      <c r="C78" s="15"/>
      <c r="D78" s="7">
        <v>2023</v>
      </c>
      <c r="E78" s="14">
        <v>50</v>
      </c>
      <c r="F78" s="17"/>
      <c r="G78" s="7">
        <v>2023</v>
      </c>
      <c r="H78" s="14">
        <v>0</v>
      </c>
      <c r="I78" s="17"/>
      <c r="J78" s="7">
        <v>2023</v>
      </c>
      <c r="K78" s="31">
        <f>AVERAGE(N78,Q78,T78,W78)</f>
        <v>25</v>
      </c>
      <c r="L78" s="14"/>
      <c r="M78" s="7">
        <v>2023</v>
      </c>
      <c r="N78" s="21">
        <v>0</v>
      </c>
      <c r="O78" s="17"/>
      <c r="P78" s="7">
        <v>2023</v>
      </c>
      <c r="Q78" s="21">
        <v>0</v>
      </c>
      <c r="R78" s="17"/>
      <c r="S78" s="7">
        <v>2023</v>
      </c>
      <c r="T78" s="21">
        <v>100</v>
      </c>
      <c r="U78" s="17"/>
      <c r="V78" s="7">
        <v>2023</v>
      </c>
      <c r="W78" s="21">
        <v>0</v>
      </c>
      <c r="X78" s="17"/>
      <c r="Y78" s="7">
        <v>2023</v>
      </c>
      <c r="Z78" s="14">
        <v>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t="s">
        <v>54</v>
      </c>
      <c r="AD86" s="7" t="s">
        <v>122</v>
      </c>
      <c r="AE86" s="7" t="s">
        <v>121</v>
      </c>
      <c r="AF86" s="7" t="s">
        <v>54</v>
      </c>
      <c r="AG86" s="7" t="s">
        <v>122</v>
      </c>
    </row>
    <row r="87" spans="1:51" ht="24.75" customHeight="1">
      <c r="A87" s="7">
        <v>2020</v>
      </c>
      <c r="B87" s="15">
        <f>AVERAGE(E87,H87, W87,((Z87+AC87+AF87)/3))</f>
        <v>66.666666666666671</v>
      </c>
      <c r="C87" s="15"/>
      <c r="D87" s="7">
        <v>2020</v>
      </c>
      <c r="E87" s="21">
        <v>50</v>
      </c>
      <c r="F87" s="23" t="s">
        <v>586</v>
      </c>
      <c r="G87" s="7">
        <v>2020</v>
      </c>
      <c r="H87" s="31">
        <f>AVERAGE(K87,N87,Q87,T87)</f>
        <v>50</v>
      </c>
      <c r="I87" s="14"/>
      <c r="J87" s="7">
        <v>2020</v>
      </c>
      <c r="K87" s="14">
        <v>50</v>
      </c>
      <c r="L87" s="17" t="s">
        <v>587</v>
      </c>
      <c r="M87" s="7">
        <v>2020</v>
      </c>
      <c r="N87" s="14">
        <v>50</v>
      </c>
      <c r="O87" s="17" t="s">
        <v>588</v>
      </c>
      <c r="P87" s="7">
        <v>2020</v>
      </c>
      <c r="Q87" s="21">
        <v>50</v>
      </c>
      <c r="R87" s="17"/>
      <c r="S87" s="7">
        <v>2020</v>
      </c>
      <c r="T87" s="14">
        <v>50</v>
      </c>
      <c r="U87" s="17" t="s">
        <v>589</v>
      </c>
      <c r="V87" s="7">
        <v>2020</v>
      </c>
      <c r="W87" s="14">
        <v>100</v>
      </c>
      <c r="X87" s="17" t="s">
        <v>590</v>
      </c>
      <c r="Y87" s="7">
        <v>2020</v>
      </c>
      <c r="Z87" s="14">
        <v>50</v>
      </c>
      <c r="AA87" s="17" t="s">
        <v>591</v>
      </c>
      <c r="AB87" s="7">
        <v>2020</v>
      </c>
      <c r="AC87" s="14">
        <v>100</v>
      </c>
      <c r="AD87" s="23" t="s">
        <v>592</v>
      </c>
      <c r="AE87" s="7">
        <v>2020</v>
      </c>
      <c r="AF87" s="14">
        <v>50</v>
      </c>
      <c r="AG87" s="23" t="s">
        <v>593</v>
      </c>
    </row>
    <row r="88" spans="1:51" ht="24.75" customHeight="1">
      <c r="A88" s="7">
        <v>2021</v>
      </c>
      <c r="B88" s="15">
        <f t="shared" ref="B88:B90" si="1">AVERAGE(E88,H88, W88,((Z88+AC88+AF88)/3))</f>
        <v>66.666666666666671</v>
      </c>
      <c r="C88" s="15"/>
      <c r="D88" s="7">
        <v>2021</v>
      </c>
      <c r="E88" s="1">
        <v>50</v>
      </c>
      <c r="F88" s="17"/>
      <c r="G88" s="7">
        <v>2021</v>
      </c>
      <c r="H88" s="31">
        <f>AVERAGE(K88,N88,Q88,T88)</f>
        <v>50</v>
      </c>
      <c r="I88" s="14"/>
      <c r="J88" s="7">
        <v>2021</v>
      </c>
      <c r="K88" s="14">
        <v>50</v>
      </c>
      <c r="L88" s="17"/>
      <c r="M88" s="7">
        <v>2021</v>
      </c>
      <c r="N88" s="14">
        <v>50</v>
      </c>
      <c r="O88" s="17"/>
      <c r="P88" s="7">
        <v>2021</v>
      </c>
      <c r="Q88" s="21">
        <v>50</v>
      </c>
      <c r="R88" s="17"/>
      <c r="S88" s="7">
        <v>2021</v>
      </c>
      <c r="T88" s="14">
        <v>50</v>
      </c>
      <c r="U88" s="17"/>
      <c r="V88" s="7">
        <v>2021</v>
      </c>
      <c r="W88" s="14">
        <v>100</v>
      </c>
      <c r="X88" s="17"/>
      <c r="Y88" s="7">
        <v>2021</v>
      </c>
      <c r="Z88" s="14">
        <v>50</v>
      </c>
      <c r="AA88" s="17"/>
      <c r="AB88" s="7">
        <v>2021</v>
      </c>
      <c r="AC88" s="14">
        <v>100</v>
      </c>
      <c r="AD88" s="17"/>
      <c r="AE88" s="7">
        <v>2021</v>
      </c>
      <c r="AF88" s="14">
        <v>50</v>
      </c>
      <c r="AG88" s="23"/>
    </row>
    <row r="89" spans="1:51" ht="24.75" customHeight="1">
      <c r="A89" s="7">
        <v>2022</v>
      </c>
      <c r="B89" s="15">
        <f t="shared" si="1"/>
        <v>69.791666666666671</v>
      </c>
      <c r="C89" s="15"/>
      <c r="D89" s="7">
        <v>2022</v>
      </c>
      <c r="E89" s="21">
        <v>50</v>
      </c>
      <c r="F89" s="17"/>
      <c r="G89" s="7">
        <v>2022</v>
      </c>
      <c r="H89" s="31">
        <f>AVERAGE(K89,N89,Q89,T89)</f>
        <v>62.5</v>
      </c>
      <c r="I89" s="14"/>
      <c r="J89" s="7">
        <v>2022</v>
      </c>
      <c r="K89" s="14">
        <v>50</v>
      </c>
      <c r="L89" s="17"/>
      <c r="M89" s="7">
        <v>2022</v>
      </c>
      <c r="N89" s="14">
        <v>50</v>
      </c>
      <c r="O89" s="17"/>
      <c r="P89" s="7">
        <v>2022</v>
      </c>
      <c r="Q89" s="21">
        <v>100</v>
      </c>
      <c r="R89" s="17" t="s">
        <v>594</v>
      </c>
      <c r="S89" s="7">
        <v>2022</v>
      </c>
      <c r="T89" s="14">
        <v>50</v>
      </c>
      <c r="U89" s="17"/>
      <c r="V89" s="7">
        <v>2022</v>
      </c>
      <c r="W89" s="14">
        <v>100</v>
      </c>
      <c r="X89" s="17"/>
      <c r="Y89" s="7">
        <v>2022</v>
      </c>
      <c r="Z89" s="14">
        <v>50</v>
      </c>
      <c r="AA89" s="17"/>
      <c r="AB89" s="7">
        <v>2022</v>
      </c>
      <c r="AC89" s="14">
        <v>100</v>
      </c>
      <c r="AD89" s="17"/>
      <c r="AE89" s="7">
        <v>2022</v>
      </c>
      <c r="AF89" s="14">
        <v>50</v>
      </c>
      <c r="AG89" s="23"/>
    </row>
    <row r="90" spans="1:51" ht="24.75" customHeight="1">
      <c r="A90" s="7">
        <v>2023</v>
      </c>
      <c r="B90" s="15">
        <f t="shared" si="1"/>
        <v>73.958333333333329</v>
      </c>
      <c r="C90" s="15"/>
      <c r="D90" s="7">
        <v>2023</v>
      </c>
      <c r="E90" s="21">
        <v>50</v>
      </c>
      <c r="F90" s="17"/>
      <c r="G90" s="7">
        <v>2023</v>
      </c>
      <c r="H90" s="31">
        <f>AVERAGE(K90,N90,Q90,T90)</f>
        <v>62.5</v>
      </c>
      <c r="I90" s="14"/>
      <c r="J90" s="7">
        <v>2023</v>
      </c>
      <c r="K90" s="14">
        <v>50</v>
      </c>
      <c r="L90" s="17"/>
      <c r="M90" s="7">
        <v>2023</v>
      </c>
      <c r="N90" s="14">
        <v>50</v>
      </c>
      <c r="O90" s="17"/>
      <c r="P90" s="7">
        <v>2023</v>
      </c>
      <c r="Q90" s="21">
        <v>100</v>
      </c>
      <c r="R90" s="17"/>
      <c r="S90" s="7">
        <v>2023</v>
      </c>
      <c r="T90" s="14">
        <v>50</v>
      </c>
      <c r="U90" s="17"/>
      <c r="V90" s="7">
        <v>2023</v>
      </c>
      <c r="W90" s="14">
        <v>100</v>
      </c>
      <c r="X90" s="17"/>
      <c r="Y90" s="7">
        <v>2023</v>
      </c>
      <c r="Z90" s="14">
        <v>50</v>
      </c>
      <c r="AA90" s="17"/>
      <c r="AB90" s="7">
        <v>2023</v>
      </c>
      <c r="AC90" s="14">
        <v>100</v>
      </c>
      <c r="AD90" s="17"/>
      <c r="AE90" s="7">
        <v>2023</v>
      </c>
      <c r="AF90" s="14">
        <v>100</v>
      </c>
      <c r="AG90" s="23" t="s">
        <v>595</v>
      </c>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29.166666666666668</v>
      </c>
      <c r="C99" s="43"/>
      <c r="D99" s="27">
        <v>2020</v>
      </c>
      <c r="E99" s="14">
        <v>100</v>
      </c>
      <c r="F99" s="23" t="s">
        <v>596</v>
      </c>
      <c r="G99" s="7">
        <v>2020</v>
      </c>
      <c r="H99" s="44">
        <v>100</v>
      </c>
      <c r="I99" s="23" t="s">
        <v>597</v>
      </c>
      <c r="J99" s="27">
        <v>2020</v>
      </c>
      <c r="K99" s="74">
        <v>100</v>
      </c>
      <c r="L99" s="23" t="s">
        <v>598</v>
      </c>
      <c r="M99" s="7">
        <v>2020</v>
      </c>
      <c r="N99" s="21">
        <v>0</v>
      </c>
      <c r="O99" s="23" t="s">
        <v>599</v>
      </c>
      <c r="P99" s="27">
        <v>2020</v>
      </c>
      <c r="Q99" s="14">
        <v>100</v>
      </c>
      <c r="R99" s="23" t="s">
        <v>600</v>
      </c>
      <c r="S99" s="7">
        <v>2020</v>
      </c>
      <c r="T99" s="21">
        <v>0</v>
      </c>
      <c r="U99" s="23" t="s">
        <v>601</v>
      </c>
      <c r="V99" s="7">
        <v>2020</v>
      </c>
      <c r="W99" s="14">
        <v>67</v>
      </c>
      <c r="X99" s="23" t="s">
        <v>602</v>
      </c>
      <c r="Y99" s="7">
        <v>2020</v>
      </c>
      <c r="Z99" s="14">
        <v>33</v>
      </c>
      <c r="AA99" s="23" t="s">
        <v>603</v>
      </c>
      <c r="AB99" s="7">
        <v>2020</v>
      </c>
      <c r="AC99" s="21">
        <v>0</v>
      </c>
      <c r="AD99" s="23" t="s">
        <v>604</v>
      </c>
      <c r="AE99" s="7">
        <v>2020</v>
      </c>
      <c r="AF99" s="14">
        <v>0</v>
      </c>
      <c r="AG99" s="23" t="s">
        <v>605</v>
      </c>
      <c r="AH99" s="7">
        <v>2020</v>
      </c>
      <c r="AI99" s="21">
        <v>0</v>
      </c>
      <c r="AJ99" s="23" t="s">
        <v>606</v>
      </c>
      <c r="AK99" s="7">
        <v>2020</v>
      </c>
      <c r="AL99" s="21">
        <v>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29.166666666666668</v>
      </c>
      <c r="C100" s="49"/>
      <c r="D100" s="27">
        <v>2021</v>
      </c>
      <c r="E100" s="14">
        <v>100</v>
      </c>
      <c r="F100" s="23"/>
      <c r="G100" s="7">
        <v>2021</v>
      </c>
      <c r="H100" s="44">
        <v>100</v>
      </c>
      <c r="I100" s="23"/>
      <c r="J100" s="27">
        <v>2021</v>
      </c>
      <c r="K100" s="74">
        <v>100</v>
      </c>
      <c r="L100" s="23"/>
      <c r="M100" s="7">
        <v>2021</v>
      </c>
      <c r="N100" s="21">
        <v>0</v>
      </c>
      <c r="O100" s="23"/>
      <c r="P100" s="27">
        <v>2021</v>
      </c>
      <c r="Q100" s="14">
        <v>100</v>
      </c>
      <c r="R100" s="23"/>
      <c r="S100" s="7">
        <v>2021</v>
      </c>
      <c r="T100" s="21">
        <v>0</v>
      </c>
      <c r="U100" s="23"/>
      <c r="V100" s="7">
        <v>2021</v>
      </c>
      <c r="W100" s="14">
        <v>67</v>
      </c>
      <c r="X100" s="23" t="s">
        <v>607</v>
      </c>
      <c r="Y100" s="7">
        <v>2021</v>
      </c>
      <c r="Z100" s="14">
        <v>33</v>
      </c>
      <c r="AA100" s="23"/>
      <c r="AB100" s="7">
        <v>2021</v>
      </c>
      <c r="AC100" s="21">
        <v>0</v>
      </c>
      <c r="AD100" s="23"/>
      <c r="AE100" s="7">
        <v>2021</v>
      </c>
      <c r="AF100" s="14">
        <v>0</v>
      </c>
      <c r="AG100" s="23"/>
      <c r="AH100" s="7">
        <v>2021</v>
      </c>
      <c r="AI100" s="21">
        <v>0</v>
      </c>
      <c r="AJ100" s="23" t="s">
        <v>608</v>
      </c>
      <c r="AK100" s="7">
        <v>2021</v>
      </c>
      <c r="AL100" s="21">
        <v>0</v>
      </c>
      <c r="AM100" s="23" t="s">
        <v>609</v>
      </c>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29.166666666666668</v>
      </c>
      <c r="C101" s="49"/>
      <c r="D101" s="27">
        <v>2022</v>
      </c>
      <c r="E101" s="14">
        <v>100</v>
      </c>
      <c r="F101" s="23"/>
      <c r="G101" s="27">
        <v>2022</v>
      </c>
      <c r="H101" s="44">
        <v>100</v>
      </c>
      <c r="I101" s="23"/>
      <c r="J101" s="27">
        <v>2022</v>
      </c>
      <c r="K101" s="74">
        <v>100</v>
      </c>
      <c r="L101" s="23"/>
      <c r="M101" s="27">
        <v>2022</v>
      </c>
      <c r="N101" s="21">
        <v>0</v>
      </c>
      <c r="O101" s="23"/>
      <c r="P101" s="27">
        <v>2022</v>
      </c>
      <c r="Q101" s="14">
        <v>100</v>
      </c>
      <c r="R101" s="23"/>
      <c r="S101" s="27">
        <v>2022</v>
      </c>
      <c r="T101" s="21">
        <v>0</v>
      </c>
      <c r="U101" s="23"/>
      <c r="V101" s="27">
        <v>2022</v>
      </c>
      <c r="W101" s="14">
        <v>67</v>
      </c>
      <c r="X101" s="23"/>
      <c r="Y101" s="27">
        <v>2022</v>
      </c>
      <c r="Z101" s="14">
        <v>33</v>
      </c>
      <c r="AA101" s="23"/>
      <c r="AB101" s="27">
        <v>2022</v>
      </c>
      <c r="AC101" s="21">
        <v>0</v>
      </c>
      <c r="AD101" s="23"/>
      <c r="AE101" s="27">
        <v>2022</v>
      </c>
      <c r="AF101" s="14">
        <v>0</v>
      </c>
      <c r="AG101" s="23"/>
      <c r="AH101" s="27">
        <v>2022</v>
      </c>
      <c r="AI101" s="21">
        <v>0</v>
      </c>
      <c r="AJ101" s="23"/>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29.166666666666668</v>
      </c>
      <c r="C102" s="49"/>
      <c r="D102" s="27">
        <v>2023</v>
      </c>
      <c r="E102" s="14">
        <v>100</v>
      </c>
      <c r="F102" s="23"/>
      <c r="G102" s="27">
        <v>2023</v>
      </c>
      <c r="H102" s="44">
        <v>100</v>
      </c>
      <c r="I102" s="23"/>
      <c r="J102" s="27">
        <v>2023</v>
      </c>
      <c r="K102" s="74">
        <v>100</v>
      </c>
      <c r="L102" s="23" t="s">
        <v>610</v>
      </c>
      <c r="M102" s="27">
        <v>2023</v>
      </c>
      <c r="N102" s="21">
        <v>0</v>
      </c>
      <c r="O102" s="23"/>
      <c r="P102" s="27">
        <v>2023</v>
      </c>
      <c r="Q102" s="14">
        <v>100</v>
      </c>
      <c r="R102" s="23"/>
      <c r="S102" s="27">
        <v>2023</v>
      </c>
      <c r="T102" s="21">
        <v>0</v>
      </c>
      <c r="U102" s="23"/>
      <c r="V102" s="27">
        <v>2023</v>
      </c>
      <c r="W102" s="14">
        <v>67</v>
      </c>
      <c r="X102" s="23"/>
      <c r="Y102" s="27">
        <v>2023</v>
      </c>
      <c r="Z102" s="14">
        <v>33</v>
      </c>
      <c r="AA102" s="23"/>
      <c r="AB102" s="27">
        <v>2023</v>
      </c>
      <c r="AC102" s="21">
        <v>0</v>
      </c>
      <c r="AD102" s="23"/>
      <c r="AE102" s="27">
        <v>2023</v>
      </c>
      <c r="AF102" s="14">
        <v>0</v>
      </c>
      <c r="AG102" s="23"/>
      <c r="AH102" s="27">
        <v>2023</v>
      </c>
      <c r="AI102" s="21">
        <v>0</v>
      </c>
      <c r="AJ102" s="23"/>
      <c r="AK102" s="27">
        <v>2023</v>
      </c>
      <c r="AL102" s="21">
        <v>0</v>
      </c>
      <c r="AM102" s="23"/>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9699-17EF-4B98-89CA-B02BAF8C82E3}">
  <dimension ref="A1:CC102"/>
  <sheetViews>
    <sheetView zoomScale="111" zoomScaleNormal="111" workbookViewId="0">
      <selection activeCell="AA89" sqref="AA89"/>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15" customHeight="1">
      <c r="A1" s="323" t="s">
        <v>0</v>
      </c>
      <c r="B1" s="323"/>
      <c r="C1" s="323"/>
      <c r="D1" s="323"/>
    </row>
    <row r="2" spans="1:81" ht="34.25" customHeight="1">
      <c r="A2" s="2" t="s">
        <v>1</v>
      </c>
      <c r="B2" s="2" t="s">
        <v>2</v>
      </c>
      <c r="C2" s="2" t="s">
        <v>3</v>
      </c>
      <c r="D2" s="2" t="s">
        <v>4</v>
      </c>
    </row>
    <row r="3" spans="1:81" ht="15" customHeight="1">
      <c r="A3" s="3">
        <v>2020</v>
      </c>
      <c r="B3" s="4">
        <f>AVERAGE(B15,B27,B39,B51,B63,B75,B87,B99)</f>
        <v>41.135416666666671</v>
      </c>
      <c r="C3" s="4">
        <f>AVERAGE(B15,B27,B39,B51,B63,B75,B87)</f>
        <v>44.630952380952387</v>
      </c>
      <c r="D3" s="4">
        <f>AVERAGE(B15,B27,B51,B63,B75,B87)</f>
        <v>52.06944444444445</v>
      </c>
    </row>
    <row r="4" spans="1:81" ht="15" customHeight="1">
      <c r="A4" s="3">
        <v>2021</v>
      </c>
      <c r="B4" s="4">
        <f>AVERAGE(B16,B28,B40,B52,B64,B76,B88,B100)</f>
        <v>40.614583333333336</v>
      </c>
      <c r="C4" s="4">
        <f>AVERAGE(B16,B28,B40,B52,B64,B76,B88)</f>
        <v>44.035714285714285</v>
      </c>
      <c r="D4" s="4">
        <f>AVERAGE(B16,B28,B52,B64,B76,B88)</f>
        <v>51.375</v>
      </c>
    </row>
    <row r="5" spans="1:81" ht="15" customHeight="1">
      <c r="A5" s="3">
        <v>2022</v>
      </c>
      <c r="B5" s="4">
        <f>AVERAGE(B17,B29,B41,B53,B65,B77,B89,B101)</f>
        <v>40.614583333333336</v>
      </c>
      <c r="C5" s="4">
        <f>AVERAGE(B17,B29,B41,B53,B65,B77,B89)</f>
        <v>44.035714285714285</v>
      </c>
      <c r="D5" s="4">
        <f>AVERAGE(B17,B29,B53,B65,B77,B89)</f>
        <v>51.375</v>
      </c>
    </row>
    <row r="6" spans="1:81" ht="15" customHeight="1">
      <c r="A6" s="3">
        <v>2023</v>
      </c>
      <c r="B6" s="4">
        <f>AVERAGE(B18,B30,B42,B54,B66,B78,B90,B102)</f>
        <v>40.614583333333336</v>
      </c>
      <c r="C6" s="4">
        <f>AVERAGE(B18,B30,B42,B54,B66,B78,B90)</f>
        <v>44.035714285714285</v>
      </c>
      <c r="D6" s="4">
        <f>AVERAGE(B18,B30,B54,B66,B78,B90)</f>
        <v>51.375</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AVERAGE(E15, H15,K15,N15,Q15,T15,W15,Z15,AC15)</f>
        <v>37</v>
      </c>
      <c r="C15" s="16"/>
      <c r="D15" s="7">
        <v>2020</v>
      </c>
      <c r="E15" s="14">
        <v>50</v>
      </c>
      <c r="F15" s="17"/>
      <c r="G15" s="7">
        <v>2020</v>
      </c>
      <c r="H15" s="14">
        <v>50</v>
      </c>
      <c r="I15" s="17"/>
      <c r="J15" s="7">
        <v>2020</v>
      </c>
      <c r="K15" s="14">
        <v>100</v>
      </c>
      <c r="L15" s="17"/>
      <c r="M15" s="7">
        <v>2020</v>
      </c>
      <c r="N15" s="14">
        <v>50</v>
      </c>
      <c r="O15" s="17"/>
      <c r="P15" s="7">
        <v>2020</v>
      </c>
      <c r="Q15" s="14">
        <v>33</v>
      </c>
      <c r="R15" s="17"/>
      <c r="S15" s="7">
        <v>2020</v>
      </c>
      <c r="T15" s="80">
        <v>0</v>
      </c>
      <c r="U15" s="17"/>
      <c r="V15" s="7">
        <v>2020</v>
      </c>
      <c r="W15" s="14">
        <v>0</v>
      </c>
      <c r="X15" s="17"/>
      <c r="Y15" s="7">
        <v>2020</v>
      </c>
      <c r="Z15" s="14">
        <v>0</v>
      </c>
      <c r="AA15" s="17"/>
      <c r="AB15" s="7">
        <v>2020</v>
      </c>
      <c r="AC15" s="21">
        <v>50</v>
      </c>
      <c r="AD15" s="23"/>
    </row>
    <row r="16" spans="1:81" ht="24.75" customHeight="1">
      <c r="A16" s="7">
        <v>2021</v>
      </c>
      <c r="B16" s="15">
        <f>AVERAGE(E16, H16,K16,N16,Q16,T16,W16,Z16,AC16)</f>
        <v>37</v>
      </c>
      <c r="C16" s="16"/>
      <c r="D16" s="7">
        <v>2021</v>
      </c>
      <c r="E16" s="14">
        <v>50</v>
      </c>
      <c r="F16" s="17"/>
      <c r="G16" s="7">
        <v>2021</v>
      </c>
      <c r="H16" s="14">
        <v>50</v>
      </c>
      <c r="I16" s="17"/>
      <c r="J16" s="7">
        <v>2021</v>
      </c>
      <c r="K16" s="14">
        <v>100</v>
      </c>
      <c r="L16" s="17"/>
      <c r="M16" s="7">
        <v>2021</v>
      </c>
      <c r="N16" s="14">
        <v>50</v>
      </c>
      <c r="O16" s="17"/>
      <c r="P16" s="7">
        <v>2021</v>
      </c>
      <c r="Q16" s="14">
        <v>33</v>
      </c>
      <c r="R16" s="17"/>
      <c r="S16" s="7">
        <v>2021</v>
      </c>
      <c r="T16" s="80">
        <v>0</v>
      </c>
      <c r="U16" s="17"/>
      <c r="V16" s="7">
        <v>2021</v>
      </c>
      <c r="W16" s="14">
        <v>0</v>
      </c>
      <c r="X16" s="17"/>
      <c r="Y16" s="7">
        <v>2021</v>
      </c>
      <c r="Z16" s="14">
        <v>0</v>
      </c>
      <c r="AA16" s="17"/>
      <c r="AB16" s="7">
        <v>2021</v>
      </c>
      <c r="AC16" s="21">
        <v>50</v>
      </c>
      <c r="AD16" s="23"/>
    </row>
    <row r="17" spans="1:51" ht="24.75" customHeight="1">
      <c r="A17" s="7">
        <v>2022</v>
      </c>
      <c r="B17" s="15">
        <f>AVERAGE(E17, H17,K17,N17,Q17,T17,W17,Z17,AC17)</f>
        <v>37</v>
      </c>
      <c r="C17" s="16"/>
      <c r="D17" s="7">
        <v>2022</v>
      </c>
      <c r="E17" s="14">
        <v>50</v>
      </c>
      <c r="F17" s="17"/>
      <c r="G17" s="7">
        <v>2022</v>
      </c>
      <c r="H17" s="14">
        <v>50</v>
      </c>
      <c r="I17" s="17"/>
      <c r="J17" s="7">
        <v>2022</v>
      </c>
      <c r="K17" s="14">
        <v>100</v>
      </c>
      <c r="L17" s="17"/>
      <c r="M17" s="7">
        <v>2022</v>
      </c>
      <c r="N17" s="14">
        <v>50</v>
      </c>
      <c r="O17" s="17"/>
      <c r="P17" s="7">
        <v>2022</v>
      </c>
      <c r="Q17" s="14">
        <v>33</v>
      </c>
      <c r="R17" s="17"/>
      <c r="S17" s="7">
        <v>2022</v>
      </c>
      <c r="T17" s="80">
        <v>0</v>
      </c>
      <c r="U17" s="17"/>
      <c r="V17" s="7">
        <v>2022</v>
      </c>
      <c r="W17" s="14">
        <v>0</v>
      </c>
      <c r="X17" s="17"/>
      <c r="Y17" s="7">
        <v>2022</v>
      </c>
      <c r="Z17" s="14">
        <v>0</v>
      </c>
      <c r="AA17" s="17"/>
      <c r="AB17" s="7">
        <v>2022</v>
      </c>
      <c r="AC17" s="21">
        <v>50</v>
      </c>
      <c r="AD17" s="23"/>
    </row>
    <row r="18" spans="1:51" ht="24.75" customHeight="1">
      <c r="A18" s="7">
        <v>2023</v>
      </c>
      <c r="B18" s="15">
        <f>AVERAGE(E18, H18,K18,N18,Q18,T18,W18,Z18,AC18)</f>
        <v>37</v>
      </c>
      <c r="C18" s="16"/>
      <c r="D18" s="7">
        <v>2023</v>
      </c>
      <c r="E18" s="14">
        <v>50</v>
      </c>
      <c r="F18" s="17"/>
      <c r="G18" s="7">
        <v>2023</v>
      </c>
      <c r="H18" s="14">
        <v>50</v>
      </c>
      <c r="I18" s="17"/>
      <c r="J18" s="7">
        <v>2023</v>
      </c>
      <c r="K18" s="14">
        <v>100</v>
      </c>
      <c r="L18" s="17"/>
      <c r="M18" s="7">
        <v>2023</v>
      </c>
      <c r="N18" s="14">
        <v>50</v>
      </c>
      <c r="O18" s="17"/>
      <c r="P18" s="7">
        <v>2023</v>
      </c>
      <c r="Q18" s="14">
        <v>33</v>
      </c>
      <c r="R18" s="17"/>
      <c r="S18" s="7">
        <v>2023</v>
      </c>
      <c r="T18" s="80">
        <v>0</v>
      </c>
      <c r="U18" s="17"/>
      <c r="V18" s="7">
        <v>2023</v>
      </c>
      <c r="W18" s="14">
        <v>0</v>
      </c>
      <c r="X18" s="17"/>
      <c r="Y18" s="7">
        <v>2023</v>
      </c>
      <c r="Z18" s="14">
        <v>0</v>
      </c>
      <c r="AA18" s="17"/>
      <c r="AB18" s="7">
        <v>2023</v>
      </c>
      <c r="AC18" s="21">
        <v>50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c r="L24" s="325"/>
      <c r="M24" s="27" t="s">
        <v>30</v>
      </c>
      <c r="N24" s="325" t="s">
        <v>96</v>
      </c>
      <c r="O24" s="325"/>
      <c r="P24" s="27" t="s">
        <v>30</v>
      </c>
      <c r="Q24" s="325" t="s">
        <v>97</v>
      </c>
      <c r="R24" s="325"/>
      <c r="S24" s="27" t="s">
        <v>30</v>
      </c>
      <c r="T24" s="325"/>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297" t="s">
        <v>108</v>
      </c>
      <c r="L25" s="298"/>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58.333333333333336</v>
      </c>
      <c r="C27" s="16"/>
      <c r="D27" s="7">
        <v>2020</v>
      </c>
      <c r="E27" s="21">
        <v>100</v>
      </c>
      <c r="F27" s="17"/>
      <c r="G27" s="7">
        <v>2020</v>
      </c>
      <c r="H27" s="14">
        <v>75</v>
      </c>
      <c r="I27" s="17" t="s">
        <v>1211</v>
      </c>
      <c r="J27" s="7">
        <v>2020</v>
      </c>
      <c r="K27" s="14">
        <v>100</v>
      </c>
      <c r="L27" s="17"/>
      <c r="M27" s="7">
        <v>2020</v>
      </c>
      <c r="N27" s="14">
        <v>100</v>
      </c>
      <c r="O27" s="17" t="s">
        <v>1212</v>
      </c>
      <c r="P27" s="7">
        <v>2020</v>
      </c>
      <c r="Q27" s="14">
        <v>100</v>
      </c>
      <c r="R27" s="17" t="s">
        <v>1212</v>
      </c>
      <c r="S27" s="7">
        <v>2020</v>
      </c>
      <c r="T27" s="14">
        <v>100</v>
      </c>
      <c r="U27" s="17"/>
      <c r="V27" s="7">
        <v>2020</v>
      </c>
      <c r="W27" s="14">
        <v>100</v>
      </c>
      <c r="X27" s="17" t="s">
        <v>1212</v>
      </c>
      <c r="Y27" s="7">
        <v>2020</v>
      </c>
      <c r="Z27" s="14">
        <v>100</v>
      </c>
      <c r="AA27" s="17"/>
      <c r="AB27" s="7">
        <v>2020</v>
      </c>
      <c r="AC27" s="14">
        <v>100</v>
      </c>
      <c r="AD27" s="17" t="s">
        <v>1212</v>
      </c>
      <c r="AE27" s="7">
        <v>2020</v>
      </c>
      <c r="AF27" s="31">
        <f>0.67*AI27+0.33*AL27</f>
        <v>50</v>
      </c>
      <c r="AG27" s="17"/>
      <c r="AH27" s="7">
        <v>2020</v>
      </c>
      <c r="AI27" s="14">
        <v>50</v>
      </c>
      <c r="AJ27" s="17"/>
      <c r="AK27" s="7">
        <v>2020</v>
      </c>
      <c r="AL27" s="14">
        <v>50</v>
      </c>
      <c r="AM27" s="17"/>
      <c r="AN27" s="7">
        <v>2020</v>
      </c>
      <c r="AO27" s="14">
        <v>50</v>
      </c>
      <c r="AP27" s="17"/>
      <c r="AQ27" s="7">
        <v>2020</v>
      </c>
      <c r="AR27" s="14">
        <v>0</v>
      </c>
      <c r="AS27" s="17"/>
      <c r="AT27" s="7">
        <v>2020</v>
      </c>
      <c r="AU27" s="14">
        <v>50</v>
      </c>
      <c r="AV27" s="17"/>
      <c r="AW27" s="7">
        <v>2020</v>
      </c>
      <c r="AX27" s="14">
        <v>0</v>
      </c>
      <c r="AY27" s="23"/>
    </row>
    <row r="28" spans="1:51" ht="24.75" customHeight="1">
      <c r="A28" s="7">
        <v>2021</v>
      </c>
      <c r="B28" s="15">
        <f>AVERAGE(E28,H28,K28,T28,AF28,AO28,AU28,AX28,AR28)</f>
        <v>58.333333333333336</v>
      </c>
      <c r="C28" s="15"/>
      <c r="D28" s="7">
        <v>2021</v>
      </c>
      <c r="E28" s="21">
        <v>100</v>
      </c>
      <c r="F28" s="17"/>
      <c r="G28" s="7">
        <v>2021</v>
      </c>
      <c r="H28" s="14">
        <v>75</v>
      </c>
      <c r="I28" s="17" t="s">
        <v>1211</v>
      </c>
      <c r="J28" s="7">
        <v>2021</v>
      </c>
      <c r="K28" s="14">
        <v>100</v>
      </c>
      <c r="L28" s="17"/>
      <c r="M28" s="7">
        <v>2021</v>
      </c>
      <c r="N28" s="14">
        <v>100</v>
      </c>
      <c r="O28" s="17" t="s">
        <v>1212</v>
      </c>
      <c r="P28" s="7">
        <v>2021</v>
      </c>
      <c r="Q28" s="14">
        <v>100</v>
      </c>
      <c r="R28" s="17" t="s">
        <v>1212</v>
      </c>
      <c r="S28" s="7">
        <v>2021</v>
      </c>
      <c r="T28" s="14">
        <v>100</v>
      </c>
      <c r="U28" s="17"/>
      <c r="V28" s="7">
        <v>2021</v>
      </c>
      <c r="W28" s="14">
        <v>100</v>
      </c>
      <c r="X28" s="17" t="s">
        <v>1212</v>
      </c>
      <c r="Y28" s="7">
        <v>2021</v>
      </c>
      <c r="Z28" s="14">
        <v>100</v>
      </c>
      <c r="AA28" s="17"/>
      <c r="AB28" s="7">
        <v>2021</v>
      </c>
      <c r="AC28" s="14">
        <v>100</v>
      </c>
      <c r="AD28" s="17" t="s">
        <v>1212</v>
      </c>
      <c r="AE28" s="7">
        <v>2021</v>
      </c>
      <c r="AF28" s="31">
        <f>0.67*AI28+0.33*AL28</f>
        <v>50</v>
      </c>
      <c r="AG28" s="17"/>
      <c r="AH28" s="7">
        <v>2021</v>
      </c>
      <c r="AI28" s="14">
        <v>50</v>
      </c>
      <c r="AJ28" s="17"/>
      <c r="AK28" s="7">
        <v>2021</v>
      </c>
      <c r="AL28" s="14">
        <v>50</v>
      </c>
      <c r="AM28" s="17"/>
      <c r="AN28" s="7">
        <v>2021</v>
      </c>
      <c r="AO28" s="14">
        <v>50</v>
      </c>
      <c r="AP28" s="17"/>
      <c r="AQ28" s="7">
        <v>2021</v>
      </c>
      <c r="AR28" s="14">
        <v>0</v>
      </c>
      <c r="AS28" s="17"/>
      <c r="AT28" s="7">
        <v>2021</v>
      </c>
      <c r="AU28" s="14">
        <v>50</v>
      </c>
      <c r="AV28" s="17"/>
      <c r="AW28" s="7">
        <v>2021</v>
      </c>
      <c r="AX28" s="14">
        <v>0</v>
      </c>
      <c r="AY28" s="23"/>
    </row>
    <row r="29" spans="1:51" ht="24.75" customHeight="1">
      <c r="A29" s="7">
        <v>2022</v>
      </c>
      <c r="B29" s="15">
        <f>AVERAGE(E29,H29,K29,T29,AF29,AO29,AU29,AX29,AR29)</f>
        <v>58.333333333333336</v>
      </c>
      <c r="C29" s="15"/>
      <c r="D29" s="7">
        <v>2022</v>
      </c>
      <c r="E29" s="21">
        <v>100</v>
      </c>
      <c r="F29" s="17"/>
      <c r="G29" s="7">
        <v>2022</v>
      </c>
      <c r="H29" s="14">
        <v>75</v>
      </c>
      <c r="I29" s="17" t="s">
        <v>1211</v>
      </c>
      <c r="J29" s="7">
        <v>2022</v>
      </c>
      <c r="K29" s="14">
        <v>100</v>
      </c>
      <c r="L29" s="17"/>
      <c r="M29" s="7">
        <v>2022</v>
      </c>
      <c r="N29" s="14">
        <v>100</v>
      </c>
      <c r="O29" s="17" t="s">
        <v>1212</v>
      </c>
      <c r="P29" s="7">
        <v>2022</v>
      </c>
      <c r="Q29" s="14">
        <v>100</v>
      </c>
      <c r="R29" s="17" t="s">
        <v>1212</v>
      </c>
      <c r="S29" s="7">
        <v>2022</v>
      </c>
      <c r="T29" s="14">
        <v>100</v>
      </c>
      <c r="U29" s="17"/>
      <c r="V29" s="7">
        <v>2022</v>
      </c>
      <c r="W29" s="14">
        <v>100</v>
      </c>
      <c r="X29" s="17" t="s">
        <v>1212</v>
      </c>
      <c r="Y29" s="7">
        <v>2022</v>
      </c>
      <c r="Z29" s="14">
        <v>100</v>
      </c>
      <c r="AA29" s="17"/>
      <c r="AB29" s="7">
        <v>2022</v>
      </c>
      <c r="AC29" s="14">
        <v>100</v>
      </c>
      <c r="AD29" s="17" t="s">
        <v>1212</v>
      </c>
      <c r="AE29" s="7">
        <v>2022</v>
      </c>
      <c r="AF29" s="31">
        <f>0.67*AI29+0.33*AL29</f>
        <v>50</v>
      </c>
      <c r="AG29" s="17"/>
      <c r="AH29" s="7">
        <v>2022</v>
      </c>
      <c r="AI29" s="14">
        <v>50</v>
      </c>
      <c r="AJ29" s="17"/>
      <c r="AK29" s="7">
        <v>2022</v>
      </c>
      <c r="AL29" s="14">
        <v>50</v>
      </c>
      <c r="AM29" s="17"/>
      <c r="AN29" s="7">
        <v>2022</v>
      </c>
      <c r="AO29" s="14">
        <v>50</v>
      </c>
      <c r="AP29" s="17"/>
      <c r="AQ29" s="7">
        <v>2022</v>
      </c>
      <c r="AR29" s="14">
        <v>0</v>
      </c>
      <c r="AS29" s="17"/>
      <c r="AT29" s="7">
        <v>2022</v>
      </c>
      <c r="AU29" s="14">
        <v>50</v>
      </c>
      <c r="AV29" s="17"/>
      <c r="AW29" s="7">
        <v>2022</v>
      </c>
      <c r="AX29" s="14">
        <v>0</v>
      </c>
      <c r="AY29" s="23"/>
    </row>
    <row r="30" spans="1:51" ht="24.75" customHeight="1">
      <c r="A30" s="7">
        <v>2023</v>
      </c>
      <c r="B30" s="15">
        <f>AVERAGE(E30,H30,K30,T30,AF30,AO30,AU30,AX30,AR30)</f>
        <v>58.333333333333336</v>
      </c>
      <c r="C30" s="15"/>
      <c r="D30" s="7">
        <v>2023</v>
      </c>
      <c r="E30" s="21">
        <v>100</v>
      </c>
      <c r="F30" s="17"/>
      <c r="G30" s="7">
        <v>2023</v>
      </c>
      <c r="H30" s="14">
        <v>75</v>
      </c>
      <c r="I30" s="17" t="s">
        <v>1211</v>
      </c>
      <c r="J30" s="7">
        <v>2023</v>
      </c>
      <c r="K30" s="14">
        <v>100</v>
      </c>
      <c r="L30" s="17"/>
      <c r="M30" s="7">
        <v>2023</v>
      </c>
      <c r="N30" s="14">
        <v>100</v>
      </c>
      <c r="O30" s="17" t="s">
        <v>1212</v>
      </c>
      <c r="P30" s="7">
        <v>2023</v>
      </c>
      <c r="Q30" s="14">
        <v>100</v>
      </c>
      <c r="R30" s="17" t="s">
        <v>1212</v>
      </c>
      <c r="S30" s="7">
        <v>2023</v>
      </c>
      <c r="T30" s="14">
        <v>100</v>
      </c>
      <c r="U30" s="17"/>
      <c r="V30" s="7">
        <v>2023</v>
      </c>
      <c r="W30" s="14">
        <v>100</v>
      </c>
      <c r="X30" s="17" t="s">
        <v>1212</v>
      </c>
      <c r="Y30" s="7">
        <v>2023</v>
      </c>
      <c r="Z30" s="14">
        <v>100</v>
      </c>
      <c r="AA30" s="17"/>
      <c r="AB30" s="7">
        <v>2023</v>
      </c>
      <c r="AC30" s="14">
        <v>100</v>
      </c>
      <c r="AD30" s="17" t="s">
        <v>1212</v>
      </c>
      <c r="AE30" s="7">
        <v>2023</v>
      </c>
      <c r="AF30" s="31">
        <f>0.67*AI30+0.33*AL30</f>
        <v>50</v>
      </c>
      <c r="AG30" s="17"/>
      <c r="AH30" s="7">
        <v>2023</v>
      </c>
      <c r="AI30" s="14">
        <v>50</v>
      </c>
      <c r="AJ30" s="17"/>
      <c r="AK30" s="7">
        <v>2023</v>
      </c>
      <c r="AL30" s="14">
        <v>50</v>
      </c>
      <c r="AM30" s="17"/>
      <c r="AN30" s="7">
        <v>2023</v>
      </c>
      <c r="AO30" s="14">
        <v>50</v>
      </c>
      <c r="AP30" s="17"/>
      <c r="AQ30" s="7">
        <v>2023</v>
      </c>
      <c r="AR30" s="14">
        <v>0</v>
      </c>
      <c r="AS30" s="17"/>
      <c r="AT30" s="7">
        <v>2023</v>
      </c>
      <c r="AU30" s="14">
        <v>50</v>
      </c>
      <c r="AV30" s="17"/>
      <c r="AW30" s="7">
        <v>2023</v>
      </c>
      <c r="AX30" s="14">
        <v>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297" t="s">
        <v>172</v>
      </c>
      <c r="AG37" s="298"/>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0</v>
      </c>
      <c r="C39" s="16"/>
      <c r="D39" s="7">
        <v>2020</v>
      </c>
      <c r="E39" s="14">
        <v>0</v>
      </c>
      <c r="F39" s="17" t="s">
        <v>1213</v>
      </c>
      <c r="G39" s="7">
        <v>2020</v>
      </c>
      <c r="H39" s="14">
        <v>0</v>
      </c>
      <c r="I39" s="17"/>
      <c r="J39" s="7">
        <v>2020</v>
      </c>
      <c r="K39" s="14">
        <v>0</v>
      </c>
      <c r="L39" s="17"/>
      <c r="M39" s="7">
        <v>2020</v>
      </c>
      <c r="N39" s="31">
        <f>AVERAGE(Q39,T39,W39)</f>
        <v>0</v>
      </c>
      <c r="O39" s="14"/>
      <c r="P39" s="7">
        <v>2020</v>
      </c>
      <c r="Q39" s="14">
        <v>0</v>
      </c>
      <c r="R39" s="17"/>
      <c r="S39" s="7">
        <v>2020</v>
      </c>
      <c r="T39" s="14">
        <v>0</v>
      </c>
      <c r="U39" s="17"/>
      <c r="V39" s="7">
        <v>2020</v>
      </c>
      <c r="W39" s="14">
        <v>0</v>
      </c>
      <c r="X39" s="17"/>
      <c r="Y39" s="7">
        <v>2020</v>
      </c>
      <c r="Z39" s="14">
        <v>0</v>
      </c>
      <c r="AA39" s="17"/>
      <c r="AB39" s="7">
        <v>2020</v>
      </c>
      <c r="AC39" s="14">
        <v>0</v>
      </c>
      <c r="AD39" s="17"/>
      <c r="AE39" s="7">
        <v>2020</v>
      </c>
      <c r="AF39" s="14">
        <v>0</v>
      </c>
      <c r="AG39" s="14"/>
      <c r="AH39" s="7">
        <v>2020</v>
      </c>
      <c r="AI39" s="21">
        <v>0</v>
      </c>
      <c r="AJ39" s="17"/>
      <c r="AK39" s="7">
        <v>2020</v>
      </c>
      <c r="AL39" s="14">
        <v>0</v>
      </c>
      <c r="AM39" s="23"/>
    </row>
    <row r="40" spans="1:39" ht="24.75" customHeight="1">
      <c r="A40" s="7">
        <v>2021</v>
      </c>
      <c r="B40" s="16">
        <f>AVERAGE(E40,H40,K40,N40,Z40,AC40,AF40)</f>
        <v>0</v>
      </c>
      <c r="C40" s="16"/>
      <c r="D40" s="7">
        <v>2021</v>
      </c>
      <c r="E40" s="14">
        <v>0</v>
      </c>
      <c r="F40" s="17" t="s">
        <v>1213</v>
      </c>
      <c r="G40" s="7">
        <v>2021</v>
      </c>
      <c r="H40" s="14">
        <v>0</v>
      </c>
      <c r="I40" s="17"/>
      <c r="J40" s="7">
        <v>2021</v>
      </c>
      <c r="K40" s="14">
        <v>0</v>
      </c>
      <c r="L40" s="17"/>
      <c r="M40" s="7">
        <v>2021</v>
      </c>
      <c r="N40" s="31">
        <f>AVERAGE(Q40,T40,W40)</f>
        <v>0</v>
      </c>
      <c r="O40" s="14"/>
      <c r="P40" s="7">
        <v>2021</v>
      </c>
      <c r="Q40" s="14">
        <v>0</v>
      </c>
      <c r="R40" s="17"/>
      <c r="S40" s="7">
        <v>2021</v>
      </c>
      <c r="T40" s="14">
        <v>0</v>
      </c>
      <c r="U40" s="17"/>
      <c r="V40" s="7">
        <v>2021</v>
      </c>
      <c r="W40" s="14">
        <v>0</v>
      </c>
      <c r="X40" s="17"/>
      <c r="Y40" s="7">
        <v>2021</v>
      </c>
      <c r="Z40" s="14">
        <v>0</v>
      </c>
      <c r="AA40" s="17"/>
      <c r="AB40" s="7">
        <v>2021</v>
      </c>
      <c r="AC40" s="14">
        <v>0</v>
      </c>
      <c r="AD40" s="17"/>
      <c r="AE40" s="7">
        <v>2021</v>
      </c>
      <c r="AF40" s="14">
        <v>0</v>
      </c>
      <c r="AG40" s="14"/>
      <c r="AH40" s="7">
        <v>2021</v>
      </c>
      <c r="AI40" s="21">
        <v>0</v>
      </c>
      <c r="AJ40" s="17"/>
      <c r="AK40" s="7">
        <v>2021</v>
      </c>
      <c r="AL40" s="14">
        <v>0</v>
      </c>
      <c r="AM40" s="23"/>
    </row>
    <row r="41" spans="1:39" ht="24.75" customHeight="1">
      <c r="A41" s="7">
        <v>2022</v>
      </c>
      <c r="B41" s="16">
        <f>AVERAGE(E41,H41,K41,N41,Z41,AC41,AF41)</f>
        <v>0</v>
      </c>
      <c r="C41" s="16"/>
      <c r="D41" s="7">
        <v>2022</v>
      </c>
      <c r="E41" s="14">
        <v>0</v>
      </c>
      <c r="F41" s="17" t="s">
        <v>1213</v>
      </c>
      <c r="G41" s="7">
        <v>2022</v>
      </c>
      <c r="H41" s="14">
        <v>0</v>
      </c>
      <c r="I41" s="17"/>
      <c r="J41" s="7">
        <v>2022</v>
      </c>
      <c r="K41" s="14">
        <v>0</v>
      </c>
      <c r="L41" s="17"/>
      <c r="M41" s="7">
        <v>2022</v>
      </c>
      <c r="N41" s="31">
        <f>AVERAGE(Q41,T41,W41)</f>
        <v>0</v>
      </c>
      <c r="O41" s="14"/>
      <c r="P41" s="7">
        <v>2022</v>
      </c>
      <c r="Q41" s="14">
        <v>0</v>
      </c>
      <c r="R41" s="17"/>
      <c r="S41" s="7">
        <v>2022</v>
      </c>
      <c r="T41" s="14">
        <v>0</v>
      </c>
      <c r="U41" s="17"/>
      <c r="V41" s="7">
        <v>2022</v>
      </c>
      <c r="W41" s="14">
        <v>0</v>
      </c>
      <c r="X41" s="17"/>
      <c r="Y41" s="7">
        <v>2022</v>
      </c>
      <c r="Z41" s="14">
        <v>0</v>
      </c>
      <c r="AA41" s="17"/>
      <c r="AB41" s="7">
        <v>2022</v>
      </c>
      <c r="AC41" s="14">
        <v>0</v>
      </c>
      <c r="AD41" s="17"/>
      <c r="AE41" s="7">
        <v>2022</v>
      </c>
      <c r="AF41" s="14">
        <v>0</v>
      </c>
      <c r="AG41" s="14"/>
      <c r="AH41" s="7">
        <v>2022</v>
      </c>
      <c r="AI41" s="21">
        <v>0</v>
      </c>
      <c r="AJ41" s="17"/>
      <c r="AK41" s="7">
        <v>2022</v>
      </c>
      <c r="AL41" s="14">
        <v>0</v>
      </c>
      <c r="AM41" s="23"/>
    </row>
    <row r="42" spans="1:39" ht="24.75" customHeight="1">
      <c r="A42" s="7">
        <v>2023</v>
      </c>
      <c r="B42" s="16">
        <f>AVERAGE(E42,H42,K42,N42,Z42,AC42,AF42)</f>
        <v>0</v>
      </c>
      <c r="C42" s="16"/>
      <c r="D42" s="7">
        <v>2023</v>
      </c>
      <c r="E42" s="14">
        <v>0</v>
      </c>
      <c r="F42" s="17" t="s">
        <v>1213</v>
      </c>
      <c r="G42" s="7">
        <v>2023</v>
      </c>
      <c r="H42" s="14">
        <v>0</v>
      </c>
      <c r="I42" s="17"/>
      <c r="J42" s="7">
        <v>2023</v>
      </c>
      <c r="K42" s="14">
        <v>0</v>
      </c>
      <c r="L42" s="17"/>
      <c r="M42" s="7">
        <v>2023</v>
      </c>
      <c r="N42" s="31">
        <f>AVERAGE(Q42,T42,W42)</f>
        <v>0</v>
      </c>
      <c r="O42" s="14"/>
      <c r="P42" s="7">
        <v>2023</v>
      </c>
      <c r="Q42" s="14">
        <v>0</v>
      </c>
      <c r="R42" s="17"/>
      <c r="S42" s="7">
        <v>2023</v>
      </c>
      <c r="T42" s="14">
        <v>0</v>
      </c>
      <c r="U42" s="17"/>
      <c r="V42" s="7">
        <v>2023</v>
      </c>
      <c r="W42" s="14">
        <v>0</v>
      </c>
      <c r="X42" s="17"/>
      <c r="Y42" s="7">
        <v>2023</v>
      </c>
      <c r="Z42" s="14">
        <v>0</v>
      </c>
      <c r="AA42" s="17"/>
      <c r="AB42" s="7">
        <v>2023</v>
      </c>
      <c r="AC42" s="14">
        <v>0</v>
      </c>
      <c r="AD42" s="17"/>
      <c r="AE42" s="7">
        <v>2023</v>
      </c>
      <c r="AF42" s="14">
        <v>0</v>
      </c>
      <c r="AG42" s="14"/>
      <c r="AH42" s="7">
        <v>2023</v>
      </c>
      <c r="AI42" s="21">
        <v>0</v>
      </c>
      <c r="AJ42" s="17"/>
      <c r="AK42" s="7">
        <v>2023</v>
      </c>
      <c r="AL42" s="14">
        <v>0</v>
      </c>
      <c r="AM42" s="23"/>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AVERAGE(E51,H51,K51,N51,Q51)</f>
        <v>15</v>
      </c>
      <c r="C51" s="16"/>
      <c r="D51" s="7">
        <v>2020</v>
      </c>
      <c r="E51" s="14">
        <v>25</v>
      </c>
      <c r="F51" s="17"/>
      <c r="G51" s="7">
        <v>2020</v>
      </c>
      <c r="H51" s="34">
        <v>50</v>
      </c>
      <c r="I51" s="20"/>
      <c r="J51" s="7">
        <v>2020</v>
      </c>
      <c r="K51" s="14">
        <v>0</v>
      </c>
      <c r="L51" s="17"/>
      <c r="M51" s="7">
        <v>2020</v>
      </c>
      <c r="N51" s="14">
        <v>0</v>
      </c>
      <c r="O51" s="17"/>
      <c r="P51" s="7">
        <v>2020</v>
      </c>
      <c r="Q51" s="14">
        <v>0</v>
      </c>
      <c r="R51" s="23"/>
    </row>
    <row r="52" spans="1:24" ht="24.75" customHeight="1">
      <c r="A52" s="7">
        <v>2021</v>
      </c>
      <c r="B52" s="15">
        <f>AVERAGE(E52,H52,K52,N52,Q52)</f>
        <v>15</v>
      </c>
      <c r="C52" s="15"/>
      <c r="D52" s="7">
        <v>2021</v>
      </c>
      <c r="E52" s="14">
        <v>25</v>
      </c>
      <c r="F52" s="17"/>
      <c r="G52" s="7">
        <v>2021</v>
      </c>
      <c r="H52" s="34">
        <v>50</v>
      </c>
      <c r="I52" s="17"/>
      <c r="J52" s="7">
        <v>2021</v>
      </c>
      <c r="K52" s="14">
        <v>0</v>
      </c>
      <c r="L52" s="17"/>
      <c r="M52" s="7">
        <v>2021</v>
      </c>
      <c r="N52" s="14">
        <v>0</v>
      </c>
      <c r="O52" s="17"/>
      <c r="P52" s="7">
        <v>2021</v>
      </c>
      <c r="Q52" s="14">
        <v>0</v>
      </c>
      <c r="R52" s="23"/>
    </row>
    <row r="53" spans="1:24" ht="24.75" customHeight="1">
      <c r="A53" s="7">
        <v>2022</v>
      </c>
      <c r="B53" s="15">
        <f>AVERAGE(E53,H53,K53,N53,Q53)</f>
        <v>15</v>
      </c>
      <c r="C53" s="15"/>
      <c r="D53" s="7">
        <v>2022</v>
      </c>
      <c r="E53" s="14">
        <v>25</v>
      </c>
      <c r="F53" s="17"/>
      <c r="G53" s="7">
        <v>2022</v>
      </c>
      <c r="H53" s="34">
        <v>50</v>
      </c>
      <c r="I53" s="17"/>
      <c r="J53" s="7">
        <v>2022</v>
      </c>
      <c r="K53" s="21">
        <v>0</v>
      </c>
      <c r="L53" s="17"/>
      <c r="M53" s="7">
        <v>2022</v>
      </c>
      <c r="N53" s="14">
        <v>0</v>
      </c>
      <c r="O53" s="17"/>
      <c r="P53" s="7">
        <v>2022</v>
      </c>
      <c r="Q53" s="14">
        <v>0</v>
      </c>
      <c r="R53" s="23"/>
    </row>
    <row r="54" spans="1:24" ht="24.75" customHeight="1">
      <c r="A54" s="7">
        <v>2023</v>
      </c>
      <c r="B54" s="15">
        <f>AVERAGE(E54,H54,K54,N54,Q54)</f>
        <v>15</v>
      </c>
      <c r="C54" s="15"/>
      <c r="D54" s="7">
        <v>2023</v>
      </c>
      <c r="E54" s="14">
        <v>25</v>
      </c>
      <c r="F54" s="17"/>
      <c r="G54" s="7">
        <v>2023</v>
      </c>
      <c r="H54" s="34">
        <v>50</v>
      </c>
      <c r="I54" s="17"/>
      <c r="J54" s="7">
        <v>2023</v>
      </c>
      <c r="K54" s="14">
        <v>0</v>
      </c>
      <c r="L54" s="17"/>
      <c r="M54" s="7">
        <v>2023</v>
      </c>
      <c r="N54" s="14">
        <v>0</v>
      </c>
      <c r="O54" s="17"/>
      <c r="P54" s="7">
        <v>2023</v>
      </c>
      <c r="Q54" s="14">
        <v>0</v>
      </c>
      <c r="R54" s="2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AVERAGE(E63,((H63+K63)/2),((N63+Q63+T63)/3),W63)</f>
        <v>81.25</v>
      </c>
      <c r="C63" s="16"/>
      <c r="D63" s="7">
        <v>2020</v>
      </c>
      <c r="E63" s="21">
        <v>100</v>
      </c>
      <c r="F63" s="17" t="s">
        <v>1214</v>
      </c>
      <c r="G63" s="7">
        <v>2020</v>
      </c>
      <c r="H63" s="14">
        <v>100</v>
      </c>
      <c r="I63" s="17" t="s">
        <v>1212</v>
      </c>
      <c r="J63" s="7">
        <v>2020</v>
      </c>
      <c r="K63" s="14">
        <v>50</v>
      </c>
      <c r="L63" s="17"/>
      <c r="M63" s="7">
        <v>2020</v>
      </c>
      <c r="N63" s="14">
        <v>100</v>
      </c>
      <c r="O63" s="17"/>
      <c r="P63" s="7">
        <v>2020</v>
      </c>
      <c r="Q63" s="14">
        <v>50</v>
      </c>
      <c r="R63" s="17" t="s">
        <v>1215</v>
      </c>
      <c r="S63" s="7">
        <v>2020</v>
      </c>
      <c r="T63" s="14">
        <v>0</v>
      </c>
      <c r="U63" s="17"/>
      <c r="V63" s="7">
        <v>2020</v>
      </c>
      <c r="W63" s="14">
        <v>100</v>
      </c>
      <c r="X63" s="23"/>
    </row>
    <row r="64" spans="1:24" ht="24.75" customHeight="1">
      <c r="A64" s="7">
        <v>2021</v>
      </c>
      <c r="B64" s="15">
        <f>AVERAGE(E64,((H64+K64)/2),((N64+Q64+T64)/3),W64)</f>
        <v>81.25</v>
      </c>
      <c r="C64" s="15"/>
      <c r="D64" s="7">
        <v>2021</v>
      </c>
      <c r="E64" s="21">
        <v>100</v>
      </c>
      <c r="F64" s="17" t="s">
        <v>1216</v>
      </c>
      <c r="G64" s="7">
        <v>2021</v>
      </c>
      <c r="H64" s="14">
        <v>100</v>
      </c>
      <c r="I64" s="17" t="s">
        <v>1212</v>
      </c>
      <c r="J64" s="7">
        <v>2021</v>
      </c>
      <c r="K64" s="14">
        <v>50</v>
      </c>
      <c r="L64" s="17"/>
      <c r="M64" s="7">
        <v>2021</v>
      </c>
      <c r="N64" s="14">
        <v>100</v>
      </c>
      <c r="O64" s="17"/>
      <c r="P64" s="7">
        <v>2021</v>
      </c>
      <c r="Q64" s="14">
        <v>50</v>
      </c>
      <c r="R64" s="17" t="s">
        <v>1215</v>
      </c>
      <c r="S64" s="7">
        <v>2021</v>
      </c>
      <c r="T64" s="14">
        <v>0</v>
      </c>
      <c r="U64" s="17"/>
      <c r="V64" s="7">
        <v>2021</v>
      </c>
      <c r="W64" s="14">
        <v>100</v>
      </c>
      <c r="X64" s="23"/>
    </row>
    <row r="65" spans="1:33" ht="24.75" customHeight="1">
      <c r="A65" s="7">
        <v>2022</v>
      </c>
      <c r="B65" s="15">
        <f>AVERAGE(E65,((H65+K65)/2),((N65+Q65+T65)/3),W65)</f>
        <v>81.25</v>
      </c>
      <c r="C65" s="15"/>
      <c r="D65" s="7">
        <v>2022</v>
      </c>
      <c r="E65" s="21">
        <v>100</v>
      </c>
      <c r="F65" s="17" t="s">
        <v>1216</v>
      </c>
      <c r="G65" s="7">
        <v>2022</v>
      </c>
      <c r="H65" s="14">
        <v>100</v>
      </c>
      <c r="I65" s="17" t="s">
        <v>1212</v>
      </c>
      <c r="J65" s="7">
        <v>2022</v>
      </c>
      <c r="K65" s="14">
        <v>50</v>
      </c>
      <c r="L65" s="17"/>
      <c r="M65" s="7">
        <v>2022</v>
      </c>
      <c r="N65" s="14">
        <v>100</v>
      </c>
      <c r="O65" s="17"/>
      <c r="P65" s="7">
        <v>2022</v>
      </c>
      <c r="Q65" s="14">
        <v>50</v>
      </c>
      <c r="R65" s="17" t="s">
        <v>1215</v>
      </c>
      <c r="S65" s="7">
        <v>2022</v>
      </c>
      <c r="T65" s="14">
        <v>0</v>
      </c>
      <c r="U65" s="17"/>
      <c r="V65" s="7">
        <v>2022</v>
      </c>
      <c r="W65" s="14">
        <v>100</v>
      </c>
      <c r="X65" s="23"/>
    </row>
    <row r="66" spans="1:33" ht="24.75" customHeight="1">
      <c r="A66" s="7">
        <v>2023</v>
      </c>
      <c r="B66" s="15">
        <f>AVERAGE(E66,((H66+K66)/2),((N66+Q66+T66)/3),W66)</f>
        <v>81.25</v>
      </c>
      <c r="C66" s="15"/>
      <c r="D66" s="7">
        <v>2023</v>
      </c>
      <c r="E66" s="21">
        <v>100</v>
      </c>
      <c r="F66" s="17" t="s">
        <v>1216</v>
      </c>
      <c r="G66" s="7">
        <v>2023</v>
      </c>
      <c r="H66" s="14">
        <v>100</v>
      </c>
      <c r="I66" s="17" t="s">
        <v>1212</v>
      </c>
      <c r="J66" s="7">
        <v>2023</v>
      </c>
      <c r="K66" s="14">
        <v>50</v>
      </c>
      <c r="L66" s="17"/>
      <c r="M66" s="7">
        <v>2023</v>
      </c>
      <c r="N66" s="14">
        <v>100</v>
      </c>
      <c r="O66" s="17"/>
      <c r="P66" s="7">
        <v>2023</v>
      </c>
      <c r="Q66" s="14">
        <v>50</v>
      </c>
      <c r="R66" s="17" t="s">
        <v>1215</v>
      </c>
      <c r="S66" s="7">
        <v>2023</v>
      </c>
      <c r="T66" s="14">
        <v>0</v>
      </c>
      <c r="U66" s="17"/>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AVERAGE(E75,H75,K75,Z75)</f>
        <v>25</v>
      </c>
      <c r="C75" s="15"/>
      <c r="D75" s="7">
        <v>2020</v>
      </c>
      <c r="E75" s="14">
        <v>0</v>
      </c>
      <c r="F75" s="17"/>
      <c r="G75" s="7">
        <v>2020</v>
      </c>
      <c r="H75" s="14">
        <v>0</v>
      </c>
      <c r="I75" s="17"/>
      <c r="J75" s="7">
        <v>2020</v>
      </c>
      <c r="K75" s="31">
        <f>AVERAGE(N75,Q75,T75,W75)</f>
        <v>0</v>
      </c>
      <c r="L75" s="14"/>
      <c r="M75" s="7">
        <v>2020</v>
      </c>
      <c r="N75" s="21">
        <v>0</v>
      </c>
      <c r="O75" s="17"/>
      <c r="P75" s="7">
        <v>2020</v>
      </c>
      <c r="Q75" s="21">
        <v>0</v>
      </c>
      <c r="R75" s="17"/>
      <c r="S75" s="7">
        <v>2020</v>
      </c>
      <c r="T75" s="21">
        <v>0</v>
      </c>
      <c r="U75" s="17"/>
      <c r="V75" s="7">
        <v>2020</v>
      </c>
      <c r="W75" s="21">
        <v>0</v>
      </c>
      <c r="X75" s="17"/>
      <c r="Y75" s="7">
        <v>2020</v>
      </c>
      <c r="Z75" s="14">
        <v>100</v>
      </c>
      <c r="AA75" s="23"/>
    </row>
    <row r="76" spans="1:33" ht="24.75" customHeight="1">
      <c r="A76" s="7">
        <v>2021</v>
      </c>
      <c r="B76" s="15">
        <f>AVERAGE(E76,H76,K76,Z76)</f>
        <v>25</v>
      </c>
      <c r="C76" s="15"/>
      <c r="D76" s="7">
        <v>2021</v>
      </c>
      <c r="E76" s="14">
        <v>0</v>
      </c>
      <c r="F76" s="17"/>
      <c r="G76" s="7">
        <v>2021</v>
      </c>
      <c r="H76" s="14">
        <v>0</v>
      </c>
      <c r="I76" s="17"/>
      <c r="J76" s="7">
        <v>2021</v>
      </c>
      <c r="K76" s="31">
        <f>AVERAGE(N76,Q76,T76,W76)</f>
        <v>0</v>
      </c>
      <c r="L76" s="14"/>
      <c r="M76" s="7">
        <v>2021</v>
      </c>
      <c r="N76" s="21">
        <v>0</v>
      </c>
      <c r="O76" s="17"/>
      <c r="P76" s="7">
        <v>2021</v>
      </c>
      <c r="Q76" s="21">
        <v>0</v>
      </c>
      <c r="R76" s="17"/>
      <c r="S76" s="7">
        <v>2021</v>
      </c>
      <c r="T76" s="21">
        <v>0</v>
      </c>
      <c r="U76" s="17"/>
      <c r="V76" s="7">
        <v>2021</v>
      </c>
      <c r="W76" s="21">
        <v>0</v>
      </c>
      <c r="X76" s="17"/>
      <c r="Y76" s="7">
        <v>2021</v>
      </c>
      <c r="Z76" s="14">
        <v>100</v>
      </c>
      <c r="AA76" s="23"/>
    </row>
    <row r="77" spans="1:33" ht="24.75" customHeight="1">
      <c r="A77" s="7">
        <v>2022</v>
      </c>
      <c r="B77" s="15">
        <f>AVERAGE(E77,H77,K77,Z77)</f>
        <v>25</v>
      </c>
      <c r="C77" s="15"/>
      <c r="D77" s="7">
        <v>2022</v>
      </c>
      <c r="E77" s="14">
        <v>0</v>
      </c>
      <c r="F77" s="17"/>
      <c r="G77" s="7">
        <v>2022</v>
      </c>
      <c r="H77" s="14">
        <v>0</v>
      </c>
      <c r="I77" s="17"/>
      <c r="J77" s="7">
        <v>2022</v>
      </c>
      <c r="K77" s="31">
        <f>AVERAGE(N77,Q77,T77,W77)</f>
        <v>0</v>
      </c>
      <c r="L77" s="14"/>
      <c r="M77" s="7">
        <v>2022</v>
      </c>
      <c r="N77" s="21">
        <v>0</v>
      </c>
      <c r="O77" s="17"/>
      <c r="P77" s="7">
        <v>2022</v>
      </c>
      <c r="Q77" s="21">
        <v>0</v>
      </c>
      <c r="R77" s="17"/>
      <c r="S77" s="7">
        <v>2022</v>
      </c>
      <c r="T77" s="21">
        <v>0</v>
      </c>
      <c r="U77" s="17"/>
      <c r="V77" s="7">
        <v>2022</v>
      </c>
      <c r="W77" s="21">
        <v>0</v>
      </c>
      <c r="X77" s="17"/>
      <c r="Y77" s="7">
        <v>2022</v>
      </c>
      <c r="Z77" s="14">
        <v>100</v>
      </c>
      <c r="AA77" s="23"/>
    </row>
    <row r="78" spans="1:33" ht="24.75" customHeight="1">
      <c r="A78" s="7">
        <v>2023</v>
      </c>
      <c r="B78" s="15">
        <f>AVERAGE(E78,H78,K78,Z78)</f>
        <v>25</v>
      </c>
      <c r="C78" s="15"/>
      <c r="D78" s="7">
        <v>2023</v>
      </c>
      <c r="E78" s="14">
        <v>0</v>
      </c>
      <c r="F78" s="17"/>
      <c r="G78" s="7">
        <v>2023</v>
      </c>
      <c r="H78" s="14">
        <v>0</v>
      </c>
      <c r="I78" s="17"/>
      <c r="J78" s="7">
        <v>2023</v>
      </c>
      <c r="K78" s="31">
        <f>AVERAGE(N78,Q78,T78,W78)</f>
        <v>0</v>
      </c>
      <c r="L78" s="14"/>
      <c r="M78" s="7">
        <v>2023</v>
      </c>
      <c r="N78" s="21">
        <v>0</v>
      </c>
      <c r="O78" s="17"/>
      <c r="P78" s="7">
        <v>2023</v>
      </c>
      <c r="Q78" s="21">
        <v>0</v>
      </c>
      <c r="R78" s="17"/>
      <c r="S78" s="7">
        <v>2023</v>
      </c>
      <c r="T78" s="21">
        <v>0</v>
      </c>
      <c r="U78" s="17"/>
      <c r="V78" s="7">
        <v>2023</v>
      </c>
      <c r="W78" s="21">
        <v>0</v>
      </c>
      <c r="X78" s="17"/>
      <c r="Y78" s="7">
        <v>2023</v>
      </c>
      <c r="Z78" s="14">
        <v>100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95.833333333333329</v>
      </c>
      <c r="C87" s="15"/>
      <c r="D87" s="7">
        <v>2020</v>
      </c>
      <c r="E87" s="21">
        <v>100</v>
      </c>
      <c r="F87" s="17" t="s">
        <v>1217</v>
      </c>
      <c r="G87" s="7">
        <v>2020</v>
      </c>
      <c r="H87" s="31">
        <f>AVERAGE(K87,N87,Q87,T87)</f>
        <v>100</v>
      </c>
      <c r="I87" s="14"/>
      <c r="J87" s="7">
        <v>2020</v>
      </c>
      <c r="K87" s="14">
        <v>100</v>
      </c>
      <c r="L87" s="17"/>
      <c r="M87" s="7">
        <v>2020</v>
      </c>
      <c r="N87" s="14">
        <v>100</v>
      </c>
      <c r="O87" s="17"/>
      <c r="P87" s="7">
        <v>2020</v>
      </c>
      <c r="Q87" s="21">
        <v>100</v>
      </c>
      <c r="R87" s="17"/>
      <c r="S87" s="7">
        <v>2020</v>
      </c>
      <c r="T87" s="14">
        <v>100</v>
      </c>
      <c r="U87" s="17"/>
      <c r="V87" s="7">
        <v>2020</v>
      </c>
      <c r="W87" s="14">
        <v>100</v>
      </c>
      <c r="X87" s="17"/>
      <c r="Y87" s="7">
        <v>2020</v>
      </c>
      <c r="Z87" s="82">
        <v>100</v>
      </c>
      <c r="AA87" s="83"/>
      <c r="AB87" s="7">
        <v>2020</v>
      </c>
      <c r="AC87" s="82">
        <v>100</v>
      </c>
      <c r="AD87" s="83"/>
      <c r="AE87" s="7">
        <v>2020</v>
      </c>
      <c r="AF87" s="14">
        <v>50</v>
      </c>
      <c r="AG87" s="23"/>
    </row>
    <row r="88" spans="1:51" ht="24.75" customHeight="1">
      <c r="A88" s="7">
        <v>2021</v>
      </c>
      <c r="B88" s="15">
        <f t="shared" ref="B88:B90" si="0">AVERAGE(E88,H88, W88,((Z88+AC88+AF88)/3))</f>
        <v>91.666666666666671</v>
      </c>
      <c r="C88" s="15"/>
      <c r="D88" s="7">
        <v>2021</v>
      </c>
      <c r="E88" s="21">
        <v>100</v>
      </c>
      <c r="F88" s="17" t="s">
        <v>1217</v>
      </c>
      <c r="G88" s="7">
        <v>2021</v>
      </c>
      <c r="H88" s="31">
        <f>AVERAGE(K88,N88,Q88,T88)</f>
        <v>100</v>
      </c>
      <c r="I88" s="14"/>
      <c r="J88" s="7">
        <v>2021</v>
      </c>
      <c r="K88" s="14">
        <v>100</v>
      </c>
      <c r="L88" s="17"/>
      <c r="M88" s="7">
        <v>2021</v>
      </c>
      <c r="N88" s="14">
        <v>100</v>
      </c>
      <c r="O88" s="17"/>
      <c r="P88" s="7">
        <v>2021</v>
      </c>
      <c r="Q88" s="21">
        <v>100</v>
      </c>
      <c r="R88" s="17"/>
      <c r="S88" s="7">
        <v>2021</v>
      </c>
      <c r="T88" s="14">
        <v>100</v>
      </c>
      <c r="U88" s="17"/>
      <c r="V88" s="7">
        <v>2021</v>
      </c>
      <c r="W88" s="14">
        <v>100</v>
      </c>
      <c r="X88" s="17"/>
      <c r="Y88" s="7">
        <v>2021</v>
      </c>
      <c r="Z88" s="82">
        <v>50</v>
      </c>
      <c r="AA88" s="86" t="s">
        <v>1218</v>
      </c>
      <c r="AB88" s="7">
        <v>2021</v>
      </c>
      <c r="AC88" s="82">
        <v>100</v>
      </c>
      <c r="AD88" s="83" t="s">
        <v>1219</v>
      </c>
      <c r="AE88" s="7">
        <v>2021</v>
      </c>
      <c r="AF88" s="14">
        <v>50</v>
      </c>
      <c r="AG88" s="23"/>
    </row>
    <row r="89" spans="1:51" ht="24.75" customHeight="1">
      <c r="A89" s="7">
        <v>2022</v>
      </c>
      <c r="B89" s="15">
        <f t="shared" si="0"/>
        <v>91.666666666666671</v>
      </c>
      <c r="C89" s="15"/>
      <c r="D89" s="7">
        <v>2022</v>
      </c>
      <c r="E89" s="21">
        <v>100</v>
      </c>
      <c r="F89" s="17" t="s">
        <v>1217</v>
      </c>
      <c r="G89" s="7">
        <v>2022</v>
      </c>
      <c r="H89" s="31">
        <f>AVERAGE(K89,N89,Q89,T89)</f>
        <v>100</v>
      </c>
      <c r="I89" s="14"/>
      <c r="J89" s="7">
        <v>2022</v>
      </c>
      <c r="K89" s="14">
        <v>100</v>
      </c>
      <c r="L89" s="17"/>
      <c r="M89" s="7">
        <v>2022</v>
      </c>
      <c r="N89" s="14">
        <v>100</v>
      </c>
      <c r="O89" s="17"/>
      <c r="P89" s="7">
        <v>2022</v>
      </c>
      <c r="Q89" s="21">
        <v>100</v>
      </c>
      <c r="R89" s="17"/>
      <c r="S89" s="7">
        <v>2022</v>
      </c>
      <c r="T89" s="14">
        <v>100</v>
      </c>
      <c r="U89" s="17"/>
      <c r="V89" s="7">
        <v>2022</v>
      </c>
      <c r="W89" s="14">
        <v>100</v>
      </c>
      <c r="X89" s="17"/>
      <c r="Y89" s="7">
        <v>2022</v>
      </c>
      <c r="Z89" s="82">
        <v>50</v>
      </c>
      <c r="AA89" s="86" t="s">
        <v>1218</v>
      </c>
      <c r="AB89" s="7">
        <v>2022</v>
      </c>
      <c r="AC89" s="82">
        <v>100</v>
      </c>
      <c r="AD89" s="83" t="s">
        <v>1219</v>
      </c>
      <c r="AE89" s="7">
        <v>2022</v>
      </c>
      <c r="AF89" s="14">
        <v>50</v>
      </c>
      <c r="AG89" s="23"/>
    </row>
    <row r="90" spans="1:51" ht="24.75" customHeight="1">
      <c r="A90" s="7">
        <v>2023</v>
      </c>
      <c r="B90" s="15">
        <f t="shared" si="0"/>
        <v>91.666666666666671</v>
      </c>
      <c r="C90" s="15"/>
      <c r="D90" s="7">
        <v>2023</v>
      </c>
      <c r="E90" s="21">
        <v>100</v>
      </c>
      <c r="F90" s="17" t="s">
        <v>1217</v>
      </c>
      <c r="G90" s="7">
        <v>2023</v>
      </c>
      <c r="H90" s="31">
        <f>AVERAGE(K90,N90,Q90,T90)</f>
        <v>100</v>
      </c>
      <c r="I90" s="14"/>
      <c r="J90" s="7">
        <v>2023</v>
      </c>
      <c r="K90" s="14">
        <v>100</v>
      </c>
      <c r="L90" s="17"/>
      <c r="M90" s="7">
        <v>2023</v>
      </c>
      <c r="N90" s="14">
        <v>100</v>
      </c>
      <c r="O90" s="17"/>
      <c r="P90" s="7">
        <v>2023</v>
      </c>
      <c r="Q90" s="21">
        <v>100</v>
      </c>
      <c r="R90" s="17"/>
      <c r="S90" s="7">
        <v>2023</v>
      </c>
      <c r="T90" s="14">
        <v>100</v>
      </c>
      <c r="U90" s="17"/>
      <c r="V90" s="7">
        <v>2023</v>
      </c>
      <c r="W90" s="14">
        <v>100</v>
      </c>
      <c r="X90" s="17"/>
      <c r="Y90" s="7">
        <v>2023</v>
      </c>
      <c r="Z90" s="82">
        <v>50</v>
      </c>
      <c r="AA90" s="86" t="s">
        <v>1218</v>
      </c>
      <c r="AB90" s="7">
        <v>2023</v>
      </c>
      <c r="AC90" s="82">
        <v>100</v>
      </c>
      <c r="AD90" s="83" t="s">
        <v>1219</v>
      </c>
      <c r="AE90" s="7">
        <v>2023</v>
      </c>
      <c r="AF90" s="14">
        <v>50</v>
      </c>
      <c r="AG90" s="23"/>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16.666666666666668</v>
      </c>
      <c r="C99" s="43"/>
      <c r="D99" s="27">
        <v>2020</v>
      </c>
      <c r="E99" s="14">
        <v>50</v>
      </c>
      <c r="F99" s="23"/>
      <c r="G99" s="7">
        <v>2020</v>
      </c>
      <c r="H99" s="44">
        <v>50</v>
      </c>
      <c r="I99" s="23"/>
      <c r="J99" s="27">
        <v>2020</v>
      </c>
      <c r="K99" s="74">
        <v>50</v>
      </c>
      <c r="L99" s="23" t="s">
        <v>1220</v>
      </c>
      <c r="M99" s="7">
        <v>2020</v>
      </c>
      <c r="N99" s="21">
        <v>0</v>
      </c>
      <c r="O99" s="23" t="s">
        <v>1221</v>
      </c>
      <c r="P99" s="27">
        <v>2020</v>
      </c>
      <c r="Q99" s="14">
        <v>50</v>
      </c>
      <c r="R99" s="23" t="s">
        <v>1222</v>
      </c>
      <c r="S99" s="7">
        <v>2020</v>
      </c>
      <c r="T99" s="21">
        <v>50</v>
      </c>
      <c r="U99" s="23" t="s">
        <v>1223</v>
      </c>
      <c r="V99" s="7">
        <v>2020</v>
      </c>
      <c r="W99" s="14">
        <v>0</v>
      </c>
      <c r="X99" s="23"/>
      <c r="Y99" s="7">
        <v>2020</v>
      </c>
      <c r="Z99" s="14">
        <v>0</v>
      </c>
      <c r="AA99" s="23"/>
      <c r="AB99" s="7">
        <v>2020</v>
      </c>
      <c r="AC99" s="21">
        <v>50</v>
      </c>
      <c r="AD99" s="23"/>
      <c r="AE99" s="7">
        <v>2020</v>
      </c>
      <c r="AF99" s="14">
        <v>0</v>
      </c>
      <c r="AG99" s="23" t="s">
        <v>1224</v>
      </c>
      <c r="AH99" s="7">
        <v>2020</v>
      </c>
      <c r="AI99" s="21">
        <v>0</v>
      </c>
      <c r="AJ99" s="23"/>
      <c r="AK99" s="7">
        <v>2020</v>
      </c>
      <c r="AL99" s="21">
        <v>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16.666666666666668</v>
      </c>
      <c r="C100" s="49"/>
      <c r="D100" s="27">
        <v>2021</v>
      </c>
      <c r="E100" s="14">
        <v>50</v>
      </c>
      <c r="F100" s="23"/>
      <c r="G100" s="7">
        <v>2021</v>
      </c>
      <c r="H100" s="44">
        <v>50</v>
      </c>
      <c r="I100" s="23"/>
      <c r="J100" s="27">
        <v>2021</v>
      </c>
      <c r="K100" s="74">
        <v>50</v>
      </c>
      <c r="L100" s="23" t="s">
        <v>1220</v>
      </c>
      <c r="M100" s="7">
        <v>2021</v>
      </c>
      <c r="N100" s="21">
        <v>0</v>
      </c>
      <c r="O100" s="23" t="s">
        <v>1221</v>
      </c>
      <c r="P100" s="27">
        <v>2021</v>
      </c>
      <c r="Q100" s="14">
        <v>50</v>
      </c>
      <c r="R100" s="23" t="s">
        <v>1222</v>
      </c>
      <c r="S100" s="7">
        <v>2021</v>
      </c>
      <c r="T100" s="21">
        <v>50</v>
      </c>
      <c r="U100" s="23" t="s">
        <v>1223</v>
      </c>
      <c r="V100" s="7">
        <v>2021</v>
      </c>
      <c r="W100" s="14">
        <v>0</v>
      </c>
      <c r="X100" s="23"/>
      <c r="Y100" s="7">
        <v>2021</v>
      </c>
      <c r="Z100" s="14">
        <v>0</v>
      </c>
      <c r="AA100" s="23"/>
      <c r="AB100" s="7">
        <v>2021</v>
      </c>
      <c r="AC100" s="21">
        <v>50</v>
      </c>
      <c r="AD100" s="23"/>
      <c r="AE100" s="7">
        <v>2021</v>
      </c>
      <c r="AF100" s="14">
        <v>0</v>
      </c>
      <c r="AG100" s="23"/>
      <c r="AH100" s="7">
        <v>2021</v>
      </c>
      <c r="AI100" s="21">
        <v>0</v>
      </c>
      <c r="AJ100" s="23"/>
      <c r="AK100" s="7">
        <v>2021</v>
      </c>
      <c r="AL100" s="21">
        <v>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16.666666666666668</v>
      </c>
      <c r="C101" s="49"/>
      <c r="D101" s="27">
        <v>2022</v>
      </c>
      <c r="E101" s="14">
        <v>50</v>
      </c>
      <c r="F101" s="23"/>
      <c r="G101" s="27">
        <v>2022</v>
      </c>
      <c r="H101" s="44">
        <v>50</v>
      </c>
      <c r="I101" s="23"/>
      <c r="J101" s="27">
        <v>2022</v>
      </c>
      <c r="K101" s="74">
        <v>50</v>
      </c>
      <c r="L101" s="23" t="s">
        <v>1220</v>
      </c>
      <c r="M101" s="27">
        <v>2022</v>
      </c>
      <c r="N101" s="21">
        <v>0</v>
      </c>
      <c r="O101" s="23" t="s">
        <v>1221</v>
      </c>
      <c r="P101" s="27">
        <v>2022</v>
      </c>
      <c r="Q101" s="14">
        <v>50</v>
      </c>
      <c r="R101" s="23" t="s">
        <v>1222</v>
      </c>
      <c r="S101" s="27">
        <v>2022</v>
      </c>
      <c r="T101" s="21">
        <v>50</v>
      </c>
      <c r="U101" s="23" t="s">
        <v>1223</v>
      </c>
      <c r="V101" s="27">
        <v>2022</v>
      </c>
      <c r="W101" s="14">
        <v>0</v>
      </c>
      <c r="X101" s="23"/>
      <c r="Y101" s="27">
        <v>2022</v>
      </c>
      <c r="Z101" s="14">
        <v>0</v>
      </c>
      <c r="AA101" s="23"/>
      <c r="AB101" s="27">
        <v>2022</v>
      </c>
      <c r="AC101" s="21">
        <v>50</v>
      </c>
      <c r="AD101" s="23"/>
      <c r="AE101" s="27">
        <v>2022</v>
      </c>
      <c r="AF101" s="14">
        <v>0</v>
      </c>
      <c r="AG101" s="23"/>
      <c r="AH101" s="27">
        <v>2022</v>
      </c>
      <c r="AI101" s="21">
        <v>0</v>
      </c>
      <c r="AJ101" s="23"/>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16.666666666666668</v>
      </c>
      <c r="C102" s="49"/>
      <c r="D102" s="27">
        <v>2023</v>
      </c>
      <c r="E102" s="14">
        <v>50</v>
      </c>
      <c r="F102" s="23"/>
      <c r="G102" s="27">
        <v>2023</v>
      </c>
      <c r="H102" s="44">
        <v>50</v>
      </c>
      <c r="I102" s="23"/>
      <c r="J102" s="27">
        <v>2023</v>
      </c>
      <c r="K102" s="74">
        <v>50</v>
      </c>
      <c r="L102" s="23" t="s">
        <v>1220</v>
      </c>
      <c r="M102" s="27">
        <v>2023</v>
      </c>
      <c r="N102" s="21">
        <v>0</v>
      </c>
      <c r="O102" s="23" t="s">
        <v>1221</v>
      </c>
      <c r="P102" s="27">
        <v>2023</v>
      </c>
      <c r="Q102" s="14">
        <v>50</v>
      </c>
      <c r="R102" s="23" t="s">
        <v>1222</v>
      </c>
      <c r="S102" s="27">
        <v>2023</v>
      </c>
      <c r="T102" s="21">
        <v>50</v>
      </c>
      <c r="U102" s="23" t="s">
        <v>1223</v>
      </c>
      <c r="V102" s="27">
        <v>2023</v>
      </c>
      <c r="W102" s="14">
        <v>0</v>
      </c>
      <c r="X102" s="23"/>
      <c r="Y102" s="27">
        <v>2023</v>
      </c>
      <c r="Z102" s="14">
        <v>0</v>
      </c>
      <c r="AA102" s="23"/>
      <c r="AB102" s="27">
        <v>2023</v>
      </c>
      <c r="AC102" s="21">
        <v>50</v>
      </c>
      <c r="AD102" s="23"/>
      <c r="AE102" s="27">
        <v>2023</v>
      </c>
      <c r="AF102" s="14">
        <v>0</v>
      </c>
      <c r="AG102" s="23"/>
      <c r="AH102" s="27">
        <v>2023</v>
      </c>
      <c r="AI102" s="21">
        <v>0</v>
      </c>
      <c r="AJ102" s="23"/>
      <c r="AK102" s="27">
        <v>2023</v>
      </c>
      <c r="AL102" s="21">
        <v>0</v>
      </c>
      <c r="AM102" s="23"/>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6176-2EE2-4E57-B384-BBC8347542DF}">
  <dimension ref="A1:CC102"/>
  <sheetViews>
    <sheetView zoomScale="117" zoomScaleNormal="72" workbookViewId="0">
      <selection activeCell="AD90" sqref="AD90"/>
    </sheetView>
  </sheetViews>
  <sheetFormatPr defaultColWidth="8.6328125" defaultRowHeight="15" customHeight="1"/>
  <cols>
    <col min="1" max="1" width="17.453125" style="1" customWidth="1"/>
    <col min="2" max="2" width="13.453125" style="1" customWidth="1"/>
    <col min="3" max="3" width="23.36328125" style="1" customWidth="1"/>
    <col min="4" max="4" width="17.453125" style="1" customWidth="1"/>
    <col min="5" max="5" width="13.453125" style="1" customWidth="1"/>
    <col min="6" max="6" width="23.36328125" style="1" customWidth="1"/>
    <col min="7" max="7" width="17.453125" style="1" customWidth="1"/>
    <col min="8" max="8" width="13.453125" style="1" customWidth="1"/>
    <col min="9" max="9" width="23.36328125" style="1" customWidth="1"/>
    <col min="10" max="10" width="17.453125" style="1" customWidth="1"/>
    <col min="11" max="11" width="13.453125" style="1" customWidth="1"/>
    <col min="12" max="12" width="23.36328125" style="1" customWidth="1"/>
    <col min="13" max="13" width="17.453125" style="1" customWidth="1"/>
    <col min="14" max="14" width="13.453125" style="1" customWidth="1"/>
    <col min="15" max="15" width="23.36328125" style="1" customWidth="1"/>
    <col min="16" max="16" width="17.453125" style="1" customWidth="1"/>
    <col min="17" max="17" width="13.453125" style="1" customWidth="1"/>
    <col min="18" max="18" width="23.36328125" style="1" customWidth="1"/>
    <col min="19" max="19" width="17.453125" style="1" customWidth="1"/>
    <col min="20" max="20" width="13.453125" style="1" customWidth="1"/>
    <col min="21" max="21" width="23.36328125" style="1" customWidth="1"/>
    <col min="22" max="22" width="17.453125" style="1" customWidth="1"/>
    <col min="23" max="23" width="13.453125" style="1" customWidth="1"/>
    <col min="24" max="24" width="23.36328125" style="1" customWidth="1"/>
    <col min="25" max="25" width="17.453125" style="1" customWidth="1"/>
    <col min="26" max="26" width="13.453125" style="1" customWidth="1"/>
    <col min="27" max="27" width="23.36328125" style="1" customWidth="1"/>
    <col min="28" max="28" width="17.453125" style="1" customWidth="1"/>
    <col min="29" max="29" width="13.453125" style="1" customWidth="1"/>
    <col min="30" max="30" width="23.36328125" style="1" customWidth="1"/>
    <col min="31" max="31" width="17.453125" style="1" customWidth="1"/>
    <col min="32" max="32" width="13.453125" style="1" customWidth="1"/>
    <col min="33" max="33" width="23.36328125" style="1" customWidth="1"/>
    <col min="34" max="34" width="17.453125" style="1" customWidth="1"/>
    <col min="35" max="35" width="13.453125" style="1" customWidth="1"/>
    <col min="36" max="36" width="23.36328125" style="1" customWidth="1"/>
    <col min="37" max="37" width="17.453125" style="1" customWidth="1"/>
    <col min="38" max="38" width="13.453125" style="1" customWidth="1"/>
    <col min="39" max="39" width="23.36328125" style="1" customWidth="1"/>
    <col min="40" max="40" width="17.453125" style="1" customWidth="1"/>
    <col min="41" max="41" width="13.453125" style="1" customWidth="1"/>
    <col min="42" max="42" width="23.36328125" style="1" customWidth="1"/>
    <col min="43" max="43" width="17.453125" style="1" customWidth="1"/>
    <col min="44" max="44" width="13.453125" style="1" customWidth="1"/>
    <col min="45" max="45" width="23.36328125" style="1" customWidth="1"/>
    <col min="46" max="46" width="17.453125" style="1" customWidth="1"/>
    <col min="47" max="47" width="13.453125" style="1" customWidth="1"/>
    <col min="48" max="48" width="23.36328125" style="1" customWidth="1"/>
    <col min="49" max="49" width="17.453125" style="1" customWidth="1"/>
    <col min="50" max="50" width="13.453125" style="1" customWidth="1"/>
    <col min="51" max="51" width="23.36328125" style="1" customWidth="1"/>
    <col min="52" max="16384" width="8.6328125" style="1"/>
  </cols>
  <sheetData>
    <row r="1" spans="1:81" ht="30.5" customHeight="1">
      <c r="A1" s="323" t="s">
        <v>0</v>
      </c>
      <c r="B1" s="323"/>
      <c r="C1" s="323"/>
      <c r="D1" s="323"/>
    </row>
    <row r="2" spans="1:81" ht="39" customHeight="1">
      <c r="A2" s="2" t="s">
        <v>1</v>
      </c>
      <c r="B2" s="2" t="s">
        <v>2</v>
      </c>
      <c r="C2" s="2" t="s">
        <v>3</v>
      </c>
      <c r="D2" s="2" t="s">
        <v>4</v>
      </c>
    </row>
    <row r="3" spans="1:81" ht="15" customHeight="1">
      <c r="A3" s="3">
        <v>2020</v>
      </c>
      <c r="B3" s="4">
        <f>AVERAGE(B15,B27,B39,B51,B63,B75,B87,B99)</f>
        <v>63.108630952380949</v>
      </c>
      <c r="C3" s="4">
        <f>AVERAGE(B15,B27,B39,B51,B63,B75,B87)</f>
        <v>59.92176870748299</v>
      </c>
      <c r="D3" s="4">
        <f>AVERAGE(B15,B27,B51,B63,B75,B87)</f>
        <v>62.361111111111114</v>
      </c>
    </row>
    <row r="4" spans="1:81" ht="15" customHeight="1">
      <c r="A4" s="3">
        <v>2021</v>
      </c>
      <c r="B4" s="4">
        <f>AVERAGE(B16,B28,B40,B52,B64,B76,B88,B100)</f>
        <v>63.108630952380949</v>
      </c>
      <c r="C4" s="4">
        <f>AVERAGE(B16,B28,B40,B52,B64,B76,B88)</f>
        <v>59.92176870748299</v>
      </c>
      <c r="D4" s="4">
        <f>AVERAGE(B16,B28,B52,B64,B76,B88)</f>
        <v>62.361111111111114</v>
      </c>
    </row>
    <row r="5" spans="1:81" ht="15" customHeight="1">
      <c r="A5" s="3">
        <v>2022</v>
      </c>
      <c r="B5" s="4">
        <f>AVERAGE(B17,B29,B41,B53,B65,B77,B89,B101)</f>
        <v>58.861607142857139</v>
      </c>
      <c r="C5" s="4">
        <f>AVERAGE(B17,B29,B41,B53,B65,B77,B89)</f>
        <v>55.068027210884345</v>
      </c>
      <c r="D5" s="4">
        <f>AVERAGE(B17,B29,B53,B65,B77,B89)</f>
        <v>57.888888888888886</v>
      </c>
    </row>
    <row r="6" spans="1:81" ht="15" customHeight="1">
      <c r="A6" s="3">
        <v>2023</v>
      </c>
      <c r="B6" s="4">
        <f>AVERAGE(B18,B30,B42,B54,B66,B78,B90,B102)</f>
        <v>58.861607142857139</v>
      </c>
      <c r="C6" s="4">
        <f>AVERAGE(B18,B30,B42,B54,B66,B78,B90)</f>
        <v>55.068027210884345</v>
      </c>
      <c r="D6" s="4">
        <f>AVERAGE(B18,B30,B54,B66,B78,B90)</f>
        <v>57.888888888888886</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AVERAGE(E15, H15,K15,N15,Q15,T15,W15,Z15,AC15)</f>
        <v>22.222222222222221</v>
      </c>
      <c r="C15" s="16"/>
      <c r="D15" s="7">
        <v>2020</v>
      </c>
      <c r="E15" s="14">
        <v>0</v>
      </c>
      <c r="F15" s="17" t="s">
        <v>1225</v>
      </c>
      <c r="G15" s="7">
        <v>2020</v>
      </c>
      <c r="H15" s="131">
        <v>50</v>
      </c>
      <c r="I15" s="17" t="s">
        <v>1226</v>
      </c>
      <c r="J15" s="7">
        <v>2020</v>
      </c>
      <c r="K15" s="131">
        <v>50</v>
      </c>
      <c r="L15" s="17" t="s">
        <v>1227</v>
      </c>
      <c r="M15" s="7">
        <v>2020</v>
      </c>
      <c r="N15" s="82">
        <v>50</v>
      </c>
      <c r="O15" s="17" t="s">
        <v>1225</v>
      </c>
      <c r="P15" s="7">
        <v>2020</v>
      </c>
      <c r="Q15" s="14">
        <v>0</v>
      </c>
      <c r="R15" s="17" t="s">
        <v>1225</v>
      </c>
      <c r="S15" s="7">
        <v>2020</v>
      </c>
      <c r="T15" s="80">
        <v>0</v>
      </c>
      <c r="U15" s="17" t="s">
        <v>1225</v>
      </c>
      <c r="V15" s="7">
        <v>2020</v>
      </c>
      <c r="W15" s="14">
        <v>50</v>
      </c>
      <c r="X15" s="17" t="s">
        <v>1225</v>
      </c>
      <c r="Y15" s="7">
        <v>2020</v>
      </c>
      <c r="Z15" s="82">
        <v>0</v>
      </c>
      <c r="AA15" s="83" t="s">
        <v>1227</v>
      </c>
      <c r="AB15" s="7">
        <v>2020</v>
      </c>
      <c r="AC15" s="21">
        <v>0</v>
      </c>
      <c r="AD15" s="23" t="s">
        <v>1227</v>
      </c>
    </row>
    <row r="16" spans="1:81" ht="24.75" customHeight="1">
      <c r="A16" s="7">
        <v>2021</v>
      </c>
      <c r="B16" s="15">
        <f t="shared" ref="B16:B18" si="0">AVERAGE(E16, H16,K16,N16,Q16,T16,W16,Z16,AC16)</f>
        <v>22.222222222222221</v>
      </c>
      <c r="C16" s="16"/>
      <c r="D16" s="7">
        <v>2021</v>
      </c>
      <c r="E16" s="14">
        <v>0</v>
      </c>
      <c r="F16" s="17" t="s">
        <v>1225</v>
      </c>
      <c r="G16" s="7">
        <v>2021</v>
      </c>
      <c r="H16" s="131">
        <v>50</v>
      </c>
      <c r="I16" s="17"/>
      <c r="J16" s="7">
        <v>2021</v>
      </c>
      <c r="K16" s="131">
        <v>50</v>
      </c>
      <c r="L16" s="17"/>
      <c r="M16" s="7">
        <v>2021</v>
      </c>
      <c r="N16" s="82">
        <v>50</v>
      </c>
      <c r="O16" s="17"/>
      <c r="P16" s="7">
        <v>2021</v>
      </c>
      <c r="Q16" s="14">
        <v>0</v>
      </c>
      <c r="R16" s="17"/>
      <c r="S16" s="7">
        <v>2021</v>
      </c>
      <c r="T16" s="80">
        <v>0</v>
      </c>
      <c r="U16" s="17"/>
      <c r="V16" s="7">
        <v>2021</v>
      </c>
      <c r="W16" s="14">
        <v>50</v>
      </c>
      <c r="X16" s="17"/>
      <c r="Y16" s="7">
        <v>2021</v>
      </c>
      <c r="Z16" s="82">
        <v>0</v>
      </c>
      <c r="AA16" s="83"/>
      <c r="AB16" s="7">
        <v>2021</v>
      </c>
      <c r="AC16" s="21">
        <v>0</v>
      </c>
      <c r="AD16" s="23"/>
    </row>
    <row r="17" spans="1:51" ht="24.75" customHeight="1">
      <c r="A17" s="7">
        <v>2022</v>
      </c>
      <c r="B17" s="15">
        <f t="shared" si="0"/>
        <v>22.222222222222221</v>
      </c>
      <c r="C17" s="16"/>
      <c r="D17" s="7">
        <v>2022</v>
      </c>
      <c r="E17" s="14">
        <v>0</v>
      </c>
      <c r="F17" s="17" t="s">
        <v>1228</v>
      </c>
      <c r="G17" s="7">
        <v>2022</v>
      </c>
      <c r="H17" s="131">
        <v>50</v>
      </c>
      <c r="I17" s="17"/>
      <c r="J17" s="7">
        <v>2022</v>
      </c>
      <c r="K17" s="131">
        <v>50</v>
      </c>
      <c r="L17" s="17"/>
      <c r="M17" s="7">
        <v>2022</v>
      </c>
      <c r="N17" s="82">
        <v>50</v>
      </c>
      <c r="O17" s="17"/>
      <c r="P17" s="7">
        <v>2022</v>
      </c>
      <c r="Q17" s="14">
        <v>0</v>
      </c>
      <c r="R17" s="17"/>
      <c r="S17" s="7">
        <v>2022</v>
      </c>
      <c r="T17" s="80">
        <v>0</v>
      </c>
      <c r="U17" s="17"/>
      <c r="V17" s="7">
        <v>2022</v>
      </c>
      <c r="W17" s="14">
        <v>50</v>
      </c>
      <c r="X17" s="17"/>
      <c r="Y17" s="7">
        <v>2022</v>
      </c>
      <c r="Z17" s="82">
        <v>0</v>
      </c>
      <c r="AA17" s="189"/>
      <c r="AB17" s="7">
        <v>2022</v>
      </c>
      <c r="AC17" s="21">
        <v>0</v>
      </c>
      <c r="AD17" s="23"/>
    </row>
    <row r="18" spans="1:51" ht="24.75" customHeight="1">
      <c r="A18" s="7">
        <v>2023</v>
      </c>
      <c r="B18" s="15">
        <f t="shared" si="0"/>
        <v>22.222222222222221</v>
      </c>
      <c r="C18" s="16"/>
      <c r="D18" s="7">
        <v>2023</v>
      </c>
      <c r="E18" s="14">
        <v>0</v>
      </c>
      <c r="F18" s="17" t="s">
        <v>1229</v>
      </c>
      <c r="G18" s="7">
        <v>2023</v>
      </c>
      <c r="H18" s="131">
        <v>50</v>
      </c>
      <c r="I18" s="17"/>
      <c r="J18" s="7">
        <v>2023</v>
      </c>
      <c r="K18" s="131">
        <v>50</v>
      </c>
      <c r="L18" s="17" t="s">
        <v>1230</v>
      </c>
      <c r="M18" s="7">
        <v>2023</v>
      </c>
      <c r="N18" s="82">
        <v>50</v>
      </c>
      <c r="O18" s="17" t="s">
        <v>1231</v>
      </c>
      <c r="P18" s="7">
        <v>2023</v>
      </c>
      <c r="Q18" s="14">
        <v>0</v>
      </c>
      <c r="R18" s="190" t="s">
        <v>1232</v>
      </c>
      <c r="S18" s="7">
        <v>2023</v>
      </c>
      <c r="T18" s="80">
        <v>0</v>
      </c>
      <c r="U18" s="17" t="s">
        <v>1233</v>
      </c>
      <c r="V18" s="7">
        <v>2023</v>
      </c>
      <c r="W18" s="14">
        <v>50</v>
      </c>
      <c r="X18" s="17" t="s">
        <v>1234</v>
      </c>
      <c r="Y18" s="7">
        <v>2023</v>
      </c>
      <c r="Z18" s="82">
        <v>0</v>
      </c>
      <c r="AA18" s="83" t="s">
        <v>1235</v>
      </c>
      <c r="AB18" s="7">
        <v>2023</v>
      </c>
      <c r="AC18" s="21">
        <v>0</v>
      </c>
      <c r="AD18" s="23" t="s">
        <v>1236</v>
      </c>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259" t="s">
        <v>427</v>
      </c>
      <c r="L24" s="260"/>
      <c r="M24" s="27" t="s">
        <v>30</v>
      </c>
      <c r="N24" s="325" t="s">
        <v>96</v>
      </c>
      <c r="O24" s="325"/>
      <c r="P24" s="27" t="s">
        <v>30</v>
      </c>
      <c r="Q24" s="325" t="s">
        <v>97</v>
      </c>
      <c r="R24" s="325"/>
      <c r="S24" s="27" t="s">
        <v>30</v>
      </c>
      <c r="T24" s="325" t="s">
        <v>616</v>
      </c>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329" t="s">
        <v>429</v>
      </c>
      <c r="L25" s="325"/>
      <c r="M25" s="27" t="s">
        <v>41</v>
      </c>
      <c r="N25" s="325" t="s">
        <v>109</v>
      </c>
      <c r="O25" s="325"/>
      <c r="P25" s="27" t="s">
        <v>41</v>
      </c>
      <c r="Q25" s="325" t="s">
        <v>110</v>
      </c>
      <c r="R25" s="325"/>
      <c r="S25" s="27" t="s">
        <v>41</v>
      </c>
      <c r="T25" s="329" t="s">
        <v>429</v>
      </c>
      <c r="U25" s="325"/>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48.111111111111114</v>
      </c>
      <c r="C27" s="16"/>
      <c r="D27" s="7">
        <v>2020</v>
      </c>
      <c r="E27" s="46">
        <v>0</v>
      </c>
      <c r="F27" s="83" t="s">
        <v>1227</v>
      </c>
      <c r="G27" s="7">
        <v>2020</v>
      </c>
      <c r="H27" s="14">
        <v>0</v>
      </c>
      <c r="I27" s="17"/>
      <c r="J27" s="7">
        <v>2020</v>
      </c>
      <c r="K27" s="14">
        <v>100</v>
      </c>
      <c r="L27" s="17"/>
      <c r="M27" s="7">
        <v>2020</v>
      </c>
      <c r="N27" s="14">
        <v>100</v>
      </c>
      <c r="O27" s="17" t="s">
        <v>1227</v>
      </c>
      <c r="P27" s="7">
        <v>2020</v>
      </c>
      <c r="Q27" s="14">
        <v>100</v>
      </c>
      <c r="R27" s="17" t="s">
        <v>1227</v>
      </c>
      <c r="S27" s="7">
        <v>2020</v>
      </c>
      <c r="T27" s="14">
        <v>100</v>
      </c>
      <c r="U27" s="17"/>
      <c r="V27" s="7">
        <v>2020</v>
      </c>
      <c r="W27" s="14">
        <v>100</v>
      </c>
      <c r="X27" s="17"/>
      <c r="Y27" s="7">
        <v>2020</v>
      </c>
      <c r="Z27" s="14">
        <v>100</v>
      </c>
      <c r="AA27" s="17" t="s">
        <v>1237</v>
      </c>
      <c r="AB27" s="7">
        <v>2020</v>
      </c>
      <c r="AC27" s="14">
        <v>100</v>
      </c>
      <c r="AD27" s="17" t="s">
        <v>1237</v>
      </c>
      <c r="AE27" s="7">
        <v>2020</v>
      </c>
      <c r="AF27" s="31">
        <f>0.67*AI27+0.33*AL27</f>
        <v>33</v>
      </c>
      <c r="AG27" s="17"/>
      <c r="AH27" s="7">
        <v>2020</v>
      </c>
      <c r="AI27" s="131">
        <v>0</v>
      </c>
      <c r="AJ27" s="83" t="s">
        <v>1225</v>
      </c>
      <c r="AK27" s="7">
        <v>2020</v>
      </c>
      <c r="AL27" s="82">
        <v>100</v>
      </c>
      <c r="AM27" s="83" t="s">
        <v>1225</v>
      </c>
      <c r="AN27" s="7">
        <v>2020</v>
      </c>
      <c r="AO27" s="14">
        <v>100</v>
      </c>
      <c r="AP27" s="17" t="s">
        <v>1225</v>
      </c>
      <c r="AQ27" s="7">
        <v>2020</v>
      </c>
      <c r="AR27" s="14">
        <v>0</v>
      </c>
      <c r="AS27" s="17" t="s">
        <v>1227</v>
      </c>
      <c r="AT27" s="7">
        <v>2020</v>
      </c>
      <c r="AU27" s="131">
        <v>100</v>
      </c>
      <c r="AV27" s="83" t="s">
        <v>1225</v>
      </c>
      <c r="AW27" s="7">
        <v>2020</v>
      </c>
      <c r="AX27" s="14">
        <v>0</v>
      </c>
      <c r="AY27" s="23" t="s">
        <v>1225</v>
      </c>
    </row>
    <row r="28" spans="1:51" ht="24.75" customHeight="1">
      <c r="A28" s="7">
        <v>2021</v>
      </c>
      <c r="B28" s="15">
        <f>AVERAGE(E28,H28,K28,T28,AF28,AO28,AU28,AX28,AR28)</f>
        <v>48.111111111111114</v>
      </c>
      <c r="C28" s="15"/>
      <c r="D28" s="7">
        <v>2021</v>
      </c>
      <c r="E28" s="46">
        <v>0</v>
      </c>
      <c r="F28" s="83"/>
      <c r="G28" s="7">
        <v>2021</v>
      </c>
      <c r="H28" s="14">
        <v>0</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ref="AF28:AF30" si="1">0.67*AI28+0.33*AL28</f>
        <v>33</v>
      </c>
      <c r="AG28" s="17"/>
      <c r="AH28" s="7">
        <v>2021</v>
      </c>
      <c r="AI28" s="131">
        <v>0</v>
      </c>
      <c r="AJ28" s="83"/>
      <c r="AK28" s="7">
        <v>2021</v>
      </c>
      <c r="AL28" s="82">
        <v>100</v>
      </c>
      <c r="AM28" s="83"/>
      <c r="AN28" s="7">
        <v>2021</v>
      </c>
      <c r="AO28" s="14">
        <v>100</v>
      </c>
      <c r="AP28" s="17"/>
      <c r="AQ28" s="7">
        <v>2021</v>
      </c>
      <c r="AR28" s="14">
        <v>0</v>
      </c>
      <c r="AS28" s="17"/>
      <c r="AT28" s="7">
        <v>2021</v>
      </c>
      <c r="AU28" s="131">
        <v>100</v>
      </c>
      <c r="AV28" s="83"/>
      <c r="AW28" s="7">
        <v>2021</v>
      </c>
      <c r="AX28" s="14">
        <v>0</v>
      </c>
      <c r="AY28" s="23"/>
    </row>
    <row r="29" spans="1:51" ht="24.75" customHeight="1">
      <c r="A29" s="7">
        <v>2022</v>
      </c>
      <c r="B29" s="15">
        <f>AVERAGE(E29,H29,K29,T29,AF29,AO29,AU29,AX29,AR29)</f>
        <v>46.277777777777779</v>
      </c>
      <c r="C29" s="15"/>
      <c r="D29" s="7">
        <v>2022</v>
      </c>
      <c r="E29" s="46">
        <v>0</v>
      </c>
      <c r="F29" s="83" t="s">
        <v>1238</v>
      </c>
      <c r="G29" s="7">
        <v>2022</v>
      </c>
      <c r="H29" s="14">
        <v>0</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 t="shared" si="1"/>
        <v>16.5</v>
      </c>
      <c r="AG29" s="17"/>
      <c r="AH29" s="7">
        <v>2022</v>
      </c>
      <c r="AI29" s="131">
        <v>0</v>
      </c>
      <c r="AJ29" s="83"/>
      <c r="AK29" s="7">
        <v>2022</v>
      </c>
      <c r="AL29" s="82">
        <v>50</v>
      </c>
      <c r="AM29" s="83"/>
      <c r="AN29" s="7">
        <v>2022</v>
      </c>
      <c r="AO29" s="14">
        <v>100</v>
      </c>
      <c r="AP29" s="17"/>
      <c r="AQ29" s="7">
        <v>2022</v>
      </c>
      <c r="AR29" s="14">
        <v>0</v>
      </c>
      <c r="AS29" s="17"/>
      <c r="AT29" s="7">
        <v>2022</v>
      </c>
      <c r="AU29" s="131">
        <v>100</v>
      </c>
      <c r="AV29" s="83"/>
      <c r="AW29" s="7">
        <v>2022</v>
      </c>
      <c r="AX29" s="14">
        <v>0</v>
      </c>
      <c r="AY29" s="23"/>
    </row>
    <row r="30" spans="1:51" ht="24.75" customHeight="1">
      <c r="A30" s="7">
        <v>2023</v>
      </c>
      <c r="B30" s="15">
        <f>AVERAGE(E30,H30,K30,T30,AF30,AO30,AU30,AX30,AR30)</f>
        <v>46.277777777777779</v>
      </c>
      <c r="C30" s="15"/>
      <c r="D30" s="7">
        <v>2023</v>
      </c>
      <c r="E30" s="46">
        <v>0</v>
      </c>
      <c r="F30" s="83" t="s">
        <v>1239</v>
      </c>
      <c r="G30" s="7">
        <v>2023</v>
      </c>
      <c r="H30" s="14">
        <v>0</v>
      </c>
      <c r="I30" s="17"/>
      <c r="J30" s="7">
        <v>2023</v>
      </c>
      <c r="K30" s="14">
        <v>100</v>
      </c>
      <c r="L30" s="17"/>
      <c r="M30" s="7">
        <v>2023</v>
      </c>
      <c r="N30" s="14">
        <v>100</v>
      </c>
      <c r="O30" s="17" t="s">
        <v>1240</v>
      </c>
      <c r="P30" s="7">
        <v>2023</v>
      </c>
      <c r="Q30" s="14">
        <v>100</v>
      </c>
      <c r="R30" s="17" t="s">
        <v>1241</v>
      </c>
      <c r="S30" s="7">
        <v>2023</v>
      </c>
      <c r="T30" s="14">
        <v>100</v>
      </c>
      <c r="U30" s="17"/>
      <c r="V30" s="7">
        <v>2023</v>
      </c>
      <c r="W30" s="14">
        <v>100</v>
      </c>
      <c r="X30" s="17" t="s">
        <v>1240</v>
      </c>
      <c r="Y30" s="7">
        <v>2023</v>
      </c>
      <c r="Z30" s="14">
        <v>100</v>
      </c>
      <c r="AA30" s="17" t="s">
        <v>1242</v>
      </c>
      <c r="AB30" s="7">
        <v>2023</v>
      </c>
      <c r="AC30" s="14">
        <v>100</v>
      </c>
      <c r="AD30" s="17" t="s">
        <v>1243</v>
      </c>
      <c r="AE30" s="7">
        <v>2023</v>
      </c>
      <c r="AF30" s="31">
        <f t="shared" si="1"/>
        <v>16.5</v>
      </c>
      <c r="AG30" s="17"/>
      <c r="AH30" s="7">
        <v>2023</v>
      </c>
      <c r="AI30" s="131">
        <v>0</v>
      </c>
      <c r="AJ30" s="83" t="s">
        <v>1244</v>
      </c>
      <c r="AK30" s="7">
        <v>2023</v>
      </c>
      <c r="AL30" s="82">
        <v>50</v>
      </c>
      <c r="AM30" s="83" t="s">
        <v>1245</v>
      </c>
      <c r="AN30" s="7">
        <v>2023</v>
      </c>
      <c r="AO30" s="14">
        <v>100</v>
      </c>
      <c r="AP30" s="17" t="s">
        <v>1246</v>
      </c>
      <c r="AQ30" s="7">
        <v>2023</v>
      </c>
      <c r="AR30" s="14">
        <v>0</v>
      </c>
      <c r="AS30" s="17" t="s">
        <v>1247</v>
      </c>
      <c r="AT30" s="7">
        <v>2023</v>
      </c>
      <c r="AU30" s="131">
        <v>100</v>
      </c>
      <c r="AV30" s="83" t="s">
        <v>1248</v>
      </c>
      <c r="AW30" s="7">
        <v>2023</v>
      </c>
      <c r="AX30" s="14">
        <v>0</v>
      </c>
      <c r="AY30" s="23" t="s">
        <v>1249</v>
      </c>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63" t="s">
        <v>172</v>
      </c>
      <c r="AG36" s="364"/>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308" t="s">
        <v>433</v>
      </c>
      <c r="AG37" s="310"/>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45.285714285714285</v>
      </c>
      <c r="C39" s="16"/>
      <c r="D39" s="7">
        <v>2020</v>
      </c>
      <c r="E39" s="82">
        <v>67</v>
      </c>
      <c r="F39" s="83" t="s">
        <v>1250</v>
      </c>
      <c r="G39" s="7">
        <v>2020</v>
      </c>
      <c r="H39" s="14">
        <v>0</v>
      </c>
      <c r="I39" s="17" t="s">
        <v>1227</v>
      </c>
      <c r="J39" s="7">
        <v>2020</v>
      </c>
      <c r="K39" s="82">
        <v>50</v>
      </c>
      <c r="L39" s="83" t="s">
        <v>1225</v>
      </c>
      <c r="M39" s="7">
        <v>2020</v>
      </c>
      <c r="N39" s="31">
        <f>AVERAGE(Q39,T39,W39)</f>
        <v>50</v>
      </c>
      <c r="O39" s="14"/>
      <c r="P39" s="7">
        <v>2020</v>
      </c>
      <c r="Q39" s="14">
        <v>50</v>
      </c>
      <c r="R39" s="17" t="s">
        <v>1227</v>
      </c>
      <c r="S39" s="7">
        <v>2020</v>
      </c>
      <c r="T39" s="82">
        <v>50</v>
      </c>
      <c r="U39" s="83" t="s">
        <v>1227</v>
      </c>
      <c r="V39" s="7">
        <v>2020</v>
      </c>
      <c r="W39" s="14">
        <v>50</v>
      </c>
      <c r="X39" s="17" t="s">
        <v>1250</v>
      </c>
      <c r="Y39" s="7">
        <v>2020</v>
      </c>
      <c r="Z39" s="14">
        <v>0</v>
      </c>
      <c r="AA39" s="17"/>
      <c r="AB39" s="7">
        <v>2020</v>
      </c>
      <c r="AC39" s="14">
        <v>50</v>
      </c>
      <c r="AD39" s="17" t="s">
        <v>1251</v>
      </c>
      <c r="AE39" s="7">
        <v>2020</v>
      </c>
      <c r="AF39" s="14">
        <v>100</v>
      </c>
      <c r="AG39" s="14"/>
      <c r="AH39" s="7">
        <v>2020</v>
      </c>
      <c r="AI39" s="21">
        <v>50</v>
      </c>
      <c r="AJ39" s="23" t="s">
        <v>1252</v>
      </c>
      <c r="AK39" s="7">
        <v>2020</v>
      </c>
      <c r="AL39" s="82">
        <v>50</v>
      </c>
      <c r="AM39" s="86"/>
    </row>
    <row r="40" spans="1:39" ht="24.75" customHeight="1">
      <c r="A40" s="7">
        <v>2021</v>
      </c>
      <c r="B40" s="16">
        <f>AVERAGE(E40,H40,K40,N40,Z40,AC40,AF40)</f>
        <v>45.285714285714285</v>
      </c>
      <c r="C40" s="16"/>
      <c r="D40" s="7">
        <v>2021</v>
      </c>
      <c r="E40" s="82">
        <v>67</v>
      </c>
      <c r="F40" s="83"/>
      <c r="G40" s="7">
        <v>2021</v>
      </c>
      <c r="H40" s="14">
        <v>0</v>
      </c>
      <c r="I40" s="17"/>
      <c r="J40" s="7">
        <v>2021</v>
      </c>
      <c r="K40" s="82">
        <v>50</v>
      </c>
      <c r="L40" s="83"/>
      <c r="M40" s="7">
        <v>2021</v>
      </c>
      <c r="N40" s="31">
        <f t="shared" ref="N40:N42" si="2">AVERAGE(Q40,T40,W40)</f>
        <v>50</v>
      </c>
      <c r="O40" s="14"/>
      <c r="P40" s="7">
        <v>2021</v>
      </c>
      <c r="Q40" s="14">
        <v>50</v>
      </c>
      <c r="R40" s="17"/>
      <c r="S40" s="7">
        <v>2021</v>
      </c>
      <c r="T40" s="82">
        <v>50</v>
      </c>
      <c r="U40" s="83"/>
      <c r="V40" s="7">
        <v>2021</v>
      </c>
      <c r="W40" s="14">
        <v>50</v>
      </c>
      <c r="X40" s="17"/>
      <c r="Y40" s="7">
        <v>2021</v>
      </c>
      <c r="Z40" s="14">
        <v>0</v>
      </c>
      <c r="AA40" s="17"/>
      <c r="AB40" s="7">
        <v>2021</v>
      </c>
      <c r="AC40" s="14">
        <v>50</v>
      </c>
      <c r="AD40" s="17"/>
      <c r="AE40" s="7">
        <v>2021</v>
      </c>
      <c r="AF40" s="14">
        <v>100</v>
      </c>
      <c r="AG40" s="14"/>
      <c r="AH40" s="7">
        <v>2021</v>
      </c>
      <c r="AI40" s="21">
        <v>50</v>
      </c>
      <c r="AJ40" s="17"/>
      <c r="AK40" s="7">
        <v>2021</v>
      </c>
      <c r="AL40" s="82">
        <v>50</v>
      </c>
      <c r="AM40" s="86"/>
    </row>
    <row r="41" spans="1:39" ht="24.75" customHeight="1">
      <c r="A41" s="7">
        <v>2022</v>
      </c>
      <c r="B41" s="16">
        <f>AVERAGE(E41,H41,K41,N41,Z41,AC41,AF41)</f>
        <v>38.142857142857146</v>
      </c>
      <c r="C41" s="16"/>
      <c r="D41" s="7">
        <v>2022</v>
      </c>
      <c r="E41" s="82">
        <v>67</v>
      </c>
      <c r="F41" s="83" t="s">
        <v>1253</v>
      </c>
      <c r="G41" s="7">
        <v>2022</v>
      </c>
      <c r="H41" s="14">
        <v>0</v>
      </c>
      <c r="I41" s="17"/>
      <c r="J41" s="7">
        <v>2022</v>
      </c>
      <c r="K41" s="82">
        <v>0</v>
      </c>
      <c r="L41" s="83" t="s">
        <v>1254</v>
      </c>
      <c r="M41" s="7">
        <v>2022</v>
      </c>
      <c r="N41" s="31">
        <f t="shared" si="2"/>
        <v>50</v>
      </c>
      <c r="O41" s="14"/>
      <c r="P41" s="7">
        <v>2022</v>
      </c>
      <c r="Q41" s="14">
        <v>50</v>
      </c>
      <c r="R41" s="17"/>
      <c r="S41" s="7">
        <v>2022</v>
      </c>
      <c r="T41" s="82">
        <v>50</v>
      </c>
      <c r="U41" s="83"/>
      <c r="V41" s="7">
        <v>2022</v>
      </c>
      <c r="W41" s="14">
        <v>50</v>
      </c>
      <c r="X41" s="17"/>
      <c r="Y41" s="7">
        <v>2022</v>
      </c>
      <c r="Z41" s="14">
        <v>0</v>
      </c>
      <c r="AA41" s="17"/>
      <c r="AB41" s="7">
        <v>2022</v>
      </c>
      <c r="AC41" s="14">
        <v>50</v>
      </c>
      <c r="AD41" s="17"/>
      <c r="AE41" s="7">
        <v>2022</v>
      </c>
      <c r="AF41" s="14">
        <v>100</v>
      </c>
      <c r="AG41" s="14"/>
      <c r="AH41" s="7">
        <v>2022</v>
      </c>
      <c r="AI41" s="21">
        <v>50</v>
      </c>
      <c r="AJ41" s="17" t="s">
        <v>1255</v>
      </c>
      <c r="AK41" s="7">
        <v>2022</v>
      </c>
      <c r="AL41" s="82">
        <v>50</v>
      </c>
      <c r="AM41" s="86"/>
    </row>
    <row r="42" spans="1:39" ht="24.75" customHeight="1">
      <c r="A42" s="7">
        <v>2023</v>
      </c>
      <c r="B42" s="16">
        <f>AVERAGE(E42,H42,K42,N42,Z42,AC42,AF42)</f>
        <v>38.142857142857146</v>
      </c>
      <c r="C42" s="16"/>
      <c r="D42" s="7">
        <v>2023</v>
      </c>
      <c r="E42" s="82">
        <v>67</v>
      </c>
      <c r="F42" s="83" t="s">
        <v>1990</v>
      </c>
      <c r="G42" s="7">
        <v>2023</v>
      </c>
      <c r="H42" s="14">
        <v>0</v>
      </c>
      <c r="I42" s="17" t="s">
        <v>1256</v>
      </c>
      <c r="J42" s="7">
        <v>2023</v>
      </c>
      <c r="K42" s="82">
        <v>0</v>
      </c>
      <c r="L42" s="83" t="s">
        <v>1257</v>
      </c>
      <c r="M42" s="7">
        <v>2023</v>
      </c>
      <c r="N42" s="31">
        <f t="shared" si="2"/>
        <v>50</v>
      </c>
      <c r="O42" s="14"/>
      <c r="P42" s="7">
        <v>2023</v>
      </c>
      <c r="Q42" s="14">
        <v>50</v>
      </c>
      <c r="R42" s="23" t="s">
        <v>1258</v>
      </c>
      <c r="S42" s="7">
        <v>2023</v>
      </c>
      <c r="T42" s="82">
        <v>50</v>
      </c>
      <c r="U42" s="83" t="s">
        <v>1259</v>
      </c>
      <c r="V42" s="7">
        <v>2023</v>
      </c>
      <c r="W42" s="14">
        <v>50</v>
      </c>
      <c r="X42" s="17" t="s">
        <v>1260</v>
      </c>
      <c r="Y42" s="7">
        <v>2023</v>
      </c>
      <c r="Z42" s="14">
        <v>0</v>
      </c>
      <c r="AA42" s="17" t="s">
        <v>1261</v>
      </c>
      <c r="AB42" s="7">
        <v>2023</v>
      </c>
      <c r="AC42" s="14">
        <v>50</v>
      </c>
      <c r="AD42" s="17" t="s">
        <v>1262</v>
      </c>
      <c r="AE42" s="7">
        <v>2023</v>
      </c>
      <c r="AF42" s="14">
        <v>100</v>
      </c>
      <c r="AG42" s="14"/>
      <c r="AH42" s="7">
        <v>2023</v>
      </c>
      <c r="AI42" s="21">
        <v>50</v>
      </c>
      <c r="AJ42" s="17" t="s">
        <v>1263</v>
      </c>
      <c r="AK42" s="7">
        <v>2023</v>
      </c>
      <c r="AL42" s="82">
        <v>50</v>
      </c>
      <c r="AM42" s="86" t="s">
        <v>1264</v>
      </c>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59" t="s">
        <v>1265</v>
      </c>
      <c r="L48" s="310"/>
      <c r="M48" s="7" t="s">
        <v>30</v>
      </c>
      <c r="N48" s="325" t="s">
        <v>197</v>
      </c>
      <c r="O48" s="325"/>
      <c r="P48" s="7" t="s">
        <v>30</v>
      </c>
      <c r="Q48" s="310" t="s">
        <v>198</v>
      </c>
      <c r="R48" s="310"/>
    </row>
    <row r="49" spans="1:24" ht="24.75" customHeight="1">
      <c r="A49" s="7" t="s">
        <v>41</v>
      </c>
      <c r="B49" s="310" t="s">
        <v>42</v>
      </c>
      <c r="C49" s="310"/>
      <c r="D49" s="7" t="s">
        <v>41</v>
      </c>
      <c r="E49" s="358" t="s">
        <v>1090</v>
      </c>
      <c r="F49" s="325"/>
      <c r="G49" s="7" t="s">
        <v>41</v>
      </c>
      <c r="H49" s="359" t="s">
        <v>1091</v>
      </c>
      <c r="I49" s="310"/>
      <c r="J49" s="7" t="s">
        <v>41</v>
      </c>
      <c r="K49" s="359" t="s">
        <v>1266</v>
      </c>
      <c r="L49" s="310"/>
      <c r="M49" s="7" t="s">
        <v>41</v>
      </c>
      <c r="N49" s="361" t="s">
        <v>1093</v>
      </c>
      <c r="O49" s="325"/>
      <c r="P49" s="7" t="s">
        <v>41</v>
      </c>
      <c r="Q49" s="358" t="s">
        <v>1094</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AVERAGE(E51,H51,K51,N51,Q51)</f>
        <v>85</v>
      </c>
      <c r="C51" s="16"/>
      <c r="D51" s="7">
        <v>2020</v>
      </c>
      <c r="E51" s="82">
        <v>75</v>
      </c>
      <c r="F51" s="83"/>
      <c r="G51" s="7">
        <v>2020</v>
      </c>
      <c r="H51" s="82">
        <v>100</v>
      </c>
      <c r="I51" s="83"/>
      <c r="J51" s="7">
        <v>2020</v>
      </c>
      <c r="K51" s="82">
        <v>50</v>
      </c>
      <c r="L51" s="86"/>
      <c r="M51" s="7">
        <v>2020</v>
      </c>
      <c r="N51" s="82">
        <v>100</v>
      </c>
      <c r="O51" s="83"/>
      <c r="P51" s="7">
        <v>2020</v>
      </c>
      <c r="Q51" s="82">
        <v>100</v>
      </c>
      <c r="R51" s="86"/>
    </row>
    <row r="52" spans="1:24" ht="24.75" customHeight="1">
      <c r="A52" s="7">
        <v>2021</v>
      </c>
      <c r="B52" s="15">
        <f t="shared" ref="B52:B54" si="3">AVERAGE(E52,H52,K52,N52,Q52)</f>
        <v>85</v>
      </c>
      <c r="C52" s="15"/>
      <c r="D52" s="7">
        <v>2021</v>
      </c>
      <c r="E52" s="82">
        <v>75</v>
      </c>
      <c r="F52" s="83"/>
      <c r="G52" s="7">
        <v>2021</v>
      </c>
      <c r="H52" s="82">
        <v>100</v>
      </c>
      <c r="I52" s="83"/>
      <c r="J52" s="7">
        <v>2021</v>
      </c>
      <c r="K52" s="82">
        <v>50</v>
      </c>
      <c r="L52" s="83"/>
      <c r="M52" s="7">
        <v>2021</v>
      </c>
      <c r="N52" s="82">
        <v>100</v>
      </c>
      <c r="O52" s="83"/>
      <c r="P52" s="7">
        <v>2021</v>
      </c>
      <c r="Q52" s="82">
        <v>100</v>
      </c>
      <c r="R52" s="86" t="s">
        <v>1267</v>
      </c>
    </row>
    <row r="53" spans="1:24" ht="24.75" customHeight="1">
      <c r="A53" s="7">
        <v>2022</v>
      </c>
      <c r="B53" s="15">
        <f t="shared" si="3"/>
        <v>60</v>
      </c>
      <c r="C53" s="15"/>
      <c r="D53" s="7">
        <v>2022</v>
      </c>
      <c r="E53" s="82">
        <v>75</v>
      </c>
      <c r="F53" s="83"/>
      <c r="G53" s="7">
        <v>2022</v>
      </c>
      <c r="H53" s="82">
        <v>100</v>
      </c>
      <c r="I53" s="83"/>
      <c r="J53" s="7">
        <v>2022</v>
      </c>
      <c r="K53" s="84">
        <v>25</v>
      </c>
      <c r="L53" s="83"/>
      <c r="M53" s="7">
        <v>2022</v>
      </c>
      <c r="N53" s="82">
        <v>50</v>
      </c>
      <c r="O53" s="83"/>
      <c r="P53" s="7">
        <v>2022</v>
      </c>
      <c r="Q53" s="82">
        <v>50</v>
      </c>
      <c r="R53" s="191"/>
    </row>
    <row r="54" spans="1:24" ht="24.75" customHeight="1">
      <c r="A54" s="7">
        <v>2023</v>
      </c>
      <c r="B54" s="15">
        <f t="shared" si="3"/>
        <v>60</v>
      </c>
      <c r="C54" s="15"/>
      <c r="D54" s="7">
        <v>2023</v>
      </c>
      <c r="E54" s="82">
        <v>75</v>
      </c>
      <c r="F54" s="83"/>
      <c r="G54" s="7">
        <v>2023</v>
      </c>
      <c r="H54" s="82">
        <v>100</v>
      </c>
      <c r="I54" s="83"/>
      <c r="J54" s="7">
        <v>2023</v>
      </c>
      <c r="K54" s="82">
        <v>25</v>
      </c>
      <c r="L54" s="86" t="s">
        <v>1991</v>
      </c>
      <c r="M54" s="7">
        <v>2023</v>
      </c>
      <c r="N54" s="82">
        <v>50</v>
      </c>
      <c r="O54" s="86" t="s">
        <v>1992</v>
      </c>
      <c r="P54" s="7">
        <v>2023</v>
      </c>
      <c r="Q54" s="82">
        <v>50</v>
      </c>
      <c r="R54" s="86" t="s">
        <v>1993</v>
      </c>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AVERAGE(E63,((H63+K63)/2),((N63+Q63+T63)/3),W63)</f>
        <v>50</v>
      </c>
      <c r="C63" s="16"/>
      <c r="D63" s="7">
        <v>2020</v>
      </c>
      <c r="E63" s="21">
        <v>0</v>
      </c>
      <c r="F63" s="17" t="s">
        <v>1268</v>
      </c>
      <c r="G63" s="7">
        <v>2020</v>
      </c>
      <c r="H63" s="14">
        <v>100</v>
      </c>
      <c r="I63" s="17"/>
      <c r="J63" s="7">
        <v>2020</v>
      </c>
      <c r="K63" s="14">
        <v>0</v>
      </c>
      <c r="L63" s="17"/>
      <c r="M63" s="7">
        <v>2020</v>
      </c>
      <c r="N63" s="14">
        <v>50</v>
      </c>
      <c r="O63" s="17"/>
      <c r="P63" s="7">
        <v>2020</v>
      </c>
      <c r="Q63" s="14">
        <v>100</v>
      </c>
      <c r="R63" s="17"/>
      <c r="S63" s="7">
        <v>2020</v>
      </c>
      <c r="T63" s="14">
        <v>0</v>
      </c>
      <c r="U63" s="17"/>
      <c r="V63" s="7">
        <v>2020</v>
      </c>
      <c r="W63" s="14">
        <v>100</v>
      </c>
      <c r="X63" s="23"/>
    </row>
    <row r="64" spans="1:24" ht="24.75" customHeight="1">
      <c r="A64" s="7">
        <v>2021</v>
      </c>
      <c r="B64" s="15">
        <f t="shared" ref="B64:B66" si="4">AVERAGE(E64,((H64+K64)/2),((N64+Q64+T64)/3),W64)</f>
        <v>50</v>
      </c>
      <c r="C64" s="15"/>
      <c r="D64" s="7">
        <v>2021</v>
      </c>
      <c r="E64" s="21">
        <v>0</v>
      </c>
      <c r="F64" s="17"/>
      <c r="G64" s="7">
        <v>2021</v>
      </c>
      <c r="H64" s="14">
        <v>100</v>
      </c>
      <c r="I64" s="17"/>
      <c r="J64" s="7">
        <v>2021</v>
      </c>
      <c r="K64" s="14">
        <v>0</v>
      </c>
      <c r="L64" s="17"/>
      <c r="M64" s="7">
        <v>2021</v>
      </c>
      <c r="N64" s="14">
        <v>50</v>
      </c>
      <c r="O64" s="17"/>
      <c r="P64" s="7">
        <v>2021</v>
      </c>
      <c r="Q64" s="14">
        <v>100</v>
      </c>
      <c r="R64" s="17"/>
      <c r="S64" s="7">
        <v>2021</v>
      </c>
      <c r="T64" s="14">
        <v>0</v>
      </c>
      <c r="U64" s="17"/>
      <c r="V64" s="7">
        <v>2021</v>
      </c>
      <c r="W64" s="14">
        <v>100</v>
      </c>
      <c r="X64" s="23"/>
    </row>
    <row r="65" spans="1:33" ht="24.75" customHeight="1">
      <c r="A65" s="7">
        <v>2022</v>
      </c>
      <c r="B65" s="15">
        <f t="shared" si="4"/>
        <v>50</v>
      </c>
      <c r="C65" s="15"/>
      <c r="D65" s="7">
        <v>2022</v>
      </c>
      <c r="E65" s="21">
        <v>0</v>
      </c>
      <c r="F65" s="17"/>
      <c r="G65" s="7">
        <v>2022</v>
      </c>
      <c r="H65" s="14">
        <v>100</v>
      </c>
      <c r="I65" s="17"/>
      <c r="J65" s="7">
        <v>2022</v>
      </c>
      <c r="K65" s="14">
        <v>0</v>
      </c>
      <c r="L65" s="17"/>
      <c r="M65" s="7">
        <v>2022</v>
      </c>
      <c r="N65" s="14">
        <v>50</v>
      </c>
      <c r="O65" s="17"/>
      <c r="P65" s="7">
        <v>2022</v>
      </c>
      <c r="Q65" s="14">
        <v>100</v>
      </c>
      <c r="R65" s="17"/>
      <c r="S65" s="7">
        <v>2022</v>
      </c>
      <c r="T65" s="14">
        <v>0</v>
      </c>
      <c r="U65" s="17"/>
      <c r="V65" s="7">
        <v>2022</v>
      </c>
      <c r="W65" s="14">
        <v>100</v>
      </c>
      <c r="X65" s="23"/>
    </row>
    <row r="66" spans="1:33" ht="24.75" customHeight="1">
      <c r="A66" s="7">
        <v>2023</v>
      </c>
      <c r="B66" s="15">
        <f t="shared" si="4"/>
        <v>50</v>
      </c>
      <c r="C66" s="15"/>
      <c r="D66" s="7">
        <v>2023</v>
      </c>
      <c r="E66" s="21">
        <v>0</v>
      </c>
      <c r="F66" s="17" t="s">
        <v>1269</v>
      </c>
      <c r="G66" s="7">
        <v>2023</v>
      </c>
      <c r="H66" s="14">
        <v>100</v>
      </c>
      <c r="I66" s="17" t="s">
        <v>1270</v>
      </c>
      <c r="J66" s="7">
        <v>2023</v>
      </c>
      <c r="K66" s="14">
        <v>0</v>
      </c>
      <c r="L66" s="17" t="s">
        <v>1271</v>
      </c>
      <c r="M66" s="7">
        <v>2023</v>
      </c>
      <c r="N66" s="14">
        <v>50</v>
      </c>
      <c r="O66" s="17"/>
      <c r="P66" s="7">
        <v>2023</v>
      </c>
      <c r="Q66" s="14">
        <v>100</v>
      </c>
      <c r="R66" s="17" t="s">
        <v>1272</v>
      </c>
      <c r="S66" s="7">
        <v>2023</v>
      </c>
      <c r="T66" s="14">
        <v>0</v>
      </c>
      <c r="U66" s="17" t="s">
        <v>1273</v>
      </c>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1274</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AVERAGE(E75,H75,K75,Z75)</f>
        <v>79.25</v>
      </c>
      <c r="C75" s="15"/>
      <c r="D75" s="7">
        <v>2020</v>
      </c>
      <c r="E75" s="14">
        <v>100</v>
      </c>
      <c r="F75" s="17"/>
      <c r="G75" s="7">
        <v>2020</v>
      </c>
      <c r="H75" s="14">
        <v>67</v>
      </c>
      <c r="I75" s="17"/>
      <c r="J75" s="7">
        <v>2020</v>
      </c>
      <c r="K75" s="31">
        <f>AVERAGE(N75,Q75,T75,W75)</f>
        <v>50</v>
      </c>
      <c r="L75" s="14"/>
      <c r="M75" s="7">
        <v>2020</v>
      </c>
      <c r="N75" s="21">
        <v>100</v>
      </c>
      <c r="O75" s="17"/>
      <c r="P75" s="7">
        <v>2020</v>
      </c>
      <c r="Q75" s="21">
        <v>100</v>
      </c>
      <c r="R75" s="17"/>
      <c r="S75" s="7">
        <v>2020</v>
      </c>
      <c r="T75" s="21">
        <v>0</v>
      </c>
      <c r="U75" s="17"/>
      <c r="V75" s="7">
        <v>2020</v>
      </c>
      <c r="W75" s="21">
        <v>0</v>
      </c>
      <c r="X75" s="17"/>
      <c r="Y75" s="7">
        <v>2020</v>
      </c>
      <c r="Z75" s="14">
        <v>100</v>
      </c>
      <c r="AA75" s="23"/>
    </row>
    <row r="76" spans="1:33" ht="24.75" customHeight="1">
      <c r="A76" s="7">
        <v>2021</v>
      </c>
      <c r="B76" s="15">
        <f t="shared" ref="B76:B78" si="5">AVERAGE(E76,H76,K76,Z76)</f>
        <v>79.25</v>
      </c>
      <c r="C76" s="15"/>
      <c r="D76" s="7">
        <v>2021</v>
      </c>
      <c r="E76" s="14">
        <v>100</v>
      </c>
      <c r="F76" s="17"/>
      <c r="G76" s="7">
        <v>2021</v>
      </c>
      <c r="H76" s="14">
        <v>67</v>
      </c>
      <c r="I76" s="17"/>
      <c r="J76" s="7">
        <v>2021</v>
      </c>
      <c r="K76" s="31">
        <f t="shared" ref="K76:K78" si="6">AVERAGE(N76,Q76,T76,W76)</f>
        <v>50</v>
      </c>
      <c r="L76" s="14"/>
      <c r="M76" s="7">
        <v>2021</v>
      </c>
      <c r="N76" s="21">
        <v>100</v>
      </c>
      <c r="O76" s="17"/>
      <c r="P76" s="7">
        <v>2021</v>
      </c>
      <c r="Q76" s="21">
        <v>100</v>
      </c>
      <c r="R76" s="17"/>
      <c r="S76" s="7">
        <v>2021</v>
      </c>
      <c r="T76" s="21">
        <v>0</v>
      </c>
      <c r="U76" s="17"/>
      <c r="V76" s="7">
        <v>2021</v>
      </c>
      <c r="W76" s="21">
        <v>0</v>
      </c>
      <c r="X76" s="17"/>
      <c r="Y76" s="7">
        <v>2021</v>
      </c>
      <c r="Z76" s="14">
        <v>100</v>
      </c>
      <c r="AA76" s="23"/>
    </row>
    <row r="77" spans="1:33" ht="24.75" customHeight="1">
      <c r="A77" s="7">
        <v>2022</v>
      </c>
      <c r="B77" s="15">
        <f t="shared" si="5"/>
        <v>79.25</v>
      </c>
      <c r="C77" s="15"/>
      <c r="D77" s="7">
        <v>2022</v>
      </c>
      <c r="E77" s="14">
        <v>100</v>
      </c>
      <c r="F77" s="17"/>
      <c r="G77" s="7">
        <v>2022</v>
      </c>
      <c r="H77" s="14">
        <v>67</v>
      </c>
      <c r="I77" s="17"/>
      <c r="J77" s="7">
        <v>2022</v>
      </c>
      <c r="K77" s="31">
        <f t="shared" si="6"/>
        <v>50</v>
      </c>
      <c r="L77" s="14"/>
      <c r="M77" s="7">
        <v>2022</v>
      </c>
      <c r="N77" s="21">
        <v>100</v>
      </c>
      <c r="O77" s="17"/>
      <c r="P77" s="7">
        <v>2022</v>
      </c>
      <c r="Q77" s="21">
        <v>100</v>
      </c>
      <c r="R77" s="17"/>
      <c r="S77" s="7">
        <v>2022</v>
      </c>
      <c r="T77" s="21">
        <v>0</v>
      </c>
      <c r="U77" s="17"/>
      <c r="V77" s="7">
        <v>2022</v>
      </c>
      <c r="W77" s="21">
        <v>0</v>
      </c>
      <c r="X77" s="17"/>
      <c r="Y77" s="7">
        <v>2022</v>
      </c>
      <c r="Z77" s="14">
        <v>100</v>
      </c>
      <c r="AA77" s="23"/>
    </row>
    <row r="78" spans="1:33" ht="24.75" customHeight="1">
      <c r="A78" s="7">
        <v>2023</v>
      </c>
      <c r="B78" s="15">
        <f t="shared" si="5"/>
        <v>79.25</v>
      </c>
      <c r="C78" s="15"/>
      <c r="D78" s="7">
        <v>2023</v>
      </c>
      <c r="E78" s="14">
        <v>100</v>
      </c>
      <c r="F78" s="17" t="s">
        <v>1275</v>
      </c>
      <c r="G78" s="7">
        <v>2023</v>
      </c>
      <c r="H78" s="14">
        <v>67</v>
      </c>
      <c r="I78" s="17" t="s">
        <v>1276</v>
      </c>
      <c r="J78" s="7">
        <v>2023</v>
      </c>
      <c r="K78" s="31">
        <f t="shared" si="6"/>
        <v>50</v>
      </c>
      <c r="L78" s="14"/>
      <c r="M78" s="7">
        <v>2023</v>
      </c>
      <c r="N78" s="21">
        <v>100</v>
      </c>
      <c r="O78" s="17" t="s">
        <v>1277</v>
      </c>
      <c r="P78" s="7">
        <v>2023</v>
      </c>
      <c r="Q78" s="21">
        <v>100</v>
      </c>
      <c r="R78" s="151" t="s">
        <v>1278</v>
      </c>
      <c r="S78" s="7">
        <v>2023</v>
      </c>
      <c r="T78" s="21">
        <v>0</v>
      </c>
      <c r="U78" s="83" t="s">
        <v>1279</v>
      </c>
      <c r="V78" s="7">
        <v>2023</v>
      </c>
      <c r="W78" s="21">
        <v>0</v>
      </c>
      <c r="X78" s="17" t="s">
        <v>1280</v>
      </c>
      <c r="Y78" s="7">
        <v>2023</v>
      </c>
      <c r="Z78" s="14">
        <v>100</v>
      </c>
      <c r="AA78" s="23" t="s">
        <v>1281</v>
      </c>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65" t="s">
        <v>293</v>
      </c>
      <c r="X84" s="365"/>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89.583333333333329</v>
      </c>
      <c r="C87" s="15"/>
      <c r="D87" s="7">
        <v>2020</v>
      </c>
      <c r="E87" s="21">
        <v>100</v>
      </c>
      <c r="F87" s="17"/>
      <c r="G87" s="7">
        <v>2020</v>
      </c>
      <c r="H87" s="31">
        <f t="shared" ref="H87:H90" si="7">AVERAGE(K87,N87,Q87,T87)</f>
        <v>100</v>
      </c>
      <c r="I87" s="14"/>
      <c r="J87" s="7">
        <v>2020</v>
      </c>
      <c r="K87" s="14">
        <v>100</v>
      </c>
      <c r="L87" s="17"/>
      <c r="M87" s="7">
        <v>2020</v>
      </c>
      <c r="N87" s="14">
        <v>100</v>
      </c>
      <c r="O87" s="17"/>
      <c r="P87" s="7">
        <v>2020</v>
      </c>
      <c r="Q87" s="21">
        <v>100</v>
      </c>
      <c r="R87" s="17"/>
      <c r="S87" s="7">
        <v>2020</v>
      </c>
      <c r="T87" s="14">
        <v>100</v>
      </c>
      <c r="U87" s="17"/>
      <c r="V87" s="7">
        <v>2020</v>
      </c>
      <c r="W87" s="131">
        <v>75</v>
      </c>
      <c r="X87" s="86" t="s">
        <v>1994</v>
      </c>
      <c r="Y87" s="7">
        <v>2020</v>
      </c>
      <c r="Z87" s="14">
        <v>100</v>
      </c>
      <c r="AA87" s="17"/>
      <c r="AB87" s="7">
        <v>2020</v>
      </c>
      <c r="AC87" s="131">
        <v>100</v>
      </c>
      <c r="AD87" s="83"/>
      <c r="AE87" s="7">
        <v>2020</v>
      </c>
      <c r="AF87" s="82">
        <v>50</v>
      </c>
      <c r="AG87" s="86"/>
    </row>
    <row r="88" spans="1:51" ht="24.75" customHeight="1">
      <c r="A88" s="7">
        <v>2021</v>
      </c>
      <c r="B88" s="15">
        <f>AVERAGE(E88,H88, W88,((Z88+AC88+AF88)/3))</f>
        <v>89.583333333333329</v>
      </c>
      <c r="C88" s="15"/>
      <c r="D88" s="7">
        <v>2021</v>
      </c>
      <c r="E88" s="21">
        <v>100</v>
      </c>
      <c r="F88" s="17"/>
      <c r="G88" s="7">
        <v>2021</v>
      </c>
      <c r="H88" s="31">
        <f>AVERAGE(K88,N88,Q88,T88)</f>
        <v>100</v>
      </c>
      <c r="I88" s="14"/>
      <c r="J88" s="7">
        <v>2021</v>
      </c>
      <c r="K88" s="14">
        <v>100</v>
      </c>
      <c r="L88" s="17"/>
      <c r="M88" s="7">
        <v>2021</v>
      </c>
      <c r="N88" s="14">
        <v>100</v>
      </c>
      <c r="O88" s="17"/>
      <c r="P88" s="7">
        <v>2021</v>
      </c>
      <c r="Q88" s="21">
        <v>100</v>
      </c>
      <c r="R88" s="17"/>
      <c r="S88" s="7">
        <v>2021</v>
      </c>
      <c r="T88" s="14">
        <v>100</v>
      </c>
      <c r="U88" s="17"/>
      <c r="V88" s="7">
        <v>2021</v>
      </c>
      <c r="W88" s="131">
        <v>75</v>
      </c>
      <c r="X88" s="83"/>
      <c r="Y88" s="7">
        <v>2021</v>
      </c>
      <c r="Z88" s="14">
        <v>100</v>
      </c>
      <c r="AA88" s="17"/>
      <c r="AB88" s="7">
        <v>2021</v>
      </c>
      <c r="AC88" s="131">
        <v>100</v>
      </c>
      <c r="AD88" s="83"/>
      <c r="AE88" s="7">
        <v>2021</v>
      </c>
      <c r="AF88" s="82">
        <v>50</v>
      </c>
      <c r="AG88" s="86"/>
    </row>
    <row r="89" spans="1:51" ht="24.75" customHeight="1">
      <c r="A89" s="7">
        <v>2022</v>
      </c>
      <c r="B89" s="15">
        <f>AVERAGE(E89,H89, W89,((Z89+AC89+AF89)/3))</f>
        <v>89.583333333333329</v>
      </c>
      <c r="C89" s="15"/>
      <c r="D89" s="7">
        <v>2022</v>
      </c>
      <c r="E89" s="21">
        <v>100</v>
      </c>
      <c r="F89" s="17"/>
      <c r="G89" s="7">
        <v>2022</v>
      </c>
      <c r="H89" s="31">
        <f t="shared" si="7"/>
        <v>100</v>
      </c>
      <c r="I89" s="14"/>
      <c r="J89" s="7">
        <v>2022</v>
      </c>
      <c r="K89" s="14">
        <v>100</v>
      </c>
      <c r="L89" s="17"/>
      <c r="M89" s="7">
        <v>2022</v>
      </c>
      <c r="N89" s="14">
        <v>100</v>
      </c>
      <c r="O89" s="17"/>
      <c r="P89" s="7">
        <v>2022</v>
      </c>
      <c r="Q89" s="21">
        <v>100</v>
      </c>
      <c r="R89" s="17"/>
      <c r="S89" s="7">
        <v>2022</v>
      </c>
      <c r="T89" s="14">
        <v>100</v>
      </c>
      <c r="U89" s="17"/>
      <c r="V89" s="7">
        <v>2022</v>
      </c>
      <c r="W89" s="131">
        <v>75</v>
      </c>
      <c r="X89" s="83"/>
      <c r="Y89" s="7">
        <v>2022</v>
      </c>
      <c r="Z89" s="14">
        <v>100</v>
      </c>
      <c r="AA89" s="17"/>
      <c r="AB89" s="7">
        <v>2022</v>
      </c>
      <c r="AC89" s="131">
        <v>100</v>
      </c>
      <c r="AD89" s="189"/>
      <c r="AE89" s="7">
        <v>2022</v>
      </c>
      <c r="AF89" s="82">
        <v>50</v>
      </c>
      <c r="AG89" s="191"/>
    </row>
    <row r="90" spans="1:51" ht="24.75" customHeight="1">
      <c r="A90" s="7">
        <v>2023</v>
      </c>
      <c r="B90" s="15">
        <f>AVERAGE(E90,H90, W90,((Z90+AC90+AF90)/3))</f>
        <v>89.583333333333329</v>
      </c>
      <c r="C90" s="15"/>
      <c r="D90" s="7">
        <v>2023</v>
      </c>
      <c r="E90" s="21">
        <v>100</v>
      </c>
      <c r="F90" s="20"/>
      <c r="G90" s="7">
        <v>2023</v>
      </c>
      <c r="H90" s="31">
        <f t="shared" si="7"/>
        <v>100</v>
      </c>
      <c r="I90" s="14"/>
      <c r="J90" s="7">
        <v>2023</v>
      </c>
      <c r="K90" s="14">
        <v>100</v>
      </c>
      <c r="L90" s="17"/>
      <c r="M90" s="7">
        <v>2023</v>
      </c>
      <c r="N90" s="14">
        <v>100</v>
      </c>
      <c r="O90" s="17"/>
      <c r="P90" s="7">
        <v>2023</v>
      </c>
      <c r="Q90" s="21">
        <v>100</v>
      </c>
      <c r="R90" s="23" t="s">
        <v>1282</v>
      </c>
      <c r="S90" s="7">
        <v>2023</v>
      </c>
      <c r="T90" s="14">
        <v>100</v>
      </c>
      <c r="U90" s="17" t="s">
        <v>1283</v>
      </c>
      <c r="V90" s="7">
        <v>2023</v>
      </c>
      <c r="W90" s="131">
        <v>75</v>
      </c>
      <c r="X90" s="189"/>
      <c r="Y90" s="7">
        <v>2023</v>
      </c>
      <c r="Z90" s="14">
        <v>100</v>
      </c>
      <c r="AA90" s="17" t="s">
        <v>1995</v>
      </c>
      <c r="AB90" s="7">
        <v>2023</v>
      </c>
      <c r="AC90" s="131">
        <v>100</v>
      </c>
      <c r="AD90" s="83" t="s">
        <v>1996</v>
      </c>
      <c r="AE90" s="7">
        <v>2023</v>
      </c>
      <c r="AF90" s="82">
        <v>50</v>
      </c>
      <c r="AG90" s="86" t="s">
        <v>1997</v>
      </c>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85.416666666666671</v>
      </c>
      <c r="C99" s="43"/>
      <c r="D99" s="27">
        <v>2020</v>
      </c>
      <c r="E99" s="14">
        <v>50</v>
      </c>
      <c r="F99" s="23" t="s">
        <v>1284</v>
      </c>
      <c r="G99" s="7">
        <v>2020</v>
      </c>
      <c r="H99" s="44">
        <v>50</v>
      </c>
      <c r="I99" s="23" t="s">
        <v>1285</v>
      </c>
      <c r="J99" s="27">
        <v>2020</v>
      </c>
      <c r="K99" s="74">
        <v>50</v>
      </c>
      <c r="L99" s="23" t="s">
        <v>1285</v>
      </c>
      <c r="M99" s="7">
        <v>2020</v>
      </c>
      <c r="N99" s="21">
        <v>50</v>
      </c>
      <c r="O99" s="23" t="s">
        <v>1284</v>
      </c>
      <c r="P99" s="27">
        <v>2020</v>
      </c>
      <c r="Q99" s="14">
        <v>50</v>
      </c>
      <c r="R99" s="23" t="s">
        <v>1284</v>
      </c>
      <c r="S99" s="7">
        <v>2020</v>
      </c>
      <c r="T99" s="21">
        <v>0</v>
      </c>
      <c r="U99" s="23"/>
      <c r="V99" s="7">
        <v>2020</v>
      </c>
      <c r="W99" s="82">
        <v>100</v>
      </c>
      <c r="X99" s="86"/>
      <c r="Y99" s="7">
        <v>2020</v>
      </c>
      <c r="Z99" s="82">
        <v>100</v>
      </c>
      <c r="AA99" s="86"/>
      <c r="AB99" s="7">
        <v>2020</v>
      </c>
      <c r="AC99" s="21">
        <v>100</v>
      </c>
      <c r="AD99" s="23"/>
      <c r="AE99" s="7">
        <v>2020</v>
      </c>
      <c r="AF99" s="14">
        <v>100</v>
      </c>
      <c r="AG99" s="23"/>
      <c r="AH99" s="7">
        <v>2020</v>
      </c>
      <c r="AI99" s="84">
        <v>100</v>
      </c>
      <c r="AJ99" s="86"/>
      <c r="AK99" s="7">
        <v>2020</v>
      </c>
      <c r="AL99" s="21">
        <v>100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85.416666666666671</v>
      </c>
      <c r="C100" s="49"/>
      <c r="D100" s="27">
        <v>2021</v>
      </c>
      <c r="E100" s="14">
        <v>50</v>
      </c>
      <c r="F100" s="23"/>
      <c r="G100" s="7">
        <v>2021</v>
      </c>
      <c r="H100" s="44">
        <v>50</v>
      </c>
      <c r="I100" s="23"/>
      <c r="J100" s="27">
        <v>2021</v>
      </c>
      <c r="K100" s="74">
        <v>50</v>
      </c>
      <c r="L100" s="23"/>
      <c r="M100" s="7">
        <v>2021</v>
      </c>
      <c r="N100" s="21">
        <v>50</v>
      </c>
      <c r="O100" s="23"/>
      <c r="P100" s="27">
        <v>2021</v>
      </c>
      <c r="Q100" s="14">
        <v>50</v>
      </c>
      <c r="R100" s="23"/>
      <c r="S100" s="7">
        <v>2021</v>
      </c>
      <c r="T100" s="21">
        <v>0</v>
      </c>
      <c r="U100" s="23"/>
      <c r="V100" s="7">
        <v>2021</v>
      </c>
      <c r="W100" s="82">
        <v>100</v>
      </c>
      <c r="X100" s="86"/>
      <c r="Y100" s="7">
        <v>2021</v>
      </c>
      <c r="Z100" s="82">
        <v>100</v>
      </c>
      <c r="AA100" s="86"/>
      <c r="AB100" s="7">
        <v>2021</v>
      </c>
      <c r="AC100" s="21">
        <v>100</v>
      </c>
      <c r="AD100" s="23"/>
      <c r="AE100" s="7">
        <v>2021</v>
      </c>
      <c r="AF100" s="14">
        <v>100</v>
      </c>
      <c r="AG100" s="23"/>
      <c r="AH100" s="7">
        <v>2021</v>
      </c>
      <c r="AI100" s="84">
        <v>100</v>
      </c>
      <c r="AJ100" s="86"/>
      <c r="AK100" s="7">
        <v>2021</v>
      </c>
      <c r="AL100" s="21">
        <v>100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85.416666666666671</v>
      </c>
      <c r="C101" s="49"/>
      <c r="D101" s="27">
        <v>2022</v>
      </c>
      <c r="E101" s="14">
        <v>50</v>
      </c>
      <c r="F101" s="23"/>
      <c r="G101" s="27">
        <v>2022</v>
      </c>
      <c r="H101" s="44">
        <v>50</v>
      </c>
      <c r="I101" s="23"/>
      <c r="J101" s="27">
        <v>2022</v>
      </c>
      <c r="K101" s="74">
        <v>50</v>
      </c>
      <c r="L101" s="23"/>
      <c r="M101" s="27">
        <v>2022</v>
      </c>
      <c r="N101" s="21">
        <v>50</v>
      </c>
      <c r="O101" s="23"/>
      <c r="P101" s="27">
        <v>2022</v>
      </c>
      <c r="Q101" s="14">
        <v>50</v>
      </c>
      <c r="R101" s="23"/>
      <c r="S101" s="27">
        <v>2022</v>
      </c>
      <c r="T101" s="21">
        <v>0</v>
      </c>
      <c r="U101" s="23"/>
      <c r="V101" s="27">
        <v>2022</v>
      </c>
      <c r="W101" s="82">
        <v>100</v>
      </c>
      <c r="X101" s="86"/>
      <c r="Y101" s="27">
        <v>2022</v>
      </c>
      <c r="Z101" s="82">
        <v>100</v>
      </c>
      <c r="AA101" s="86"/>
      <c r="AB101" s="27">
        <v>2022</v>
      </c>
      <c r="AC101" s="21">
        <v>100</v>
      </c>
      <c r="AD101" s="23"/>
      <c r="AE101" s="27">
        <v>2022</v>
      </c>
      <c r="AF101" s="14">
        <v>100</v>
      </c>
      <c r="AG101" s="23"/>
      <c r="AH101" s="27">
        <v>2022</v>
      </c>
      <c r="AI101" s="84">
        <v>100</v>
      </c>
      <c r="AJ101" s="191"/>
      <c r="AK101" s="27">
        <v>2022</v>
      </c>
      <c r="AL101" s="21">
        <v>100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85.416666666666671</v>
      </c>
      <c r="C102" s="49"/>
      <c r="D102" s="27">
        <v>2023</v>
      </c>
      <c r="E102" s="14">
        <v>50</v>
      </c>
      <c r="F102" s="23" t="s">
        <v>1286</v>
      </c>
      <c r="G102" s="27">
        <v>2023</v>
      </c>
      <c r="H102" s="44">
        <v>50</v>
      </c>
      <c r="I102" s="86" t="s">
        <v>1287</v>
      </c>
      <c r="J102" s="27">
        <v>2023</v>
      </c>
      <c r="K102" s="74">
        <v>50</v>
      </c>
      <c r="L102" s="23" t="s">
        <v>1288</v>
      </c>
      <c r="M102" s="27">
        <v>2023</v>
      </c>
      <c r="N102" s="21">
        <v>50</v>
      </c>
      <c r="O102" s="86" t="s">
        <v>1289</v>
      </c>
      <c r="P102" s="27">
        <v>2023</v>
      </c>
      <c r="Q102" s="14">
        <v>50</v>
      </c>
      <c r="R102" s="86" t="s">
        <v>1290</v>
      </c>
      <c r="S102" s="27">
        <v>2023</v>
      </c>
      <c r="T102" s="21">
        <v>0</v>
      </c>
      <c r="U102" s="23" t="s">
        <v>1291</v>
      </c>
      <c r="V102" s="27">
        <v>2023</v>
      </c>
      <c r="W102" s="82">
        <v>100</v>
      </c>
      <c r="X102" s="86" t="s">
        <v>1292</v>
      </c>
      <c r="Y102" s="27">
        <v>2023</v>
      </c>
      <c r="Z102" s="82">
        <v>100</v>
      </c>
      <c r="AA102" s="86" t="s">
        <v>1293</v>
      </c>
      <c r="AB102" s="27">
        <v>2023</v>
      </c>
      <c r="AC102" s="21">
        <v>100</v>
      </c>
      <c r="AD102" s="22" t="s">
        <v>1294</v>
      </c>
      <c r="AE102" s="27">
        <v>2023</v>
      </c>
      <c r="AF102" s="14">
        <v>100</v>
      </c>
      <c r="AG102" s="23" t="s">
        <v>1295</v>
      </c>
      <c r="AH102" s="27">
        <v>2023</v>
      </c>
      <c r="AI102" s="84">
        <v>100</v>
      </c>
      <c r="AJ102" s="86" t="s">
        <v>1296</v>
      </c>
      <c r="AK102" s="27">
        <v>2023</v>
      </c>
      <c r="AL102" s="21">
        <v>100</v>
      </c>
      <c r="AM102" s="23" t="s">
        <v>1297</v>
      </c>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3CB2-742B-4979-9648-5E6F15EABAE7}">
  <dimension ref="A1:CC102"/>
  <sheetViews>
    <sheetView topLeftCell="A89" zoomScale="101" zoomScaleNormal="140" workbookViewId="0">
      <selection activeCell="B99" sqref="B99"/>
    </sheetView>
  </sheetViews>
  <sheetFormatPr defaultColWidth="8.90625" defaultRowHeight="18" customHeight="1"/>
  <cols>
    <col min="1" max="1" width="17.453125" style="1" customWidth="1"/>
    <col min="2" max="2" width="13.45312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90625" style="1"/>
  </cols>
  <sheetData>
    <row r="1" spans="1:81" ht="42" customHeight="1">
      <c r="A1" s="323" t="s">
        <v>0</v>
      </c>
      <c r="B1" s="323"/>
      <c r="C1" s="323"/>
      <c r="D1" s="323"/>
    </row>
    <row r="2" spans="1:81" ht="34.75" customHeight="1">
      <c r="A2" s="2" t="s">
        <v>1</v>
      </c>
      <c r="B2" s="2" t="s">
        <v>2</v>
      </c>
      <c r="C2" s="2" t="s">
        <v>3</v>
      </c>
      <c r="D2" s="2" t="s">
        <v>4</v>
      </c>
    </row>
    <row r="3" spans="1:81" ht="18" customHeight="1">
      <c r="A3" s="3">
        <v>2020</v>
      </c>
      <c r="B3" s="4">
        <f>AVERAGE(B15,B27,B39,B51,B63,B75,B87,B99)</f>
        <v>57.66617063492064</v>
      </c>
      <c r="C3" s="4">
        <f>AVERAGE(B15,B27,B39,B51,B63,B75,B87)</f>
        <v>54.594671201814059</v>
      </c>
      <c r="D3" s="4">
        <f>AVERAGE(B15,B27,B51,B63,B75,B87)</f>
        <v>56.550925925925924</v>
      </c>
    </row>
    <row r="4" spans="1:81" ht="18" customHeight="1">
      <c r="A4" s="3">
        <v>2021</v>
      </c>
      <c r="B4" s="4">
        <f>AVERAGE(B16,B28,B40,B52,B64,B76,B88,B100)</f>
        <v>57.66617063492064</v>
      </c>
      <c r="C4" s="4">
        <f>AVERAGE(B16,B28,B40,B52,B64,B76,B88)</f>
        <v>54.594671201814059</v>
      </c>
      <c r="D4" s="4">
        <f>AVERAGE(B16,B28,B52,B64,B76,B88)</f>
        <v>56.550925925925924</v>
      </c>
    </row>
    <row r="5" spans="1:81" ht="18" customHeight="1">
      <c r="A5" s="3">
        <v>2022</v>
      </c>
      <c r="B5" s="4">
        <f>AVERAGE(B17,B29,B41,B53,B65,B77,B89,B101)</f>
        <v>57.66617063492064</v>
      </c>
      <c r="C5" s="4">
        <f>AVERAGE(B17,B29,B41,B53,B65,B77,B89)</f>
        <v>54.594671201814059</v>
      </c>
      <c r="D5" s="4">
        <f>AVERAGE(B17,B29,B53,B65,B77,B89)</f>
        <v>56.550925925925924</v>
      </c>
    </row>
    <row r="6" spans="1:81" ht="18" customHeight="1">
      <c r="A6" s="3">
        <v>2023</v>
      </c>
      <c r="B6" s="4">
        <f>AVERAGE(B18,B30,B42,B54,B66,B78,B90,B102)</f>
        <v>57.66617063492064</v>
      </c>
      <c r="C6" s="4">
        <f>AVERAGE(B18,B30,B42,B54,B66,B78,B90)</f>
        <v>54.594671201814059</v>
      </c>
      <c r="D6" s="4">
        <f>AVERAGE(B18,B30,B54,B66,B78,B90)</f>
        <v>56.550925925925924</v>
      </c>
    </row>
    <row r="8" spans="1:81" ht="18" customHeight="1">
      <c r="A8" s="5" t="s">
        <v>5</v>
      </c>
      <c r="B8" s="372" t="s">
        <v>6</v>
      </c>
      <c r="C8" s="372"/>
      <c r="D8" s="372"/>
      <c r="E8" s="372"/>
      <c r="F8" s="372"/>
      <c r="G8" s="372"/>
      <c r="H8" s="372"/>
      <c r="I8" s="372"/>
      <c r="J8" s="372"/>
      <c r="K8" s="372"/>
      <c r="L8" s="372"/>
      <c r="M8" s="372"/>
      <c r="N8" s="372"/>
      <c r="O8" s="372"/>
      <c r="P8" s="372"/>
      <c r="Q8" s="372"/>
      <c r="R8" s="372"/>
      <c r="S8" s="372"/>
      <c r="T8" s="372"/>
      <c r="U8" s="372"/>
      <c r="V8" s="372"/>
      <c r="W8" s="372"/>
      <c r="X8" s="372"/>
      <c r="Y8" s="372"/>
      <c r="Z8" s="372"/>
      <c r="AA8" s="372"/>
      <c r="AB8" s="372"/>
      <c r="AC8" s="372"/>
      <c r="AD8" s="372"/>
      <c r="AE8" s="6"/>
      <c r="AF8" s="6"/>
      <c r="AG8" s="6"/>
      <c r="AH8" s="6"/>
      <c r="AI8" s="6"/>
      <c r="AJ8" s="6"/>
    </row>
    <row r="9" spans="1:81" ht="18"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18"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36"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90"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90"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18"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18" customHeight="1">
      <c r="A15" s="7">
        <v>2020</v>
      </c>
      <c r="B15" s="15">
        <f>AVERAGE(E15, H15,K15,N15,Q15,T15,W15,Z15,AC15)</f>
        <v>66.666666666666671</v>
      </c>
      <c r="C15" s="16"/>
      <c r="D15" s="7">
        <v>2020</v>
      </c>
      <c r="E15" s="14">
        <v>100</v>
      </c>
      <c r="F15" s="17"/>
      <c r="G15" s="7">
        <v>2020</v>
      </c>
      <c r="H15" s="14">
        <v>50</v>
      </c>
      <c r="I15" s="17" t="s">
        <v>1298</v>
      </c>
      <c r="J15" s="7">
        <v>2020</v>
      </c>
      <c r="K15" s="14">
        <v>100</v>
      </c>
      <c r="L15" s="17"/>
      <c r="M15" s="7">
        <v>2020</v>
      </c>
      <c r="N15" s="14">
        <v>100</v>
      </c>
      <c r="O15" s="17" t="s">
        <v>1299</v>
      </c>
      <c r="P15" s="7">
        <v>2020</v>
      </c>
      <c r="Q15" s="14">
        <v>100</v>
      </c>
      <c r="R15" s="17" t="s">
        <v>1300</v>
      </c>
      <c r="S15" s="7">
        <v>2020</v>
      </c>
      <c r="T15" s="80">
        <v>50</v>
      </c>
      <c r="U15" s="17" t="s">
        <v>1301</v>
      </c>
      <c r="V15" s="7">
        <v>2020</v>
      </c>
      <c r="W15" s="14">
        <v>0</v>
      </c>
      <c r="X15" s="17" t="s">
        <v>1302</v>
      </c>
      <c r="Y15" s="7">
        <v>2020</v>
      </c>
      <c r="Z15" s="14">
        <v>0</v>
      </c>
      <c r="AA15" s="17" t="s">
        <v>1303</v>
      </c>
      <c r="AB15" s="7">
        <v>2020</v>
      </c>
      <c r="AC15" s="21">
        <v>100</v>
      </c>
      <c r="AD15" s="23" t="s">
        <v>1304</v>
      </c>
    </row>
    <row r="16" spans="1:81" ht="18" customHeight="1">
      <c r="A16" s="7">
        <v>2021</v>
      </c>
      <c r="B16" s="15">
        <f t="shared" ref="B16:B18" si="0">AVERAGE(E16, H16,K16,N16,Q16,T16,W16,Z16,AC16)</f>
        <v>66.666666666666671</v>
      </c>
      <c r="C16" s="16"/>
      <c r="D16" s="7">
        <v>2021</v>
      </c>
      <c r="E16" s="14">
        <v>100</v>
      </c>
      <c r="F16" s="17"/>
      <c r="G16" s="7">
        <v>2021</v>
      </c>
      <c r="H16" s="14">
        <v>50</v>
      </c>
      <c r="I16" s="17"/>
      <c r="J16" s="7">
        <v>2021</v>
      </c>
      <c r="K16" s="14">
        <v>100</v>
      </c>
      <c r="L16" s="17"/>
      <c r="M16" s="7">
        <v>2021</v>
      </c>
      <c r="N16" s="14">
        <v>100</v>
      </c>
      <c r="O16" s="17"/>
      <c r="P16" s="7">
        <v>2021</v>
      </c>
      <c r="Q16" s="14">
        <v>100</v>
      </c>
      <c r="R16" s="17"/>
      <c r="S16" s="7">
        <v>2021</v>
      </c>
      <c r="T16" s="80">
        <v>50</v>
      </c>
      <c r="U16" s="17"/>
      <c r="V16" s="7">
        <v>2021</v>
      </c>
      <c r="W16" s="14">
        <v>0</v>
      </c>
      <c r="X16" s="17"/>
      <c r="Y16" s="7">
        <v>2021</v>
      </c>
      <c r="Z16" s="14">
        <v>0</v>
      </c>
      <c r="AA16" s="17"/>
      <c r="AB16" s="7">
        <v>2021</v>
      </c>
      <c r="AC16" s="21">
        <v>100</v>
      </c>
      <c r="AD16" s="23"/>
    </row>
    <row r="17" spans="1:51" ht="18" customHeight="1">
      <c r="A17" s="7">
        <v>2022</v>
      </c>
      <c r="B17" s="15">
        <f t="shared" si="0"/>
        <v>66.666666666666671</v>
      </c>
      <c r="C17" s="16"/>
      <c r="D17" s="7">
        <v>2022</v>
      </c>
      <c r="E17" s="14">
        <v>100</v>
      </c>
      <c r="F17" s="17"/>
      <c r="G17" s="7">
        <v>2022</v>
      </c>
      <c r="H17" s="14">
        <v>50</v>
      </c>
      <c r="I17" s="17"/>
      <c r="J17" s="7">
        <v>2022</v>
      </c>
      <c r="K17" s="14">
        <v>100</v>
      </c>
      <c r="L17" s="17"/>
      <c r="M17" s="7">
        <v>2022</v>
      </c>
      <c r="N17" s="14">
        <v>100</v>
      </c>
      <c r="O17" s="17"/>
      <c r="P17" s="7">
        <v>2022</v>
      </c>
      <c r="Q17" s="14">
        <v>100</v>
      </c>
      <c r="R17" s="17"/>
      <c r="S17" s="7">
        <v>2022</v>
      </c>
      <c r="T17" s="80">
        <v>50</v>
      </c>
      <c r="U17" s="17"/>
      <c r="V17" s="7">
        <v>2022</v>
      </c>
      <c r="W17" s="14">
        <v>0</v>
      </c>
      <c r="X17" s="17"/>
      <c r="Y17" s="7">
        <v>2022</v>
      </c>
      <c r="Z17" s="14">
        <v>0</v>
      </c>
      <c r="AA17" s="17"/>
      <c r="AB17" s="7">
        <v>2022</v>
      </c>
      <c r="AC17" s="21">
        <v>100</v>
      </c>
      <c r="AD17" s="23"/>
    </row>
    <row r="18" spans="1:51" ht="18" customHeight="1">
      <c r="A18" s="7">
        <v>2023</v>
      </c>
      <c r="B18" s="15">
        <f t="shared" si="0"/>
        <v>66.666666666666671</v>
      </c>
      <c r="C18" s="16"/>
      <c r="D18" s="7">
        <v>2023</v>
      </c>
      <c r="E18" s="14">
        <v>100</v>
      </c>
      <c r="F18" s="17"/>
      <c r="G18" s="7">
        <v>2023</v>
      </c>
      <c r="H18" s="14">
        <v>50</v>
      </c>
      <c r="I18" s="17"/>
      <c r="J18" s="7">
        <v>2023</v>
      </c>
      <c r="K18" s="14">
        <v>100</v>
      </c>
      <c r="L18" s="17"/>
      <c r="M18" s="7">
        <v>2023</v>
      </c>
      <c r="N18" s="14">
        <v>100</v>
      </c>
      <c r="O18" s="17" t="s">
        <v>1305</v>
      </c>
      <c r="P18" s="7">
        <v>2023</v>
      </c>
      <c r="Q18" s="14">
        <v>100</v>
      </c>
      <c r="R18" s="17"/>
      <c r="S18" s="7">
        <v>2023</v>
      </c>
      <c r="T18" s="80">
        <v>50</v>
      </c>
      <c r="U18" s="17"/>
      <c r="V18" s="7">
        <v>2023</v>
      </c>
      <c r="W18" s="14">
        <v>0</v>
      </c>
      <c r="X18" s="17"/>
      <c r="Y18" s="7">
        <v>2023</v>
      </c>
      <c r="Z18" s="14">
        <v>0</v>
      </c>
      <c r="AA18" s="17"/>
      <c r="AB18" s="7">
        <v>2023</v>
      </c>
      <c r="AC18" s="21">
        <v>100</v>
      </c>
      <c r="AD18" s="23"/>
    </row>
    <row r="19" spans="1:51" ht="18" customHeight="1">
      <c r="A19" s="24"/>
      <c r="B19" s="24"/>
      <c r="C19" s="24"/>
      <c r="D19" s="24"/>
      <c r="E19" s="24"/>
      <c r="F19" s="24"/>
      <c r="G19" s="24"/>
      <c r="H19" s="24"/>
      <c r="I19" s="24"/>
      <c r="J19" s="24"/>
      <c r="K19" s="24"/>
      <c r="L19" s="24"/>
      <c r="M19" s="24"/>
      <c r="N19" s="24"/>
    </row>
    <row r="20" spans="1:51" ht="18" customHeight="1">
      <c r="A20" s="5" t="s">
        <v>5</v>
      </c>
      <c r="B20" s="369" t="s">
        <v>59</v>
      </c>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71"/>
    </row>
    <row r="21" spans="1:51" ht="18"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18"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36"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90" customHeight="1">
      <c r="A24" s="7" t="s">
        <v>30</v>
      </c>
      <c r="B24" s="322" t="s">
        <v>31</v>
      </c>
      <c r="C24" s="322"/>
      <c r="D24" s="7" t="s">
        <v>30</v>
      </c>
      <c r="E24" s="325" t="s">
        <v>94</v>
      </c>
      <c r="F24" s="325"/>
      <c r="G24" s="7" t="s">
        <v>30</v>
      </c>
      <c r="H24" s="310" t="s">
        <v>95</v>
      </c>
      <c r="I24" s="310"/>
      <c r="J24" s="7" t="s">
        <v>30</v>
      </c>
      <c r="K24" s="297" t="s">
        <v>108</v>
      </c>
      <c r="L24" s="298"/>
      <c r="M24" s="27" t="s">
        <v>30</v>
      </c>
      <c r="N24" s="325" t="s">
        <v>96</v>
      </c>
      <c r="O24" s="325"/>
      <c r="P24" s="27" t="s">
        <v>30</v>
      </c>
      <c r="Q24" s="325" t="s">
        <v>97</v>
      </c>
      <c r="R24" s="325"/>
      <c r="S24" s="27" t="s">
        <v>30</v>
      </c>
      <c r="T24" s="298" t="s">
        <v>111</v>
      </c>
      <c r="U24" s="298"/>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90" customHeight="1">
      <c r="A25" s="7" t="s">
        <v>41</v>
      </c>
      <c r="B25" s="310" t="s">
        <v>42</v>
      </c>
      <c r="C25" s="310"/>
      <c r="D25" s="7" t="s">
        <v>41</v>
      </c>
      <c r="E25" s="325" t="s">
        <v>106</v>
      </c>
      <c r="F25" s="325"/>
      <c r="G25" s="7" t="s">
        <v>41</v>
      </c>
      <c r="H25" s="310" t="s">
        <v>107</v>
      </c>
      <c r="I25" s="310"/>
      <c r="J25" s="7" t="s">
        <v>41</v>
      </c>
      <c r="K25" s="373" t="s">
        <v>433</v>
      </c>
      <c r="L25" s="374"/>
      <c r="M25" s="27" t="s">
        <v>41</v>
      </c>
      <c r="N25" s="325" t="s">
        <v>109</v>
      </c>
      <c r="O25" s="325"/>
      <c r="P25" s="27" t="s">
        <v>41</v>
      </c>
      <c r="Q25" s="325" t="s">
        <v>110</v>
      </c>
      <c r="R25" s="325"/>
      <c r="S25" s="27" t="s">
        <v>41</v>
      </c>
      <c r="T25" s="373" t="s">
        <v>433</v>
      </c>
      <c r="U25" s="374"/>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18"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18" customHeight="1">
      <c r="A27" s="7">
        <v>2020</v>
      </c>
      <c r="B27" s="15">
        <f>AVERAGE(E27,H27,K27,T27,AF27,AO27,AU27,AX27,AR27)</f>
        <v>63.722222222222221</v>
      </c>
      <c r="C27" s="16"/>
      <c r="D27" s="7">
        <v>2020</v>
      </c>
      <c r="E27" s="21">
        <v>100</v>
      </c>
      <c r="F27" s="17" t="s">
        <v>1306</v>
      </c>
      <c r="G27" s="7">
        <v>2020</v>
      </c>
      <c r="H27" s="14">
        <v>50</v>
      </c>
      <c r="I27" s="17" t="s">
        <v>1307</v>
      </c>
      <c r="J27" s="7">
        <v>2020</v>
      </c>
      <c r="K27" s="14">
        <v>100</v>
      </c>
      <c r="L27" s="17"/>
      <c r="M27" s="7">
        <v>2020</v>
      </c>
      <c r="N27" s="14">
        <v>100</v>
      </c>
      <c r="O27" s="17" t="s">
        <v>1308</v>
      </c>
      <c r="P27" s="7">
        <v>2020</v>
      </c>
      <c r="Q27" s="14">
        <v>100</v>
      </c>
      <c r="R27" s="17"/>
      <c r="S27" s="7">
        <v>2020</v>
      </c>
      <c r="T27" s="14">
        <v>40</v>
      </c>
      <c r="U27" s="17"/>
      <c r="V27" s="7">
        <v>2020</v>
      </c>
      <c r="W27" s="14">
        <v>0</v>
      </c>
      <c r="X27" s="17" t="s">
        <v>1309</v>
      </c>
      <c r="Y27" s="7">
        <v>2020</v>
      </c>
      <c r="Z27" s="14">
        <v>50</v>
      </c>
      <c r="AA27" s="17"/>
      <c r="AB27" s="7">
        <v>2020</v>
      </c>
      <c r="AC27" s="14">
        <v>50</v>
      </c>
      <c r="AD27" s="17" t="s">
        <v>1310</v>
      </c>
      <c r="AE27" s="7">
        <v>2020</v>
      </c>
      <c r="AF27" s="31">
        <f>0.67*AI27+0.33*AL27</f>
        <v>33.5</v>
      </c>
      <c r="AG27" s="17"/>
      <c r="AH27" s="7">
        <v>2020</v>
      </c>
      <c r="AI27" s="14">
        <v>50</v>
      </c>
      <c r="AJ27" s="17" t="s">
        <v>1311</v>
      </c>
      <c r="AK27" s="7">
        <v>2020</v>
      </c>
      <c r="AL27" s="14">
        <v>0</v>
      </c>
      <c r="AM27" s="17" t="s">
        <v>1312</v>
      </c>
      <c r="AN27" s="7">
        <v>2020</v>
      </c>
      <c r="AO27" s="14">
        <v>100</v>
      </c>
      <c r="AP27" s="17" t="s">
        <v>1313</v>
      </c>
      <c r="AQ27" s="7">
        <v>2020</v>
      </c>
      <c r="AR27" s="14">
        <v>0</v>
      </c>
      <c r="AS27" s="17" t="s">
        <v>1314</v>
      </c>
      <c r="AT27" s="7">
        <v>2020</v>
      </c>
      <c r="AU27" s="14">
        <v>50</v>
      </c>
      <c r="AV27" s="17" t="s">
        <v>1315</v>
      </c>
      <c r="AW27" s="7">
        <v>2020</v>
      </c>
      <c r="AX27" s="14">
        <v>100</v>
      </c>
      <c r="AY27" s="23"/>
    </row>
    <row r="28" spans="1:51" ht="18" customHeight="1">
      <c r="A28" s="7">
        <v>2021</v>
      </c>
      <c r="B28" s="15">
        <f t="shared" ref="B28:B30" si="1">AVERAGE(E28,H28,K28,T28,AF28,AO28,AU28,AX28,AR28)</f>
        <v>63.722222222222221</v>
      </c>
      <c r="C28" s="15"/>
      <c r="D28" s="7">
        <v>2021</v>
      </c>
      <c r="E28" s="21">
        <v>100</v>
      </c>
      <c r="F28" s="17"/>
      <c r="G28" s="7">
        <v>2021</v>
      </c>
      <c r="H28" s="14">
        <v>50</v>
      </c>
      <c r="I28" s="17"/>
      <c r="J28" s="7">
        <v>2021</v>
      </c>
      <c r="K28" s="14">
        <v>100</v>
      </c>
      <c r="L28" s="17"/>
      <c r="M28" s="7">
        <v>2021</v>
      </c>
      <c r="N28" s="14">
        <v>100</v>
      </c>
      <c r="O28" s="17"/>
      <c r="P28" s="7">
        <v>2021</v>
      </c>
      <c r="Q28" s="14">
        <v>100</v>
      </c>
      <c r="R28" s="17"/>
      <c r="S28" s="7">
        <v>2021</v>
      </c>
      <c r="T28" s="14">
        <v>40</v>
      </c>
      <c r="U28" s="17"/>
      <c r="V28" s="7">
        <v>2021</v>
      </c>
      <c r="W28" s="14">
        <v>0</v>
      </c>
      <c r="X28" s="17"/>
      <c r="Y28" s="7">
        <v>2021</v>
      </c>
      <c r="Z28" s="14">
        <v>50</v>
      </c>
      <c r="AA28" s="17"/>
      <c r="AB28" s="7">
        <v>2021</v>
      </c>
      <c r="AC28" s="14">
        <v>50</v>
      </c>
      <c r="AD28" s="17"/>
      <c r="AE28" s="7">
        <v>2021</v>
      </c>
      <c r="AF28" s="31">
        <f t="shared" ref="AF28:AF30" si="2">0.67*AI28+0.33*AL28</f>
        <v>33.5</v>
      </c>
      <c r="AG28" s="17"/>
      <c r="AH28" s="7">
        <v>2021</v>
      </c>
      <c r="AI28" s="14">
        <v>50</v>
      </c>
      <c r="AJ28" s="17"/>
      <c r="AK28" s="7">
        <v>2021</v>
      </c>
      <c r="AL28" s="14">
        <v>0</v>
      </c>
      <c r="AM28" s="17"/>
      <c r="AN28" s="7">
        <v>2021</v>
      </c>
      <c r="AO28" s="14">
        <v>100</v>
      </c>
      <c r="AP28" s="17"/>
      <c r="AQ28" s="7">
        <v>2021</v>
      </c>
      <c r="AR28" s="14">
        <v>0</v>
      </c>
      <c r="AS28" s="17"/>
      <c r="AT28" s="7">
        <v>2021</v>
      </c>
      <c r="AU28" s="14">
        <v>50</v>
      </c>
      <c r="AV28" s="17"/>
      <c r="AW28" s="7">
        <v>2021</v>
      </c>
      <c r="AX28" s="14">
        <v>100</v>
      </c>
      <c r="AY28" s="23"/>
    </row>
    <row r="29" spans="1:51" ht="18" customHeight="1">
      <c r="A29" s="7">
        <v>2022</v>
      </c>
      <c r="B29" s="15">
        <f t="shared" si="1"/>
        <v>63.722222222222221</v>
      </c>
      <c r="C29" s="15"/>
      <c r="D29" s="7">
        <v>2022</v>
      </c>
      <c r="E29" s="21">
        <v>100</v>
      </c>
      <c r="F29" s="17"/>
      <c r="G29" s="7">
        <v>2022</v>
      </c>
      <c r="H29" s="14">
        <v>50</v>
      </c>
      <c r="I29" s="17"/>
      <c r="J29" s="7">
        <v>2022</v>
      </c>
      <c r="K29" s="14">
        <v>100</v>
      </c>
      <c r="L29" s="17"/>
      <c r="M29" s="7">
        <v>2022</v>
      </c>
      <c r="N29" s="14">
        <v>100</v>
      </c>
      <c r="O29" s="17"/>
      <c r="P29" s="7">
        <v>2022</v>
      </c>
      <c r="Q29" s="14">
        <v>100</v>
      </c>
      <c r="R29" s="17"/>
      <c r="S29" s="7">
        <v>2022</v>
      </c>
      <c r="T29" s="14">
        <v>40</v>
      </c>
      <c r="U29" s="17"/>
      <c r="V29" s="7">
        <v>2022</v>
      </c>
      <c r="W29" s="14">
        <v>0</v>
      </c>
      <c r="X29" s="17"/>
      <c r="Y29" s="7">
        <v>2022</v>
      </c>
      <c r="Z29" s="14">
        <v>50</v>
      </c>
      <c r="AA29" s="17"/>
      <c r="AB29" s="7">
        <v>2022</v>
      </c>
      <c r="AC29" s="14">
        <v>50</v>
      </c>
      <c r="AD29" s="17"/>
      <c r="AE29" s="7">
        <v>2022</v>
      </c>
      <c r="AF29" s="31">
        <f>0.67*AI29+0.33*AL29</f>
        <v>33.5</v>
      </c>
      <c r="AG29" s="17"/>
      <c r="AH29" s="7">
        <v>2022</v>
      </c>
      <c r="AI29" s="14">
        <v>50</v>
      </c>
      <c r="AJ29" s="17"/>
      <c r="AK29" s="7">
        <v>2022</v>
      </c>
      <c r="AL29" s="14">
        <v>0</v>
      </c>
      <c r="AM29" s="17"/>
      <c r="AN29" s="7">
        <v>2022</v>
      </c>
      <c r="AO29" s="14">
        <v>100</v>
      </c>
      <c r="AP29" s="17"/>
      <c r="AQ29" s="7">
        <v>2022</v>
      </c>
      <c r="AR29" s="14">
        <v>0</v>
      </c>
      <c r="AS29" s="17"/>
      <c r="AT29" s="7">
        <v>2022</v>
      </c>
      <c r="AU29" s="14">
        <v>50</v>
      </c>
      <c r="AV29" s="17"/>
      <c r="AW29" s="7">
        <v>2022</v>
      </c>
      <c r="AX29" s="14">
        <v>100</v>
      </c>
      <c r="AY29" s="23"/>
    </row>
    <row r="30" spans="1:51" ht="18" customHeight="1">
      <c r="A30" s="7">
        <v>2023</v>
      </c>
      <c r="B30" s="15">
        <f t="shared" si="1"/>
        <v>63.722222222222221</v>
      </c>
      <c r="C30" s="15"/>
      <c r="D30" s="7">
        <v>2023</v>
      </c>
      <c r="E30" s="21">
        <v>100</v>
      </c>
      <c r="F30" s="17"/>
      <c r="G30" s="7">
        <v>2023</v>
      </c>
      <c r="H30" s="14">
        <v>50</v>
      </c>
      <c r="I30" s="17"/>
      <c r="J30" s="7">
        <v>2023</v>
      </c>
      <c r="K30" s="14">
        <v>100</v>
      </c>
      <c r="L30" s="17"/>
      <c r="M30" s="7">
        <v>2023</v>
      </c>
      <c r="N30" s="14">
        <v>100</v>
      </c>
      <c r="O30" s="17"/>
      <c r="P30" s="7">
        <v>2023</v>
      </c>
      <c r="Q30" s="14">
        <v>100</v>
      </c>
      <c r="R30" s="17"/>
      <c r="S30" s="7">
        <v>2023</v>
      </c>
      <c r="T30" s="14">
        <v>40</v>
      </c>
      <c r="U30" s="17"/>
      <c r="V30" s="7">
        <v>2023</v>
      </c>
      <c r="W30" s="14">
        <v>0</v>
      </c>
      <c r="X30" s="17"/>
      <c r="Y30" s="7">
        <v>2023</v>
      </c>
      <c r="Z30" s="14">
        <v>50</v>
      </c>
      <c r="AA30" s="17"/>
      <c r="AB30" s="7">
        <v>2023</v>
      </c>
      <c r="AC30" s="14">
        <v>50</v>
      </c>
      <c r="AD30" s="17"/>
      <c r="AE30" s="7">
        <v>2023</v>
      </c>
      <c r="AF30" s="31">
        <f t="shared" si="2"/>
        <v>33.5</v>
      </c>
      <c r="AG30" s="17"/>
      <c r="AH30" s="7">
        <v>2023</v>
      </c>
      <c r="AI30" s="14">
        <v>50</v>
      </c>
      <c r="AJ30" s="17"/>
      <c r="AK30" s="7">
        <v>2023</v>
      </c>
      <c r="AL30" s="14">
        <v>0</v>
      </c>
      <c r="AM30" s="17"/>
      <c r="AN30" s="7">
        <v>2023</v>
      </c>
      <c r="AO30" s="14">
        <v>100</v>
      </c>
      <c r="AP30" s="17"/>
      <c r="AQ30" s="7">
        <v>2023</v>
      </c>
      <c r="AR30" s="14">
        <v>0</v>
      </c>
      <c r="AS30" s="17"/>
      <c r="AT30" s="7">
        <v>2023</v>
      </c>
      <c r="AU30" s="14">
        <v>50</v>
      </c>
      <c r="AV30" s="17"/>
      <c r="AW30" s="7">
        <v>2023</v>
      </c>
      <c r="AX30" s="14">
        <v>100</v>
      </c>
      <c r="AY30" s="23"/>
    </row>
    <row r="31" spans="1:51" ht="18" customHeight="1">
      <c r="A31" s="24"/>
      <c r="B31" s="24"/>
      <c r="C31" s="24"/>
      <c r="D31" s="24"/>
      <c r="E31" s="24"/>
      <c r="F31" s="24"/>
      <c r="G31" s="24"/>
      <c r="H31" s="24"/>
      <c r="I31" s="24"/>
      <c r="J31" s="24"/>
      <c r="K31" s="24"/>
      <c r="L31" s="24"/>
      <c r="M31" s="24"/>
      <c r="N31" s="24"/>
      <c r="AD31" s="32"/>
    </row>
    <row r="32" spans="1:51" ht="18" customHeight="1">
      <c r="A32" s="5" t="s">
        <v>5</v>
      </c>
      <c r="B32" s="369" t="s">
        <v>127</v>
      </c>
      <c r="C32" s="370"/>
      <c r="D32" s="370"/>
      <c r="E32" s="370"/>
      <c r="F32" s="370"/>
      <c r="G32" s="370"/>
      <c r="H32" s="370"/>
      <c r="I32" s="370"/>
      <c r="J32" s="370"/>
      <c r="K32" s="370"/>
      <c r="L32" s="370"/>
      <c r="M32" s="370"/>
      <c r="N32" s="370"/>
      <c r="O32" s="370"/>
      <c r="P32" s="370"/>
      <c r="Q32" s="370"/>
      <c r="R32" s="370"/>
      <c r="S32" s="370"/>
      <c r="T32" s="370"/>
      <c r="U32" s="370"/>
      <c r="V32" s="370"/>
      <c r="W32" s="370"/>
      <c r="X32" s="370"/>
      <c r="Y32" s="370"/>
      <c r="Z32" s="370"/>
      <c r="AA32" s="370"/>
      <c r="AB32" s="370"/>
      <c r="AC32" s="370"/>
      <c r="AD32" s="370"/>
      <c r="AE32" s="370"/>
      <c r="AF32" s="370"/>
      <c r="AG32" s="370"/>
      <c r="AH32" s="370"/>
      <c r="AI32" s="370"/>
      <c r="AJ32" s="370"/>
      <c r="AK32" s="370"/>
      <c r="AL32" s="370"/>
      <c r="AM32" s="371"/>
    </row>
    <row r="33" spans="1:39" ht="18"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18" customHeight="1">
      <c r="A34" s="5" t="s">
        <v>13</v>
      </c>
      <c r="B34" s="7"/>
      <c r="C34" s="7"/>
      <c r="D34" s="5" t="s">
        <v>13</v>
      </c>
      <c r="E34" s="8"/>
      <c r="F34" s="8"/>
      <c r="G34" s="5" t="s">
        <v>13</v>
      </c>
      <c r="H34" s="311"/>
      <c r="I34" s="311"/>
      <c r="J34" s="5" t="s">
        <v>13</v>
      </c>
      <c r="K34" s="311"/>
      <c r="L34" s="311"/>
      <c r="M34" s="5" t="s">
        <v>13</v>
      </c>
      <c r="N34" s="311"/>
      <c r="O34" s="311"/>
      <c r="P34" s="5" t="s">
        <v>13</v>
      </c>
      <c r="Q34" s="286" t="s">
        <v>136</v>
      </c>
      <c r="R34" s="287"/>
      <c r="S34" s="5" t="s">
        <v>13</v>
      </c>
      <c r="T34" s="286" t="s">
        <v>137</v>
      </c>
      <c r="U34" s="287"/>
      <c r="V34" s="5" t="s">
        <v>13</v>
      </c>
      <c r="W34" s="286" t="s">
        <v>138</v>
      </c>
      <c r="X34" s="287"/>
      <c r="Y34" s="5" t="s">
        <v>13</v>
      </c>
      <c r="Z34" s="29"/>
      <c r="AA34" s="29"/>
      <c r="AB34" s="9" t="s">
        <v>13</v>
      </c>
      <c r="AC34" s="316"/>
      <c r="AD34" s="317"/>
      <c r="AE34" s="5" t="s">
        <v>13</v>
      </c>
      <c r="AF34" s="8"/>
      <c r="AG34" s="8"/>
      <c r="AH34" s="5" t="s">
        <v>13</v>
      </c>
      <c r="AI34" s="311" t="s">
        <v>139</v>
      </c>
      <c r="AJ34" s="312"/>
      <c r="AK34" s="5" t="s">
        <v>13</v>
      </c>
      <c r="AL34" s="311" t="s">
        <v>140</v>
      </c>
      <c r="AM34" s="311"/>
    </row>
    <row r="35" spans="1:39" ht="36"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90"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63" t="s">
        <v>172</v>
      </c>
      <c r="AG36" s="364"/>
      <c r="AH36" s="7" t="s">
        <v>30</v>
      </c>
      <c r="AI36" s="310" t="s">
        <v>162</v>
      </c>
      <c r="AJ36" s="310"/>
      <c r="AK36" s="7" t="s">
        <v>30</v>
      </c>
      <c r="AL36" s="310" t="s">
        <v>163</v>
      </c>
      <c r="AM36" s="310"/>
    </row>
    <row r="37" spans="1:39" ht="90"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373" t="s">
        <v>433</v>
      </c>
      <c r="AG37" s="374"/>
      <c r="AH37" s="7" t="s">
        <v>41</v>
      </c>
      <c r="AI37" s="310" t="s">
        <v>173</v>
      </c>
      <c r="AJ37" s="310"/>
      <c r="AK37" s="7" t="s">
        <v>41</v>
      </c>
      <c r="AL37" s="310" t="s">
        <v>174</v>
      </c>
      <c r="AM37" s="310"/>
    </row>
    <row r="38" spans="1:39" ht="18"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18" customHeight="1">
      <c r="A39" s="7">
        <v>2020</v>
      </c>
      <c r="B39" s="16">
        <f>AVERAGE(E39,H39,K39,N39,Z39,AC39,AF39)</f>
        <v>42.857142857142854</v>
      </c>
      <c r="C39" s="16"/>
      <c r="D39" s="7">
        <v>2020</v>
      </c>
      <c r="E39" s="14">
        <v>67</v>
      </c>
      <c r="F39" s="17" t="s">
        <v>1316</v>
      </c>
      <c r="G39" s="7">
        <v>2020</v>
      </c>
      <c r="H39" s="14">
        <v>0</v>
      </c>
      <c r="I39" s="17" t="s">
        <v>1317</v>
      </c>
      <c r="J39" s="7">
        <v>2020</v>
      </c>
      <c r="K39" s="14">
        <v>50</v>
      </c>
      <c r="L39" s="17" t="s">
        <v>1318</v>
      </c>
      <c r="M39" s="7">
        <v>2020</v>
      </c>
      <c r="N39" s="31">
        <f>AVERAGE(Q39,T39,W39)</f>
        <v>50</v>
      </c>
      <c r="O39" s="14"/>
      <c r="P39" s="7">
        <v>2020</v>
      </c>
      <c r="Q39" s="14">
        <v>50</v>
      </c>
      <c r="R39" s="23" t="s">
        <v>1319</v>
      </c>
      <c r="S39" s="7">
        <v>2020</v>
      </c>
      <c r="T39" s="14">
        <v>100</v>
      </c>
      <c r="U39" s="17" t="s">
        <v>1320</v>
      </c>
      <c r="V39" s="7">
        <v>2020</v>
      </c>
      <c r="W39" s="14">
        <v>0</v>
      </c>
      <c r="X39" s="17" t="s">
        <v>1321</v>
      </c>
      <c r="Y39" s="7">
        <v>2020</v>
      </c>
      <c r="Z39" s="14">
        <v>50</v>
      </c>
      <c r="AA39" s="17" t="s">
        <v>1322</v>
      </c>
      <c r="AB39" s="7">
        <v>2020</v>
      </c>
      <c r="AC39" s="14">
        <v>50</v>
      </c>
      <c r="AD39" s="17" t="s">
        <v>1323</v>
      </c>
      <c r="AE39" s="7">
        <v>2020</v>
      </c>
      <c r="AF39" s="14">
        <v>33</v>
      </c>
      <c r="AG39" s="14"/>
      <c r="AH39" s="7">
        <v>2020</v>
      </c>
      <c r="AI39" s="21">
        <v>0</v>
      </c>
      <c r="AJ39" s="17"/>
      <c r="AK39" s="7">
        <v>2020</v>
      </c>
      <c r="AL39" s="14">
        <v>50</v>
      </c>
      <c r="AM39" s="23"/>
    </row>
    <row r="40" spans="1:39" ht="18" customHeight="1">
      <c r="A40" s="7">
        <v>2021</v>
      </c>
      <c r="B40" s="16">
        <f t="shared" ref="B40:B42" si="3">AVERAGE(E40,H40,K40,N40,Z40,AC40,AF40)</f>
        <v>42.857142857142854</v>
      </c>
      <c r="C40" s="16"/>
      <c r="D40" s="7">
        <v>2021</v>
      </c>
      <c r="E40" s="14">
        <v>67</v>
      </c>
      <c r="F40" s="17"/>
      <c r="G40" s="7">
        <v>2021</v>
      </c>
      <c r="H40" s="14">
        <v>0</v>
      </c>
      <c r="I40" s="17"/>
      <c r="J40" s="7">
        <v>2021</v>
      </c>
      <c r="K40" s="14">
        <v>50</v>
      </c>
      <c r="L40" s="17"/>
      <c r="M40" s="7">
        <v>2021</v>
      </c>
      <c r="N40" s="31">
        <f t="shared" ref="N40:N42" si="4">AVERAGE(Q40,T40,W40)</f>
        <v>50</v>
      </c>
      <c r="O40" s="14"/>
      <c r="P40" s="7">
        <v>2021</v>
      </c>
      <c r="Q40" s="14">
        <v>50</v>
      </c>
      <c r="R40" s="17"/>
      <c r="S40" s="7">
        <v>2021</v>
      </c>
      <c r="T40" s="14">
        <v>100</v>
      </c>
      <c r="U40" s="17"/>
      <c r="V40" s="7">
        <v>2021</v>
      </c>
      <c r="W40" s="14">
        <v>0</v>
      </c>
      <c r="X40" s="17"/>
      <c r="Y40" s="7">
        <v>2021</v>
      </c>
      <c r="Z40" s="14">
        <v>50</v>
      </c>
      <c r="AA40" s="17"/>
      <c r="AB40" s="7">
        <v>2021</v>
      </c>
      <c r="AC40" s="14">
        <v>50</v>
      </c>
      <c r="AD40" s="17"/>
      <c r="AE40" s="7">
        <v>2021</v>
      </c>
      <c r="AF40" s="14">
        <v>33</v>
      </c>
      <c r="AG40" s="14"/>
      <c r="AH40" s="7">
        <v>2021</v>
      </c>
      <c r="AI40" s="21">
        <v>0</v>
      </c>
      <c r="AJ40" s="17"/>
      <c r="AK40" s="7">
        <v>2021</v>
      </c>
      <c r="AL40" s="14">
        <v>50</v>
      </c>
      <c r="AM40" s="23"/>
    </row>
    <row r="41" spans="1:39" ht="18" customHeight="1">
      <c r="A41" s="7">
        <v>2022</v>
      </c>
      <c r="B41" s="16">
        <f t="shared" si="3"/>
        <v>42.857142857142854</v>
      </c>
      <c r="C41" s="16"/>
      <c r="D41" s="7">
        <v>2022</v>
      </c>
      <c r="E41" s="14">
        <v>67</v>
      </c>
      <c r="F41" s="17"/>
      <c r="G41" s="7">
        <v>2022</v>
      </c>
      <c r="H41" s="14">
        <v>0</v>
      </c>
      <c r="I41" s="17"/>
      <c r="J41" s="7">
        <v>2022</v>
      </c>
      <c r="K41" s="14">
        <v>50</v>
      </c>
      <c r="L41" s="17"/>
      <c r="M41" s="7">
        <v>2022</v>
      </c>
      <c r="N41" s="31">
        <f t="shared" si="4"/>
        <v>50</v>
      </c>
      <c r="O41" s="14"/>
      <c r="P41" s="7">
        <v>2022</v>
      </c>
      <c r="Q41" s="14">
        <v>50</v>
      </c>
      <c r="R41" s="17"/>
      <c r="S41" s="7">
        <v>2022</v>
      </c>
      <c r="T41" s="14">
        <v>100</v>
      </c>
      <c r="U41" s="17"/>
      <c r="V41" s="7">
        <v>2022</v>
      </c>
      <c r="W41" s="14">
        <v>0</v>
      </c>
      <c r="X41" s="17"/>
      <c r="Y41" s="7">
        <v>2022</v>
      </c>
      <c r="Z41" s="14">
        <v>50</v>
      </c>
      <c r="AA41" s="17"/>
      <c r="AB41" s="7">
        <v>2022</v>
      </c>
      <c r="AC41" s="14">
        <v>50</v>
      </c>
      <c r="AD41" s="17"/>
      <c r="AE41" s="7">
        <v>2022</v>
      </c>
      <c r="AF41" s="14">
        <v>33</v>
      </c>
      <c r="AG41" s="14"/>
      <c r="AH41" s="7">
        <v>2022</v>
      </c>
      <c r="AI41" s="21">
        <v>0</v>
      </c>
      <c r="AJ41" s="17"/>
      <c r="AK41" s="7">
        <v>2022</v>
      </c>
      <c r="AL41" s="14">
        <v>50</v>
      </c>
      <c r="AM41" s="23"/>
    </row>
    <row r="42" spans="1:39" ht="18" customHeight="1">
      <c r="A42" s="7">
        <v>2023</v>
      </c>
      <c r="B42" s="16">
        <f t="shared" si="3"/>
        <v>42.857142857142854</v>
      </c>
      <c r="C42" s="16"/>
      <c r="D42" s="7">
        <v>2023</v>
      </c>
      <c r="E42" s="14">
        <v>67</v>
      </c>
      <c r="F42" s="17"/>
      <c r="G42" s="7">
        <v>2023</v>
      </c>
      <c r="H42" s="14">
        <v>0</v>
      </c>
      <c r="I42" s="17"/>
      <c r="J42" s="7">
        <v>2023</v>
      </c>
      <c r="K42" s="14">
        <v>50</v>
      </c>
      <c r="L42" s="17"/>
      <c r="M42" s="7">
        <v>2023</v>
      </c>
      <c r="N42" s="31">
        <f t="shared" si="4"/>
        <v>50</v>
      </c>
      <c r="O42" s="14"/>
      <c r="P42" s="7">
        <v>2023</v>
      </c>
      <c r="Q42" s="14">
        <v>50</v>
      </c>
      <c r="R42" s="17"/>
      <c r="S42" s="7">
        <v>2023</v>
      </c>
      <c r="T42" s="14">
        <v>100</v>
      </c>
      <c r="U42" s="17"/>
      <c r="V42" s="7">
        <v>2023</v>
      </c>
      <c r="W42" s="14">
        <v>0</v>
      </c>
      <c r="X42" s="17"/>
      <c r="Y42" s="7">
        <v>2023</v>
      </c>
      <c r="Z42" s="14">
        <v>50</v>
      </c>
      <c r="AA42" s="17"/>
      <c r="AB42" s="7">
        <v>2023</v>
      </c>
      <c r="AC42" s="14">
        <v>50</v>
      </c>
      <c r="AD42" s="17"/>
      <c r="AE42" s="7">
        <v>2023</v>
      </c>
      <c r="AF42" s="14">
        <v>33</v>
      </c>
      <c r="AG42" s="14"/>
      <c r="AH42" s="7">
        <v>2023</v>
      </c>
      <c r="AI42" s="21">
        <v>0</v>
      </c>
      <c r="AJ42" s="17"/>
      <c r="AK42" s="7">
        <v>2023</v>
      </c>
      <c r="AL42" s="14">
        <v>50</v>
      </c>
      <c r="AM42" s="23"/>
    </row>
    <row r="44" spans="1:39" ht="18" customHeight="1">
      <c r="A44" s="5" t="s">
        <v>5</v>
      </c>
      <c r="B44" s="372" t="s">
        <v>181</v>
      </c>
      <c r="C44" s="372"/>
      <c r="D44" s="372"/>
      <c r="E44" s="372"/>
      <c r="F44" s="372"/>
      <c r="G44" s="372"/>
      <c r="H44" s="372"/>
      <c r="I44" s="372"/>
      <c r="J44" s="372"/>
      <c r="K44" s="372"/>
      <c r="L44" s="372"/>
      <c r="M44" s="372"/>
      <c r="N44" s="372"/>
      <c r="O44" s="372"/>
      <c r="P44" s="372"/>
      <c r="Q44" s="372"/>
      <c r="R44" s="372"/>
    </row>
    <row r="45" spans="1:39" ht="18"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18"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36"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90"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90"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18"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18" customHeight="1">
      <c r="A51" s="7">
        <v>2020</v>
      </c>
      <c r="B51" s="15">
        <f>AVERAGE(E51,H51,K51,N51,Q51)</f>
        <v>25</v>
      </c>
      <c r="C51" s="16"/>
      <c r="D51" s="7">
        <v>2020</v>
      </c>
      <c r="E51" s="14">
        <v>0</v>
      </c>
      <c r="F51" s="17" t="s">
        <v>1324</v>
      </c>
      <c r="G51" s="7">
        <v>2020</v>
      </c>
      <c r="H51" s="14">
        <v>100</v>
      </c>
      <c r="I51" s="17"/>
      <c r="J51" s="7">
        <v>2020</v>
      </c>
      <c r="K51" s="14">
        <v>25</v>
      </c>
      <c r="L51" s="17" t="s">
        <v>1325</v>
      </c>
      <c r="M51" s="7">
        <v>2020</v>
      </c>
      <c r="N51" s="14">
        <v>0</v>
      </c>
      <c r="O51" s="17"/>
      <c r="P51" s="7">
        <v>2020</v>
      </c>
      <c r="Q51" s="14">
        <v>0</v>
      </c>
      <c r="R51" s="23"/>
    </row>
    <row r="52" spans="1:24" ht="18" customHeight="1">
      <c r="A52" s="7">
        <v>2021</v>
      </c>
      <c r="B52" s="15">
        <f t="shared" ref="B52:B54" si="5">AVERAGE(E52,H52,K52,N52,Q52)</f>
        <v>25</v>
      </c>
      <c r="C52" s="15"/>
      <c r="D52" s="7">
        <v>2021</v>
      </c>
      <c r="E52" s="14">
        <v>0</v>
      </c>
      <c r="F52" s="17"/>
      <c r="G52" s="7">
        <v>2021</v>
      </c>
      <c r="H52" s="14">
        <v>100</v>
      </c>
      <c r="I52" s="17"/>
      <c r="J52" s="7">
        <v>2021</v>
      </c>
      <c r="K52" s="14">
        <v>25</v>
      </c>
      <c r="L52" s="17"/>
      <c r="M52" s="7">
        <v>2021</v>
      </c>
      <c r="N52" s="14">
        <v>0</v>
      </c>
      <c r="O52" s="17"/>
      <c r="P52" s="7">
        <v>2021</v>
      </c>
      <c r="Q52" s="14">
        <v>0</v>
      </c>
      <c r="R52" s="23"/>
    </row>
    <row r="53" spans="1:24" ht="18" customHeight="1">
      <c r="A53" s="7">
        <v>2022</v>
      </c>
      <c r="B53" s="15">
        <f t="shared" si="5"/>
        <v>25</v>
      </c>
      <c r="C53" s="15"/>
      <c r="D53" s="7">
        <v>2022</v>
      </c>
      <c r="E53" s="14">
        <v>0</v>
      </c>
      <c r="F53" s="17"/>
      <c r="G53" s="7">
        <v>2022</v>
      </c>
      <c r="H53" s="14">
        <v>100</v>
      </c>
      <c r="I53" s="17"/>
      <c r="J53" s="7">
        <v>2022</v>
      </c>
      <c r="K53" s="14">
        <v>25</v>
      </c>
      <c r="L53" s="17"/>
      <c r="M53" s="7">
        <v>2022</v>
      </c>
      <c r="N53" s="14">
        <v>0</v>
      </c>
      <c r="O53" s="17"/>
      <c r="P53" s="7">
        <v>2022</v>
      </c>
      <c r="Q53" s="14">
        <v>0</v>
      </c>
      <c r="R53" s="23"/>
    </row>
    <row r="54" spans="1:24" ht="18" customHeight="1">
      <c r="A54" s="7">
        <v>2023</v>
      </c>
      <c r="B54" s="15">
        <f t="shared" si="5"/>
        <v>25</v>
      </c>
      <c r="C54" s="15"/>
      <c r="D54" s="7">
        <v>2023</v>
      </c>
      <c r="E54" s="14">
        <v>0</v>
      </c>
      <c r="F54" s="17"/>
      <c r="G54" s="7">
        <v>2023</v>
      </c>
      <c r="H54" s="14">
        <v>100</v>
      </c>
      <c r="I54" s="17"/>
      <c r="J54" s="7">
        <v>2023</v>
      </c>
      <c r="K54" s="14">
        <v>25</v>
      </c>
      <c r="L54" s="17"/>
      <c r="M54" s="7">
        <v>2023</v>
      </c>
      <c r="N54" s="14">
        <v>0</v>
      </c>
      <c r="O54" s="17"/>
      <c r="P54" s="7">
        <v>2023</v>
      </c>
      <c r="Q54" s="14">
        <v>0</v>
      </c>
      <c r="R54" s="23"/>
    </row>
    <row r="56" spans="1:24" ht="18" customHeight="1">
      <c r="A56" s="5" t="s">
        <v>5</v>
      </c>
      <c r="B56" s="372" t="s">
        <v>204</v>
      </c>
      <c r="C56" s="372"/>
      <c r="D56" s="372"/>
      <c r="E56" s="372"/>
      <c r="F56" s="372"/>
      <c r="G56" s="372"/>
      <c r="H56" s="372"/>
      <c r="I56" s="372"/>
      <c r="J56" s="372"/>
      <c r="K56" s="372"/>
      <c r="L56" s="372"/>
      <c r="M56" s="372"/>
      <c r="N56" s="372"/>
      <c r="O56" s="372"/>
      <c r="P56" s="372"/>
      <c r="Q56" s="372"/>
      <c r="R56" s="372"/>
      <c r="S56" s="372"/>
      <c r="T56" s="372"/>
      <c r="U56" s="372"/>
      <c r="V56" s="372"/>
      <c r="W56" s="372"/>
      <c r="X56" s="372"/>
    </row>
    <row r="57" spans="1:24" ht="18"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18"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36"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90"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90"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18"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18" customHeight="1">
      <c r="A63" s="7">
        <v>2020</v>
      </c>
      <c r="B63" s="15">
        <f>AVERAGE(E63,((H63+K63)/2),((N63+Q63+T63)/3),W63)</f>
        <v>66.666666666666671</v>
      </c>
      <c r="C63" s="16"/>
      <c r="D63" s="7">
        <v>2020</v>
      </c>
      <c r="E63" s="21">
        <v>50</v>
      </c>
      <c r="F63" s="17" t="s">
        <v>1326</v>
      </c>
      <c r="G63" s="7">
        <v>2020</v>
      </c>
      <c r="H63" s="14">
        <v>0</v>
      </c>
      <c r="I63" s="17" t="s">
        <v>1327</v>
      </c>
      <c r="J63" s="7">
        <v>2020</v>
      </c>
      <c r="K63" s="14">
        <v>100</v>
      </c>
      <c r="L63" s="17" t="s">
        <v>1328</v>
      </c>
      <c r="M63" s="7">
        <v>2020</v>
      </c>
      <c r="N63" s="14">
        <v>100</v>
      </c>
      <c r="O63" s="17" t="s">
        <v>1329</v>
      </c>
      <c r="P63" s="7">
        <v>2020</v>
      </c>
      <c r="Q63" s="14">
        <v>100</v>
      </c>
      <c r="R63" s="17" t="s">
        <v>1330</v>
      </c>
      <c r="S63" s="7">
        <v>2020</v>
      </c>
      <c r="T63" s="14">
        <v>0</v>
      </c>
      <c r="U63" s="17" t="s">
        <v>1331</v>
      </c>
      <c r="V63" s="7">
        <v>2020</v>
      </c>
      <c r="W63" s="14">
        <v>100</v>
      </c>
      <c r="X63" s="23" t="s">
        <v>1332</v>
      </c>
    </row>
    <row r="64" spans="1:24" ht="18" customHeight="1">
      <c r="A64" s="7">
        <v>2021</v>
      </c>
      <c r="B64" s="15">
        <f t="shared" ref="B64:B66" si="6">AVERAGE(E64,((H64+K64)/2),((N64+Q64+T64)/3),W64)</f>
        <v>66.666666666666671</v>
      </c>
      <c r="C64" s="15"/>
      <c r="D64" s="7">
        <v>2021</v>
      </c>
      <c r="E64" s="21">
        <v>50</v>
      </c>
      <c r="F64" s="17"/>
      <c r="G64" s="7">
        <v>2021</v>
      </c>
      <c r="H64" s="14">
        <v>0</v>
      </c>
      <c r="I64" s="17"/>
      <c r="J64" s="7">
        <v>2021</v>
      </c>
      <c r="K64" s="14">
        <v>100</v>
      </c>
      <c r="L64" s="17"/>
      <c r="M64" s="7">
        <v>2021</v>
      </c>
      <c r="N64" s="14">
        <v>100</v>
      </c>
      <c r="O64" s="17"/>
      <c r="P64" s="7">
        <v>2021</v>
      </c>
      <c r="Q64" s="14">
        <v>100</v>
      </c>
      <c r="R64" s="17"/>
      <c r="S64" s="7">
        <v>2021</v>
      </c>
      <c r="T64" s="14">
        <v>0</v>
      </c>
      <c r="U64" s="17"/>
      <c r="V64" s="7">
        <v>2021</v>
      </c>
      <c r="W64" s="14">
        <v>100</v>
      </c>
      <c r="X64" s="23"/>
    </row>
    <row r="65" spans="1:33" ht="18" customHeight="1">
      <c r="A65" s="7">
        <v>2022</v>
      </c>
      <c r="B65" s="15">
        <f t="shared" si="6"/>
        <v>66.666666666666671</v>
      </c>
      <c r="C65" s="15"/>
      <c r="D65" s="7">
        <v>2022</v>
      </c>
      <c r="E65" s="21">
        <v>50</v>
      </c>
      <c r="F65" s="17"/>
      <c r="G65" s="7">
        <v>2022</v>
      </c>
      <c r="H65" s="14">
        <v>0</v>
      </c>
      <c r="I65" s="17"/>
      <c r="J65" s="7">
        <v>2022</v>
      </c>
      <c r="K65" s="14">
        <v>100</v>
      </c>
      <c r="L65" s="17"/>
      <c r="M65" s="7">
        <v>2022</v>
      </c>
      <c r="N65" s="14">
        <v>100</v>
      </c>
      <c r="O65" s="17"/>
      <c r="P65" s="7">
        <v>2022</v>
      </c>
      <c r="Q65" s="14">
        <v>100</v>
      </c>
      <c r="R65" s="17"/>
      <c r="S65" s="7">
        <v>2022</v>
      </c>
      <c r="T65" s="14">
        <v>0</v>
      </c>
      <c r="U65" s="17"/>
      <c r="V65" s="7">
        <v>2022</v>
      </c>
      <c r="W65" s="14">
        <v>100</v>
      </c>
      <c r="X65" s="23"/>
    </row>
    <row r="66" spans="1:33" ht="18" customHeight="1">
      <c r="A66" s="7">
        <v>2023</v>
      </c>
      <c r="B66" s="15">
        <f t="shared" si="6"/>
        <v>66.666666666666671</v>
      </c>
      <c r="C66" s="15"/>
      <c r="D66" s="7">
        <v>2023</v>
      </c>
      <c r="E66" s="21">
        <v>50</v>
      </c>
      <c r="F66" s="17"/>
      <c r="G66" s="7">
        <v>2023</v>
      </c>
      <c r="H66" s="14">
        <v>0</v>
      </c>
      <c r="I66" s="17"/>
      <c r="J66" s="7">
        <v>2023</v>
      </c>
      <c r="K66" s="14">
        <v>100</v>
      </c>
      <c r="L66" s="17"/>
      <c r="M66" s="7">
        <v>2023</v>
      </c>
      <c r="N66" s="14">
        <v>100</v>
      </c>
      <c r="O66" s="17"/>
      <c r="P66" s="7">
        <v>2023</v>
      </c>
      <c r="Q66" s="14">
        <v>100</v>
      </c>
      <c r="R66" s="17"/>
      <c r="S66" s="7">
        <v>2023</v>
      </c>
      <c r="T66" s="14">
        <v>0</v>
      </c>
      <c r="U66" s="17"/>
      <c r="V66" s="7">
        <v>2023</v>
      </c>
      <c r="W66" s="14">
        <v>100</v>
      </c>
      <c r="X66" s="23"/>
    </row>
    <row r="68" spans="1:33" ht="18" customHeight="1">
      <c r="A68" s="5" t="s">
        <v>5</v>
      </c>
      <c r="B68" s="372" t="s">
        <v>232</v>
      </c>
      <c r="C68" s="372"/>
      <c r="D68" s="372"/>
      <c r="E68" s="372"/>
      <c r="F68" s="372"/>
      <c r="G68" s="372"/>
      <c r="H68" s="372"/>
      <c r="I68" s="372"/>
      <c r="J68" s="372"/>
      <c r="K68" s="372"/>
      <c r="L68" s="372"/>
      <c r="M68" s="372"/>
      <c r="N68" s="372"/>
      <c r="O68" s="372"/>
      <c r="P68" s="372"/>
      <c r="Q68" s="372"/>
      <c r="R68" s="372"/>
      <c r="S68" s="372"/>
      <c r="T68" s="372"/>
      <c r="U68" s="372"/>
      <c r="V68" s="372"/>
      <c r="W68" s="372"/>
      <c r="X68" s="372"/>
      <c r="Y68" s="372"/>
      <c r="Z68" s="372"/>
      <c r="AA68" s="372"/>
    </row>
    <row r="69" spans="1:33" ht="18"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18"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36"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90"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90"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18"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18" customHeight="1">
      <c r="A75" s="7">
        <v>2020</v>
      </c>
      <c r="B75" s="15">
        <f>AVERAGE(E75,H75,K75,Z75)</f>
        <v>39.5</v>
      </c>
      <c r="C75" s="15"/>
      <c r="D75" s="7">
        <v>2020</v>
      </c>
      <c r="E75" s="14">
        <v>0</v>
      </c>
      <c r="F75" s="17" t="s">
        <v>1333</v>
      </c>
      <c r="G75" s="7">
        <v>2020</v>
      </c>
      <c r="H75" s="14">
        <v>33</v>
      </c>
      <c r="I75" s="23" t="s">
        <v>1334</v>
      </c>
      <c r="J75" s="7">
        <v>2020</v>
      </c>
      <c r="K75" s="31">
        <f>AVERAGE(N75,Q75,T75,W75)</f>
        <v>25</v>
      </c>
      <c r="L75" s="14"/>
      <c r="M75" s="7">
        <v>2020</v>
      </c>
      <c r="N75" s="21">
        <v>0</v>
      </c>
      <c r="O75" s="17" t="s">
        <v>1335</v>
      </c>
      <c r="P75" s="7">
        <v>2020</v>
      </c>
      <c r="Q75" s="21">
        <v>100</v>
      </c>
      <c r="R75" s="17" t="s">
        <v>1336</v>
      </c>
      <c r="S75" s="7">
        <v>2020</v>
      </c>
      <c r="T75" s="21">
        <v>0</v>
      </c>
      <c r="U75" s="17" t="s">
        <v>1337</v>
      </c>
      <c r="V75" s="7">
        <v>2020</v>
      </c>
      <c r="W75" s="21">
        <v>0</v>
      </c>
      <c r="X75" s="17" t="s">
        <v>1338</v>
      </c>
      <c r="Y75" s="7">
        <v>2020</v>
      </c>
      <c r="Z75" s="14">
        <v>100</v>
      </c>
      <c r="AA75" s="23" t="s">
        <v>1339</v>
      </c>
    </row>
    <row r="76" spans="1:33" ht="18" customHeight="1">
      <c r="A76" s="7">
        <v>2021</v>
      </c>
      <c r="B76" s="15">
        <f t="shared" ref="B76:B78" si="7">AVERAGE(E76,H76,K76,Z76)</f>
        <v>39.5</v>
      </c>
      <c r="C76" s="15"/>
      <c r="D76" s="7">
        <v>2021</v>
      </c>
      <c r="E76" s="14">
        <v>0</v>
      </c>
      <c r="F76" s="17"/>
      <c r="G76" s="7">
        <v>2021</v>
      </c>
      <c r="H76" s="14">
        <v>33</v>
      </c>
      <c r="I76" s="17"/>
      <c r="J76" s="7">
        <v>2021</v>
      </c>
      <c r="K76" s="31">
        <f t="shared" ref="K76:K78" si="8">AVERAGE(N76,Q76,T76,W76)</f>
        <v>25</v>
      </c>
      <c r="L76" s="14"/>
      <c r="M76" s="7">
        <v>2021</v>
      </c>
      <c r="N76" s="21">
        <v>0</v>
      </c>
      <c r="O76" s="17"/>
      <c r="P76" s="7">
        <v>2021</v>
      </c>
      <c r="Q76" s="21">
        <v>100</v>
      </c>
      <c r="R76" s="17"/>
      <c r="S76" s="7">
        <v>2021</v>
      </c>
      <c r="T76" s="21">
        <v>0</v>
      </c>
      <c r="U76" s="17"/>
      <c r="V76" s="7">
        <v>2021</v>
      </c>
      <c r="W76" s="21">
        <v>0</v>
      </c>
      <c r="X76" s="17"/>
      <c r="Y76" s="7">
        <v>2021</v>
      </c>
      <c r="Z76" s="14">
        <v>100</v>
      </c>
      <c r="AA76" s="23"/>
    </row>
    <row r="77" spans="1:33" ht="18" customHeight="1">
      <c r="A77" s="7">
        <v>2022</v>
      </c>
      <c r="B77" s="15">
        <f t="shared" si="7"/>
        <v>39.5</v>
      </c>
      <c r="C77" s="15"/>
      <c r="D77" s="7">
        <v>2022</v>
      </c>
      <c r="E77" s="14">
        <v>0</v>
      </c>
      <c r="F77" s="17"/>
      <c r="G77" s="7">
        <v>2022</v>
      </c>
      <c r="H77" s="14">
        <v>33</v>
      </c>
      <c r="I77" s="17"/>
      <c r="J77" s="7">
        <v>2022</v>
      </c>
      <c r="K77" s="31">
        <f t="shared" si="8"/>
        <v>25</v>
      </c>
      <c r="L77" s="14"/>
      <c r="M77" s="7">
        <v>2022</v>
      </c>
      <c r="N77" s="21">
        <v>0</v>
      </c>
      <c r="O77" s="17"/>
      <c r="P77" s="7">
        <v>2022</v>
      </c>
      <c r="Q77" s="21">
        <v>100</v>
      </c>
      <c r="R77" s="17"/>
      <c r="S77" s="7">
        <v>2022</v>
      </c>
      <c r="T77" s="21">
        <v>0</v>
      </c>
      <c r="U77" s="17"/>
      <c r="V77" s="7">
        <v>2022</v>
      </c>
      <c r="W77" s="21">
        <v>0</v>
      </c>
      <c r="X77" s="17"/>
      <c r="Y77" s="7">
        <v>2022</v>
      </c>
      <c r="Z77" s="14">
        <v>100</v>
      </c>
      <c r="AA77" s="23"/>
    </row>
    <row r="78" spans="1:33" ht="18" customHeight="1">
      <c r="A78" s="7">
        <v>2023</v>
      </c>
      <c r="B78" s="15">
        <f t="shared" si="7"/>
        <v>39.5</v>
      </c>
      <c r="C78" s="15"/>
      <c r="D78" s="7">
        <v>2023</v>
      </c>
      <c r="E78" s="14">
        <v>0</v>
      </c>
      <c r="F78" s="17"/>
      <c r="G78" s="7">
        <v>2023</v>
      </c>
      <c r="H78" s="14">
        <v>33</v>
      </c>
      <c r="I78" s="17"/>
      <c r="J78" s="7">
        <v>2023</v>
      </c>
      <c r="K78" s="31">
        <f t="shared" si="8"/>
        <v>25</v>
      </c>
      <c r="L78" s="14"/>
      <c r="M78" s="7">
        <v>2023</v>
      </c>
      <c r="N78" s="21">
        <v>0</v>
      </c>
      <c r="O78" s="17"/>
      <c r="P78" s="7">
        <v>2023</v>
      </c>
      <c r="Q78" s="21">
        <v>100</v>
      </c>
      <c r="R78" s="17"/>
      <c r="S78" s="7">
        <v>2023</v>
      </c>
      <c r="T78" s="21">
        <v>0</v>
      </c>
      <c r="U78" s="17"/>
      <c r="V78" s="7">
        <v>2023</v>
      </c>
      <c r="W78" s="21">
        <v>0</v>
      </c>
      <c r="X78" s="17"/>
      <c r="Y78" s="7">
        <v>2023</v>
      </c>
      <c r="Z78" s="14">
        <v>100</v>
      </c>
      <c r="AA78" s="23"/>
    </row>
    <row r="79" spans="1:33" ht="18" customHeight="1">
      <c r="W79" s="39"/>
    </row>
    <row r="80" spans="1:33" ht="18" customHeight="1">
      <c r="A80" s="5" t="s">
        <v>5</v>
      </c>
      <c r="B80" s="369" t="s">
        <v>265</v>
      </c>
      <c r="C80" s="370"/>
      <c r="D80" s="370"/>
      <c r="E80" s="370"/>
      <c r="F80" s="370"/>
      <c r="G80" s="370"/>
      <c r="H80" s="370"/>
      <c r="I80" s="370"/>
      <c r="J80" s="370"/>
      <c r="K80" s="370"/>
      <c r="L80" s="370"/>
      <c r="M80" s="370"/>
      <c r="N80" s="370"/>
      <c r="O80" s="370"/>
      <c r="P80" s="370"/>
      <c r="Q80" s="370"/>
      <c r="R80" s="370"/>
      <c r="S80" s="370"/>
      <c r="T80" s="370"/>
      <c r="U80" s="370"/>
      <c r="V80" s="370"/>
      <c r="W80" s="370"/>
      <c r="X80" s="370"/>
      <c r="Y80" s="370"/>
      <c r="Z80" s="370"/>
      <c r="AA80" s="370"/>
      <c r="AB80" s="370"/>
      <c r="AC80" s="370"/>
      <c r="AD80" s="370"/>
      <c r="AE80" s="370"/>
      <c r="AF80" s="370"/>
      <c r="AG80" s="371"/>
    </row>
    <row r="81" spans="1:51" ht="18"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18"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36"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90"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1340</v>
      </c>
      <c r="AA84" s="310"/>
      <c r="AB84" s="7" t="s">
        <v>30</v>
      </c>
      <c r="AC84" s="310" t="s">
        <v>295</v>
      </c>
      <c r="AD84" s="310"/>
      <c r="AE84" s="7" t="s">
        <v>30</v>
      </c>
      <c r="AF84" s="310" t="s">
        <v>296</v>
      </c>
      <c r="AG84" s="310"/>
    </row>
    <row r="85" spans="1:51" ht="90"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18"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t="s">
        <v>54</v>
      </c>
      <c r="AD86" s="7" t="s">
        <v>122</v>
      </c>
      <c r="AE86" s="7" t="s">
        <v>121</v>
      </c>
      <c r="AF86" s="7"/>
      <c r="AG86" s="7"/>
    </row>
    <row r="87" spans="1:51" ht="18" customHeight="1">
      <c r="A87" s="7">
        <v>2020</v>
      </c>
      <c r="B87" s="15">
        <f>AVERAGE(E87,H87, W87,((Z87+AC87+AF87)/3))</f>
        <v>77.75</v>
      </c>
      <c r="C87" s="15"/>
      <c r="D87" s="7">
        <v>2020</v>
      </c>
      <c r="E87" s="21">
        <v>100</v>
      </c>
      <c r="F87" s="17" t="s">
        <v>1341</v>
      </c>
      <c r="G87" s="7">
        <v>2020</v>
      </c>
      <c r="H87" s="31">
        <f>AVERAGE(K87,N87,Q87,T87)</f>
        <v>100</v>
      </c>
      <c r="I87" s="14"/>
      <c r="J87" s="7">
        <v>2020</v>
      </c>
      <c r="K87" s="14">
        <v>100</v>
      </c>
      <c r="L87" s="17"/>
      <c r="M87" s="7">
        <v>2020</v>
      </c>
      <c r="N87" s="14">
        <v>100</v>
      </c>
      <c r="O87" s="17" t="s">
        <v>1342</v>
      </c>
      <c r="P87" s="7">
        <v>2020</v>
      </c>
      <c r="Q87" s="14">
        <v>100</v>
      </c>
      <c r="R87" s="17"/>
      <c r="S87" s="7">
        <v>2020</v>
      </c>
      <c r="T87" s="14">
        <v>100</v>
      </c>
      <c r="U87" s="17" t="s">
        <v>1343</v>
      </c>
      <c r="V87" s="7">
        <v>2020</v>
      </c>
      <c r="W87" s="14">
        <v>100</v>
      </c>
      <c r="X87" s="17" t="s">
        <v>1344</v>
      </c>
      <c r="Y87" s="7">
        <v>2020</v>
      </c>
      <c r="Z87" s="14">
        <v>0</v>
      </c>
      <c r="AA87" s="17" t="s">
        <v>1345</v>
      </c>
      <c r="AB87" s="7">
        <v>2020</v>
      </c>
      <c r="AC87" s="14">
        <v>33</v>
      </c>
      <c r="AD87" s="17" t="s">
        <v>1346</v>
      </c>
      <c r="AE87" s="7">
        <v>2020</v>
      </c>
      <c r="AF87" s="14">
        <v>0</v>
      </c>
      <c r="AG87" s="23"/>
    </row>
    <row r="88" spans="1:51" ht="18" customHeight="1">
      <c r="A88" s="7">
        <v>2021</v>
      </c>
      <c r="B88" s="15">
        <f t="shared" ref="B88:B90" si="9">AVERAGE(E88,H88, W88,((Z88+AC88+AF88)/3))</f>
        <v>77.75</v>
      </c>
      <c r="C88" s="15"/>
      <c r="D88" s="7">
        <v>2021</v>
      </c>
      <c r="E88" s="21">
        <v>100</v>
      </c>
      <c r="F88" s="17"/>
      <c r="G88" s="7">
        <v>2021</v>
      </c>
      <c r="H88" s="31">
        <f t="shared" ref="H88:H90" si="10">AVERAGE(K88,N88,Q88,T88)</f>
        <v>100</v>
      </c>
      <c r="I88" s="14"/>
      <c r="J88" s="7">
        <v>2021</v>
      </c>
      <c r="K88" s="14">
        <v>100</v>
      </c>
      <c r="L88" s="17"/>
      <c r="M88" s="7">
        <v>2021</v>
      </c>
      <c r="N88" s="14">
        <v>100</v>
      </c>
      <c r="O88" s="17"/>
      <c r="P88" s="7">
        <v>2021</v>
      </c>
      <c r="Q88" s="14">
        <v>100</v>
      </c>
      <c r="R88" s="17"/>
      <c r="S88" s="7">
        <v>2021</v>
      </c>
      <c r="T88" s="14">
        <v>100</v>
      </c>
      <c r="U88" s="17"/>
      <c r="V88" s="7">
        <v>2021</v>
      </c>
      <c r="W88" s="14">
        <v>100</v>
      </c>
      <c r="X88" s="17"/>
      <c r="Y88" s="7">
        <v>2021</v>
      </c>
      <c r="Z88" s="14">
        <v>0</v>
      </c>
      <c r="AA88" s="17"/>
      <c r="AB88" s="7">
        <v>2021</v>
      </c>
      <c r="AC88" s="14">
        <v>33</v>
      </c>
      <c r="AD88" s="17"/>
      <c r="AE88" s="7">
        <v>2021</v>
      </c>
      <c r="AF88" s="14">
        <v>0</v>
      </c>
      <c r="AG88" s="23"/>
    </row>
    <row r="89" spans="1:51" ht="18" customHeight="1">
      <c r="A89" s="7">
        <v>2022</v>
      </c>
      <c r="B89" s="15">
        <f t="shared" si="9"/>
        <v>77.75</v>
      </c>
      <c r="C89" s="15"/>
      <c r="D89" s="7">
        <v>2022</v>
      </c>
      <c r="E89" s="21">
        <v>100</v>
      </c>
      <c r="F89" s="17"/>
      <c r="G89" s="7">
        <v>2022</v>
      </c>
      <c r="H89" s="31">
        <f t="shared" si="10"/>
        <v>100</v>
      </c>
      <c r="I89" s="14"/>
      <c r="J89" s="7">
        <v>2022</v>
      </c>
      <c r="K89" s="14">
        <v>100</v>
      </c>
      <c r="L89" s="17"/>
      <c r="M89" s="7">
        <v>2022</v>
      </c>
      <c r="N89" s="14">
        <v>100</v>
      </c>
      <c r="O89" s="17"/>
      <c r="P89" s="7">
        <v>2022</v>
      </c>
      <c r="Q89" s="14">
        <v>100</v>
      </c>
      <c r="R89" s="17"/>
      <c r="S89" s="7">
        <v>2022</v>
      </c>
      <c r="T89" s="14">
        <v>100</v>
      </c>
      <c r="U89" s="17"/>
      <c r="V89" s="7">
        <v>2022</v>
      </c>
      <c r="W89" s="14">
        <v>100</v>
      </c>
      <c r="X89" s="17"/>
      <c r="Y89" s="7">
        <v>2022</v>
      </c>
      <c r="Z89" s="14">
        <v>0</v>
      </c>
      <c r="AA89" s="17"/>
      <c r="AB89" s="7">
        <v>2022</v>
      </c>
      <c r="AC89" s="14">
        <v>33</v>
      </c>
      <c r="AD89" s="17"/>
      <c r="AE89" s="7">
        <v>2022</v>
      </c>
      <c r="AF89" s="14">
        <v>0</v>
      </c>
      <c r="AG89" s="23"/>
    </row>
    <row r="90" spans="1:51" ht="18" customHeight="1">
      <c r="A90" s="7">
        <v>2023</v>
      </c>
      <c r="B90" s="15">
        <f t="shared" si="9"/>
        <v>77.75</v>
      </c>
      <c r="C90" s="15"/>
      <c r="D90" s="7">
        <v>2023</v>
      </c>
      <c r="E90" s="21">
        <v>100</v>
      </c>
      <c r="F90" s="17"/>
      <c r="G90" s="7">
        <v>2023</v>
      </c>
      <c r="H90" s="31">
        <f t="shared" si="10"/>
        <v>100</v>
      </c>
      <c r="I90" s="14"/>
      <c r="J90" s="7">
        <v>2023</v>
      </c>
      <c r="K90" s="14">
        <v>100</v>
      </c>
      <c r="L90" s="17"/>
      <c r="M90" s="7">
        <v>2023</v>
      </c>
      <c r="N90" s="14">
        <v>100</v>
      </c>
      <c r="O90" s="17"/>
      <c r="P90" s="7">
        <v>2023</v>
      </c>
      <c r="Q90" s="14">
        <v>100</v>
      </c>
      <c r="R90" s="17"/>
      <c r="S90" s="7">
        <v>2023</v>
      </c>
      <c r="T90" s="14">
        <v>100</v>
      </c>
      <c r="U90" s="17"/>
      <c r="V90" s="7">
        <v>2023</v>
      </c>
      <c r="W90" s="14">
        <v>100</v>
      </c>
      <c r="X90" s="17"/>
      <c r="Y90" s="7">
        <v>2023</v>
      </c>
      <c r="Z90" s="14">
        <v>0</v>
      </c>
      <c r="AA90" s="17"/>
      <c r="AB90" s="7">
        <v>2023</v>
      </c>
      <c r="AC90" s="14">
        <v>33</v>
      </c>
      <c r="AD90" s="17"/>
      <c r="AE90" s="7">
        <v>2023</v>
      </c>
      <c r="AF90" s="14">
        <v>0</v>
      </c>
      <c r="AG90" s="23"/>
    </row>
    <row r="92" spans="1:51" s="38" customFormat="1" ht="18" customHeight="1">
      <c r="A92" s="26" t="s">
        <v>5</v>
      </c>
      <c r="B92" s="366" t="s">
        <v>305</v>
      </c>
      <c r="C92" s="367"/>
      <c r="D92" s="367"/>
      <c r="E92" s="367"/>
      <c r="F92" s="367"/>
      <c r="G92" s="367"/>
      <c r="H92" s="367"/>
      <c r="I92" s="367"/>
      <c r="J92" s="367"/>
      <c r="K92" s="367"/>
      <c r="L92" s="367"/>
      <c r="M92" s="367"/>
      <c r="N92" s="367"/>
      <c r="O92" s="367"/>
      <c r="P92" s="367"/>
      <c r="Q92" s="367"/>
      <c r="R92" s="367"/>
      <c r="S92" s="367"/>
      <c r="T92" s="367"/>
      <c r="U92" s="367"/>
      <c r="V92" s="367"/>
      <c r="W92" s="367"/>
      <c r="X92" s="367"/>
      <c r="Y92" s="367"/>
      <c r="Z92" s="367"/>
      <c r="AA92" s="367"/>
      <c r="AB92" s="367"/>
      <c r="AC92" s="367"/>
      <c r="AD92" s="367"/>
      <c r="AE92" s="367"/>
      <c r="AF92" s="367"/>
      <c r="AG92" s="367"/>
      <c r="AH92" s="367"/>
      <c r="AI92" s="367"/>
      <c r="AJ92" s="367"/>
      <c r="AK92" s="367"/>
      <c r="AL92" s="367"/>
      <c r="AM92" s="368"/>
      <c r="AN92" s="40"/>
      <c r="AO92" s="40"/>
      <c r="AP92" s="40"/>
      <c r="AQ92" s="40"/>
      <c r="AR92" s="40"/>
      <c r="AS92" s="40"/>
      <c r="AT92" s="40"/>
      <c r="AU92" s="40"/>
      <c r="AV92" s="40"/>
      <c r="AW92" s="40"/>
      <c r="AX92" s="40"/>
      <c r="AY92" s="40"/>
    </row>
    <row r="93" spans="1:51" s="38" customFormat="1" ht="18"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18"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36"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90"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90"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18"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18" customHeight="1">
      <c r="A99" s="27">
        <v>2020</v>
      </c>
      <c r="B99" s="192">
        <f>AVERAGE((E99+K99+Q99)/3+(H99+N99+T99)/3+W99+Z99+AC99+AF99+AI99+AL99)/8</f>
        <v>79.166666666666671</v>
      </c>
      <c r="C99" s="43"/>
      <c r="D99" s="27">
        <v>2020</v>
      </c>
      <c r="E99" s="14">
        <v>100</v>
      </c>
      <c r="F99" s="23"/>
      <c r="G99" s="7">
        <v>2020</v>
      </c>
      <c r="H99" s="44">
        <v>50</v>
      </c>
      <c r="I99" s="23"/>
      <c r="J99" s="27">
        <v>2020</v>
      </c>
      <c r="K99" s="74">
        <v>100</v>
      </c>
      <c r="L99" s="23"/>
      <c r="M99" s="7">
        <v>2020</v>
      </c>
      <c r="N99" s="21">
        <v>0</v>
      </c>
      <c r="O99" s="23"/>
      <c r="P99" s="27">
        <v>2020</v>
      </c>
      <c r="Q99" s="14">
        <v>100</v>
      </c>
      <c r="R99" s="17" t="s">
        <v>1347</v>
      </c>
      <c r="S99" s="7">
        <v>2020</v>
      </c>
      <c r="T99" s="193">
        <v>50</v>
      </c>
      <c r="U99" s="194" t="s">
        <v>1348</v>
      </c>
      <c r="V99" s="7">
        <v>2020</v>
      </c>
      <c r="W99" s="82">
        <v>100</v>
      </c>
      <c r="X99" s="86" t="s">
        <v>1349</v>
      </c>
      <c r="Y99" s="7">
        <v>2020</v>
      </c>
      <c r="Z99" s="82">
        <v>100</v>
      </c>
      <c r="AA99" s="86" t="s">
        <v>1350</v>
      </c>
      <c r="AB99" s="7">
        <v>2020</v>
      </c>
      <c r="AC99" s="21">
        <v>100</v>
      </c>
      <c r="AD99" s="23" t="s">
        <v>1351</v>
      </c>
      <c r="AE99" s="7">
        <v>2020</v>
      </c>
      <c r="AF99" s="14">
        <v>50</v>
      </c>
      <c r="AG99" s="23" t="s">
        <v>1352</v>
      </c>
      <c r="AH99" s="7">
        <v>2020</v>
      </c>
      <c r="AI99" s="21">
        <v>100</v>
      </c>
      <c r="AJ99" s="23" t="s">
        <v>1353</v>
      </c>
      <c r="AK99" s="7">
        <v>2020</v>
      </c>
      <c r="AL99" s="84">
        <v>50</v>
      </c>
      <c r="AM99" s="86" t="s">
        <v>1354</v>
      </c>
      <c r="AN99" s="40"/>
      <c r="AO99" s="40"/>
      <c r="AP99" s="40"/>
      <c r="AQ99" s="40"/>
      <c r="AR99" s="40"/>
      <c r="AS99" s="40"/>
      <c r="AT99" s="40"/>
      <c r="AU99" s="40"/>
      <c r="AV99" s="40"/>
      <c r="AW99" s="40"/>
      <c r="AX99" s="40"/>
      <c r="AY99" s="40"/>
    </row>
    <row r="100" spans="1:51" s="38" customFormat="1" ht="18" customHeight="1">
      <c r="A100" s="27">
        <v>2021</v>
      </c>
      <c r="B100" s="192">
        <f t="shared" ref="B100:B102" si="11">AVERAGE((E100+K100+Q100)/3+(H100+N100+T100)/3+W100+Z100+AC100+AF100+AI100+AL100)/8</f>
        <v>79.166666666666671</v>
      </c>
      <c r="C100" s="49"/>
      <c r="D100" s="27">
        <v>2021</v>
      </c>
      <c r="E100" s="14">
        <v>100</v>
      </c>
      <c r="F100" s="23"/>
      <c r="G100" s="7">
        <v>2021</v>
      </c>
      <c r="H100" s="44">
        <v>50</v>
      </c>
      <c r="I100" s="23"/>
      <c r="J100" s="27">
        <v>2021</v>
      </c>
      <c r="K100" s="74">
        <v>100</v>
      </c>
      <c r="L100" s="23"/>
      <c r="M100" s="7">
        <v>2021</v>
      </c>
      <c r="N100" s="21">
        <v>0</v>
      </c>
      <c r="O100" s="23"/>
      <c r="P100" s="27">
        <v>2021</v>
      </c>
      <c r="Q100" s="14">
        <v>100</v>
      </c>
      <c r="R100" s="23"/>
      <c r="S100" s="7">
        <v>2021</v>
      </c>
      <c r="T100" s="193">
        <v>50</v>
      </c>
      <c r="U100" s="164"/>
      <c r="V100" s="7">
        <v>2021</v>
      </c>
      <c r="W100" s="82">
        <v>100</v>
      </c>
      <c r="X100" s="86"/>
      <c r="Y100" s="7">
        <v>2021</v>
      </c>
      <c r="Z100" s="82">
        <v>100</v>
      </c>
      <c r="AA100" s="86"/>
      <c r="AB100" s="7">
        <v>2021</v>
      </c>
      <c r="AC100" s="21">
        <v>100</v>
      </c>
      <c r="AD100" s="23"/>
      <c r="AE100" s="7">
        <v>2021</v>
      </c>
      <c r="AF100" s="14">
        <v>50</v>
      </c>
      <c r="AG100" s="23"/>
      <c r="AH100" s="7">
        <v>2021</v>
      </c>
      <c r="AI100" s="21">
        <v>100</v>
      </c>
      <c r="AJ100" s="23"/>
      <c r="AK100" s="7">
        <v>2021</v>
      </c>
      <c r="AL100" s="84">
        <v>50</v>
      </c>
      <c r="AM100" s="86"/>
      <c r="AN100" s="40"/>
      <c r="AO100" s="40"/>
      <c r="AP100" s="40"/>
      <c r="AQ100" s="40"/>
      <c r="AR100" s="40"/>
      <c r="AS100" s="40"/>
      <c r="AT100" s="40"/>
      <c r="AU100" s="40"/>
      <c r="AV100" s="40"/>
      <c r="AW100" s="40"/>
      <c r="AX100" s="40"/>
      <c r="AY100" s="40"/>
    </row>
    <row r="101" spans="1:51" s="38" customFormat="1" ht="18" customHeight="1">
      <c r="A101" s="27">
        <v>2022</v>
      </c>
      <c r="B101" s="192">
        <f t="shared" si="11"/>
        <v>79.166666666666671</v>
      </c>
      <c r="C101" s="49"/>
      <c r="D101" s="27">
        <v>2022</v>
      </c>
      <c r="E101" s="14">
        <v>100</v>
      </c>
      <c r="F101" s="23"/>
      <c r="G101" s="27">
        <v>2022</v>
      </c>
      <c r="H101" s="44">
        <v>50</v>
      </c>
      <c r="I101" s="23"/>
      <c r="J101" s="27">
        <v>2022</v>
      </c>
      <c r="K101" s="74">
        <v>100</v>
      </c>
      <c r="L101" s="23"/>
      <c r="M101" s="27">
        <v>2022</v>
      </c>
      <c r="N101" s="21">
        <v>0</v>
      </c>
      <c r="O101" s="23"/>
      <c r="P101" s="27">
        <v>2022</v>
      </c>
      <c r="Q101" s="14">
        <v>100</v>
      </c>
      <c r="R101" s="23"/>
      <c r="S101" s="27">
        <v>2022</v>
      </c>
      <c r="T101" s="193">
        <v>50</v>
      </c>
      <c r="U101" s="164"/>
      <c r="V101" s="27">
        <v>2022</v>
      </c>
      <c r="W101" s="82">
        <v>100</v>
      </c>
      <c r="X101" s="86"/>
      <c r="Y101" s="27">
        <v>2022</v>
      </c>
      <c r="Z101" s="82">
        <v>100</v>
      </c>
      <c r="AA101" s="86"/>
      <c r="AB101" s="27">
        <v>2022</v>
      </c>
      <c r="AC101" s="21">
        <v>100</v>
      </c>
      <c r="AD101" s="23"/>
      <c r="AE101" s="27">
        <v>2022</v>
      </c>
      <c r="AF101" s="14">
        <v>50</v>
      </c>
      <c r="AG101" s="23"/>
      <c r="AH101" s="27">
        <v>2022</v>
      </c>
      <c r="AI101" s="21">
        <v>100</v>
      </c>
      <c r="AJ101" s="23"/>
      <c r="AK101" s="27">
        <v>2022</v>
      </c>
      <c r="AL101" s="84">
        <v>50</v>
      </c>
      <c r="AM101" s="86"/>
      <c r="AN101" s="40"/>
      <c r="AO101" s="40"/>
      <c r="AP101" s="40"/>
      <c r="AQ101" s="40"/>
      <c r="AR101" s="40"/>
      <c r="AS101" s="40"/>
      <c r="AT101" s="40"/>
      <c r="AU101" s="40"/>
      <c r="AV101" s="40"/>
      <c r="AW101" s="40"/>
      <c r="AX101" s="40"/>
      <c r="AY101" s="40"/>
    </row>
    <row r="102" spans="1:51" ht="18" customHeight="1">
      <c r="A102" s="27">
        <v>2023</v>
      </c>
      <c r="B102" s="192">
        <f t="shared" si="11"/>
        <v>79.166666666666671</v>
      </c>
      <c r="C102" s="49"/>
      <c r="D102" s="27">
        <v>2023</v>
      </c>
      <c r="E102" s="14">
        <v>100</v>
      </c>
      <c r="F102" s="23"/>
      <c r="G102" s="27">
        <v>2023</v>
      </c>
      <c r="H102" s="44">
        <v>50</v>
      </c>
      <c r="I102" s="23"/>
      <c r="J102" s="27">
        <v>2023</v>
      </c>
      <c r="K102" s="74">
        <v>100</v>
      </c>
      <c r="L102" s="23"/>
      <c r="M102" s="27">
        <v>2023</v>
      </c>
      <c r="N102" s="21">
        <v>0</v>
      </c>
      <c r="O102" s="23"/>
      <c r="P102" s="27">
        <v>2023</v>
      </c>
      <c r="Q102" s="14">
        <v>100</v>
      </c>
      <c r="R102" s="23"/>
      <c r="S102" s="27">
        <v>2023</v>
      </c>
      <c r="T102" s="193">
        <v>50</v>
      </c>
      <c r="U102" s="164"/>
      <c r="V102" s="27">
        <v>2023</v>
      </c>
      <c r="W102" s="82">
        <v>100</v>
      </c>
      <c r="X102" s="86"/>
      <c r="Y102" s="27">
        <v>2023</v>
      </c>
      <c r="Z102" s="82">
        <v>100</v>
      </c>
      <c r="AA102" s="86"/>
      <c r="AB102" s="27">
        <v>2023</v>
      </c>
      <c r="AC102" s="21">
        <v>100</v>
      </c>
      <c r="AD102" s="23"/>
      <c r="AE102" s="27">
        <v>2023</v>
      </c>
      <c r="AF102" s="14">
        <v>50</v>
      </c>
      <c r="AG102" s="23"/>
      <c r="AH102" s="27">
        <v>2023</v>
      </c>
      <c r="AI102" s="21">
        <v>100</v>
      </c>
      <c r="AJ102" s="23"/>
      <c r="AK102" s="27">
        <v>2023</v>
      </c>
      <c r="AL102" s="84">
        <v>50</v>
      </c>
      <c r="AM102" s="86"/>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86FE3-2713-47BB-8788-6A91379B5E5B}">
  <dimension ref="A1:CC110"/>
  <sheetViews>
    <sheetView zoomScale="95" zoomScaleNormal="95" workbookViewId="0">
      <selection activeCell="E12" sqref="E12:F12"/>
    </sheetView>
  </sheetViews>
  <sheetFormatPr defaultColWidth="8.81640625" defaultRowHeight="15" customHeight="1"/>
  <cols>
    <col min="1" max="1" width="17.453125" style="1" customWidth="1"/>
    <col min="2" max="2" width="13.45312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81640625" style="1"/>
  </cols>
  <sheetData>
    <row r="1" spans="1:81" ht="36.65" customHeight="1">
      <c r="A1" s="323" t="s">
        <v>0</v>
      </c>
      <c r="B1" s="323"/>
      <c r="C1" s="323"/>
      <c r="D1" s="323"/>
    </row>
    <row r="2" spans="1:81" ht="39" customHeight="1">
      <c r="A2" s="2" t="s">
        <v>1</v>
      </c>
      <c r="B2" s="2" t="s">
        <v>2</v>
      </c>
      <c r="C2" s="2" t="s">
        <v>3</v>
      </c>
      <c r="D2" s="2" t="s">
        <v>4</v>
      </c>
    </row>
    <row r="3" spans="1:81" ht="15" customHeight="1">
      <c r="A3" s="3">
        <v>2020</v>
      </c>
      <c r="B3" s="4">
        <f>AVERAGE(B15,B27,B39,B51,B63,B75,B87,B99)</f>
        <v>37.315476190476197</v>
      </c>
      <c r="C3" s="4">
        <f>AVERAGE(B15,B27,B39,B51,B63,B75,B87)</f>
        <v>38.193877551020414</v>
      </c>
      <c r="D3" s="4">
        <f>AVERAGE(B15,B27,B51,B63,B75,B87)</f>
        <v>37.416666666666664</v>
      </c>
    </row>
    <row r="4" spans="1:81" ht="15" customHeight="1">
      <c r="A4" s="3">
        <v>2021</v>
      </c>
      <c r="B4" s="4">
        <f>AVERAGE(B16,B28,B40,B52,B64,B76,B88,B100)</f>
        <v>37.315476190476197</v>
      </c>
      <c r="C4" s="4">
        <f>AVERAGE(B16,B28,B40,B52,B64,B76,B88)</f>
        <v>38.193877551020414</v>
      </c>
      <c r="D4" s="4">
        <f>AVERAGE(B16,B28,B52,B64,B76,B88)</f>
        <v>37.416666666666664</v>
      </c>
    </row>
    <row r="5" spans="1:81" ht="15" customHeight="1">
      <c r="A5" s="3">
        <v>2022</v>
      </c>
      <c r="B5" s="4">
        <f>AVERAGE(B17,B29,B41,B53,B65,B77,B89,B101)</f>
        <v>37.315476190476197</v>
      </c>
      <c r="C5" s="4">
        <f>AVERAGE(B17,B29,B41,B53,B65,B77,B89)</f>
        <v>38.193877551020414</v>
      </c>
      <c r="D5" s="4">
        <f>AVERAGE(B17,B29,B53,B65,B77,B89)</f>
        <v>37.416666666666664</v>
      </c>
    </row>
    <row r="6" spans="1:81" ht="15" customHeight="1">
      <c r="A6" s="3">
        <v>2023</v>
      </c>
      <c r="B6" s="4">
        <f>AVERAGE(B18,B30,B42,B54,B66,B78,B90,B102)</f>
        <v>37.315476190476197</v>
      </c>
      <c r="C6" s="4">
        <f>AVERAGE(B18,B30,B42,B54,B66,B78,B90)</f>
        <v>38.193877551020414</v>
      </c>
      <c r="D6" s="4">
        <f>AVERAGE(B18,B30,B54,B66,B78,B90)</f>
        <v>37.416666666666664</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51" t="s">
        <v>22</v>
      </c>
      <c r="I11" s="351"/>
      <c r="J11" s="7" t="s">
        <v>19</v>
      </c>
      <c r="K11" s="322" t="s">
        <v>23</v>
      </c>
      <c r="L11" s="322"/>
      <c r="M11" s="7" t="s">
        <v>19</v>
      </c>
      <c r="N11" s="351" t="s">
        <v>24</v>
      </c>
      <c r="O11" s="351"/>
      <c r="P11" s="7" t="s">
        <v>19</v>
      </c>
      <c r="Q11" s="351" t="s">
        <v>25</v>
      </c>
      <c r="R11" s="351"/>
      <c r="S11" s="7" t="s">
        <v>19</v>
      </c>
      <c r="T11" s="351" t="s">
        <v>26</v>
      </c>
      <c r="U11" s="351"/>
      <c r="V11" s="11" t="s">
        <v>19</v>
      </c>
      <c r="W11" s="377" t="s">
        <v>27</v>
      </c>
      <c r="X11" s="377"/>
      <c r="Y11" s="11" t="s">
        <v>19</v>
      </c>
      <c r="Z11" s="377" t="s">
        <v>28</v>
      </c>
      <c r="AA11" s="377"/>
      <c r="AB11" s="7" t="s">
        <v>19</v>
      </c>
      <c r="AC11" s="351" t="s">
        <v>29</v>
      </c>
      <c r="AD11" s="351"/>
    </row>
    <row r="12" spans="1:81" ht="24.75" customHeight="1">
      <c r="A12" s="7" t="s">
        <v>30</v>
      </c>
      <c r="B12" s="322" t="s">
        <v>31</v>
      </c>
      <c r="C12" s="322"/>
      <c r="D12" s="7" t="s">
        <v>30</v>
      </c>
      <c r="E12" s="310" t="s">
        <v>32</v>
      </c>
      <c r="F12" s="310"/>
      <c r="G12" s="7" t="s">
        <v>30</v>
      </c>
      <c r="H12" s="352" t="s">
        <v>33</v>
      </c>
      <c r="I12" s="352"/>
      <c r="J12" s="7" t="s">
        <v>30</v>
      </c>
      <c r="K12" s="310" t="s">
        <v>34</v>
      </c>
      <c r="L12" s="310"/>
      <c r="M12" s="7" t="s">
        <v>30</v>
      </c>
      <c r="N12" s="352" t="s">
        <v>35</v>
      </c>
      <c r="O12" s="352"/>
      <c r="P12" s="7" t="s">
        <v>30</v>
      </c>
      <c r="Q12" s="352" t="s">
        <v>36</v>
      </c>
      <c r="R12" s="352"/>
      <c r="S12" s="7" t="s">
        <v>30</v>
      </c>
      <c r="T12" s="352" t="s">
        <v>37</v>
      </c>
      <c r="U12" s="352"/>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77" t="s">
        <v>44</v>
      </c>
      <c r="I13" s="357"/>
      <c r="J13" s="7" t="s">
        <v>41</v>
      </c>
      <c r="K13" s="308" t="s">
        <v>45</v>
      </c>
      <c r="L13" s="309"/>
      <c r="M13" s="7" t="s">
        <v>41</v>
      </c>
      <c r="N13" s="352" t="s">
        <v>46</v>
      </c>
      <c r="O13" s="352"/>
      <c r="P13" s="7" t="s">
        <v>41</v>
      </c>
      <c r="Q13" s="352" t="s">
        <v>47</v>
      </c>
      <c r="R13" s="352"/>
      <c r="S13" s="7" t="s">
        <v>41</v>
      </c>
      <c r="T13" s="351" t="s">
        <v>48</v>
      </c>
      <c r="U13" s="352"/>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6" si="0">AVERAGE(E15, H15,K15,N15,Q15,T15,W15,Z15,AC15)</f>
        <v>51.888888888888886</v>
      </c>
      <c r="C15" s="16"/>
      <c r="D15" s="7">
        <v>2020</v>
      </c>
      <c r="E15" s="14">
        <v>50</v>
      </c>
      <c r="F15" s="23" t="s">
        <v>1355</v>
      </c>
      <c r="G15" s="7">
        <v>2020</v>
      </c>
      <c r="H15" s="14">
        <v>0</v>
      </c>
      <c r="I15" s="33" t="s">
        <v>1356</v>
      </c>
      <c r="J15" s="7">
        <v>2020</v>
      </c>
      <c r="K15" s="14">
        <v>100</v>
      </c>
      <c r="L15" s="17"/>
      <c r="M15" s="7">
        <v>2020</v>
      </c>
      <c r="N15" s="14">
        <v>50</v>
      </c>
      <c r="O15" s="22" t="s">
        <v>1357</v>
      </c>
      <c r="P15" s="7">
        <v>2020</v>
      </c>
      <c r="Q15" s="14">
        <v>67</v>
      </c>
      <c r="R15" s="22" t="s">
        <v>1358</v>
      </c>
      <c r="S15" s="7">
        <v>2020</v>
      </c>
      <c r="T15" s="80">
        <v>100</v>
      </c>
      <c r="U15" s="22" t="s">
        <v>1359</v>
      </c>
      <c r="V15" s="7">
        <v>2020</v>
      </c>
      <c r="W15" s="14">
        <v>0</v>
      </c>
      <c r="X15" s="17"/>
      <c r="Y15" s="7">
        <v>2020</v>
      </c>
      <c r="Z15" s="14">
        <v>50</v>
      </c>
      <c r="AA15" s="17"/>
      <c r="AB15" s="7">
        <v>2020</v>
      </c>
      <c r="AC15" s="21">
        <v>50</v>
      </c>
      <c r="AD15" s="23" t="s">
        <v>1360</v>
      </c>
    </row>
    <row r="16" spans="1:81" ht="24.75" customHeight="1">
      <c r="A16" s="7">
        <v>2021</v>
      </c>
      <c r="B16" s="15">
        <f t="shared" si="0"/>
        <v>51.888888888888886</v>
      </c>
      <c r="C16" s="16"/>
      <c r="D16" s="7">
        <v>2021</v>
      </c>
      <c r="E16" s="14">
        <v>50</v>
      </c>
      <c r="F16" s="23" t="s">
        <v>1361</v>
      </c>
      <c r="G16" s="7">
        <v>2021</v>
      </c>
      <c r="H16" s="14">
        <v>0</v>
      </c>
      <c r="I16" s="17"/>
      <c r="J16" s="7">
        <v>2021</v>
      </c>
      <c r="K16" s="14">
        <v>100</v>
      </c>
      <c r="L16" s="17"/>
      <c r="M16" s="7">
        <v>2021</v>
      </c>
      <c r="N16" s="14">
        <v>50</v>
      </c>
      <c r="O16" s="23" t="s">
        <v>1361</v>
      </c>
      <c r="P16" s="7">
        <v>2021</v>
      </c>
      <c r="Q16" s="14">
        <v>67</v>
      </c>
      <c r="R16" s="17"/>
      <c r="S16" s="7">
        <v>2021</v>
      </c>
      <c r="T16" s="80">
        <v>100</v>
      </c>
      <c r="U16" s="17"/>
      <c r="V16" s="7">
        <v>2021</v>
      </c>
      <c r="W16" s="14">
        <v>0</v>
      </c>
      <c r="X16" s="17"/>
      <c r="Y16" s="7">
        <v>2021</v>
      </c>
      <c r="Z16" s="14">
        <v>50</v>
      </c>
      <c r="AA16" s="17"/>
      <c r="AB16" s="7">
        <v>2021</v>
      </c>
      <c r="AC16" s="21">
        <v>50</v>
      </c>
      <c r="AD16" s="23"/>
    </row>
    <row r="17" spans="1:51" ht="24.75" customHeight="1">
      <c r="A17" s="7">
        <v>2022</v>
      </c>
      <c r="B17" s="15">
        <f>AVERAGE(E17, H17,K17,N17,Q17,T17,W17,Z17,AC17)</f>
        <v>51.888888888888886</v>
      </c>
      <c r="C17" s="16"/>
      <c r="D17" s="7">
        <v>2022</v>
      </c>
      <c r="E17" s="14">
        <v>50</v>
      </c>
      <c r="F17" s="23" t="s">
        <v>1362</v>
      </c>
      <c r="G17" s="7">
        <v>2022</v>
      </c>
      <c r="H17" s="14">
        <v>0</v>
      </c>
      <c r="J17" s="7">
        <v>2022</v>
      </c>
      <c r="K17" s="14">
        <v>100</v>
      </c>
      <c r="L17" s="17"/>
      <c r="M17" s="7">
        <v>2022</v>
      </c>
      <c r="N17" s="14">
        <v>100</v>
      </c>
      <c r="O17" s="22" t="s">
        <v>1363</v>
      </c>
      <c r="P17" s="7">
        <v>2022</v>
      </c>
      <c r="Q17" s="14">
        <v>67</v>
      </c>
      <c r="R17" s="17"/>
      <c r="S17" s="7">
        <v>2022</v>
      </c>
      <c r="T17" s="80">
        <v>100</v>
      </c>
      <c r="U17" s="17"/>
      <c r="V17" s="7">
        <v>2022</v>
      </c>
      <c r="W17" s="14">
        <v>0</v>
      </c>
      <c r="X17" s="23" t="s">
        <v>1364</v>
      </c>
      <c r="Y17" s="7">
        <v>2022</v>
      </c>
      <c r="Z17" s="1">
        <v>0</v>
      </c>
      <c r="AA17" s="17"/>
      <c r="AB17" s="7">
        <v>2022</v>
      </c>
      <c r="AC17" s="21">
        <v>50</v>
      </c>
      <c r="AD17" s="23"/>
    </row>
    <row r="18" spans="1:51" ht="24.75" customHeight="1">
      <c r="A18" s="7">
        <v>2023</v>
      </c>
      <c r="B18" s="15">
        <f>AVERAGE(E18, H18,K18,N18,Q18,T18,W18,Z18,AC18)</f>
        <v>51.888888888888886</v>
      </c>
      <c r="C18" s="16"/>
      <c r="D18" s="7">
        <v>2023</v>
      </c>
      <c r="E18" s="14">
        <v>50</v>
      </c>
      <c r="F18" s="23" t="s">
        <v>1362</v>
      </c>
      <c r="G18" s="7">
        <v>2023</v>
      </c>
      <c r="H18" s="14">
        <v>0</v>
      </c>
      <c r="I18" s="33"/>
      <c r="J18" s="7">
        <v>2023</v>
      </c>
      <c r="K18" s="14">
        <v>100</v>
      </c>
      <c r="L18" s="17"/>
      <c r="M18" s="7">
        <v>2023</v>
      </c>
      <c r="N18" s="14">
        <v>100</v>
      </c>
      <c r="O18" s="17"/>
      <c r="P18" s="7">
        <v>2023</v>
      </c>
      <c r="Q18" s="14">
        <v>67</v>
      </c>
      <c r="R18" s="17"/>
      <c r="S18" s="7">
        <v>2023</v>
      </c>
      <c r="T18" s="80">
        <v>100</v>
      </c>
      <c r="U18" s="17"/>
      <c r="V18" s="7">
        <v>2023</v>
      </c>
      <c r="W18" s="14">
        <v>0</v>
      </c>
      <c r="X18" s="23" t="s">
        <v>1364</v>
      </c>
      <c r="Y18" s="7">
        <v>2023</v>
      </c>
      <c r="Z18" s="14">
        <v>0</v>
      </c>
      <c r="AA18" s="17"/>
      <c r="AB18" s="7">
        <v>2023</v>
      </c>
      <c r="AC18" s="21">
        <v>50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51" t="s">
        <v>79</v>
      </c>
      <c r="I23" s="351"/>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51" t="s">
        <v>88</v>
      </c>
      <c r="AJ23" s="351"/>
      <c r="AK23" s="7" t="s">
        <v>19</v>
      </c>
      <c r="AL23" s="322" t="s">
        <v>89</v>
      </c>
      <c r="AM23" s="322"/>
      <c r="AN23" s="7" t="s">
        <v>19</v>
      </c>
      <c r="AO23" s="351" t="s">
        <v>90</v>
      </c>
      <c r="AP23" s="351"/>
      <c r="AQ23" s="7" t="s">
        <v>19</v>
      </c>
      <c r="AR23" s="322" t="s">
        <v>91</v>
      </c>
      <c r="AS23" s="322"/>
      <c r="AT23" s="7" t="s">
        <v>19</v>
      </c>
      <c r="AU23" s="322" t="s">
        <v>92</v>
      </c>
      <c r="AV23" s="322"/>
      <c r="AW23" s="7" t="s">
        <v>19</v>
      </c>
      <c r="AX23" s="351" t="s">
        <v>93</v>
      </c>
      <c r="AY23" s="351"/>
    </row>
    <row r="24" spans="1:51" ht="24.75" customHeight="1">
      <c r="A24" s="7" t="s">
        <v>30</v>
      </c>
      <c r="B24" s="322" t="s">
        <v>31</v>
      </c>
      <c r="C24" s="322"/>
      <c r="D24" s="7" t="s">
        <v>30</v>
      </c>
      <c r="E24" s="325" t="s">
        <v>94</v>
      </c>
      <c r="F24" s="325"/>
      <c r="G24" s="7" t="s">
        <v>30</v>
      </c>
      <c r="H24" s="310" t="s">
        <v>95</v>
      </c>
      <c r="I24" s="310"/>
      <c r="J24" s="7" t="s">
        <v>30</v>
      </c>
      <c r="K24" s="325"/>
      <c r="L24" s="325"/>
      <c r="M24" s="27" t="s">
        <v>30</v>
      </c>
      <c r="N24" s="325" t="s">
        <v>96</v>
      </c>
      <c r="O24" s="325"/>
      <c r="P24" s="27" t="s">
        <v>30</v>
      </c>
      <c r="Q24" s="325" t="s">
        <v>97</v>
      </c>
      <c r="R24" s="325"/>
      <c r="S24" s="27" t="s">
        <v>30</v>
      </c>
      <c r="T24" s="325"/>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329" t="s">
        <v>429</v>
      </c>
      <c r="L25" s="325"/>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42.611111111111114</v>
      </c>
      <c r="C27" s="16"/>
      <c r="D27" s="7">
        <v>2020</v>
      </c>
      <c r="E27" s="21">
        <v>0</v>
      </c>
      <c r="F27" s="23" t="s">
        <v>1365</v>
      </c>
      <c r="G27" s="7">
        <v>2020</v>
      </c>
      <c r="H27" s="14">
        <v>50</v>
      </c>
      <c r="I27" s="23" t="s">
        <v>1366</v>
      </c>
      <c r="J27" s="7">
        <v>2020</v>
      </c>
      <c r="K27" s="14">
        <v>100</v>
      </c>
      <c r="L27" s="17"/>
      <c r="M27" s="7">
        <v>2020</v>
      </c>
      <c r="N27" s="14">
        <v>100</v>
      </c>
      <c r="O27" s="17" t="s">
        <v>1212</v>
      </c>
      <c r="P27" s="7">
        <v>2020</v>
      </c>
      <c r="Q27" s="14">
        <v>100</v>
      </c>
      <c r="R27" s="17" t="s">
        <v>1212</v>
      </c>
      <c r="S27" s="7">
        <v>2020</v>
      </c>
      <c r="T27" s="14">
        <v>100</v>
      </c>
      <c r="U27" s="17"/>
      <c r="V27" s="7">
        <v>2020</v>
      </c>
      <c r="W27" s="14">
        <v>100</v>
      </c>
      <c r="X27" s="17" t="s">
        <v>1212</v>
      </c>
      <c r="Y27" s="7">
        <v>2020</v>
      </c>
      <c r="Z27" s="14">
        <v>100</v>
      </c>
      <c r="AA27" s="17"/>
      <c r="AB27" s="7">
        <v>2020</v>
      </c>
      <c r="AC27" s="14">
        <v>100</v>
      </c>
      <c r="AD27" s="17" t="s">
        <v>1212</v>
      </c>
      <c r="AE27" s="7">
        <v>2020</v>
      </c>
      <c r="AF27" s="31">
        <f t="shared" ref="AF27:AF28" si="1">0.67*AI27+0.33*AL27</f>
        <v>83.5</v>
      </c>
      <c r="AG27" s="17"/>
      <c r="AH27" s="7">
        <v>2020</v>
      </c>
      <c r="AI27" s="14">
        <v>100</v>
      </c>
      <c r="AJ27" s="23" t="s">
        <v>1367</v>
      </c>
      <c r="AK27" s="7">
        <v>2020</v>
      </c>
      <c r="AL27" s="14">
        <v>50</v>
      </c>
      <c r="AM27" s="23" t="s">
        <v>1368</v>
      </c>
      <c r="AN27" s="7">
        <v>2020</v>
      </c>
      <c r="AO27" s="14">
        <v>50</v>
      </c>
      <c r="AP27" s="23" t="s">
        <v>1369</v>
      </c>
      <c r="AQ27" s="7">
        <v>2020</v>
      </c>
      <c r="AR27" s="14">
        <v>0</v>
      </c>
      <c r="AS27" s="17" t="s">
        <v>1370</v>
      </c>
      <c r="AT27" s="7">
        <v>2020</v>
      </c>
      <c r="AU27" s="14">
        <v>0</v>
      </c>
      <c r="AV27" s="17" t="s">
        <v>1371</v>
      </c>
      <c r="AW27" s="7">
        <v>2020</v>
      </c>
      <c r="AX27" s="14">
        <v>0</v>
      </c>
      <c r="AY27" s="23" t="s">
        <v>1372</v>
      </c>
    </row>
    <row r="28" spans="1:51" ht="24.75" customHeight="1">
      <c r="A28" s="7">
        <v>2021</v>
      </c>
      <c r="B28" s="15">
        <f>AVERAGE(E28,H28,K28,T28,AF28,AO28,AU28,AX28,AR28)</f>
        <v>42.611111111111114</v>
      </c>
      <c r="C28" s="15"/>
      <c r="D28" s="7">
        <v>2021</v>
      </c>
      <c r="E28" s="21">
        <v>0</v>
      </c>
      <c r="F28" s="17"/>
      <c r="G28" s="7">
        <v>2021</v>
      </c>
      <c r="H28" s="14">
        <v>50</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si="1"/>
        <v>83.5</v>
      </c>
      <c r="AG28" s="17"/>
      <c r="AH28" s="7">
        <v>2021</v>
      </c>
      <c r="AI28" s="14">
        <v>100</v>
      </c>
      <c r="AJ28" s="17"/>
      <c r="AK28" s="7">
        <v>2021</v>
      </c>
      <c r="AL28" s="14">
        <v>50</v>
      </c>
      <c r="AM28" s="17"/>
      <c r="AN28" s="7">
        <v>2021</v>
      </c>
      <c r="AO28" s="14">
        <v>50</v>
      </c>
      <c r="AP28" s="23"/>
      <c r="AQ28" s="7">
        <v>2021</v>
      </c>
      <c r="AR28" s="14">
        <v>0</v>
      </c>
      <c r="AS28" s="17"/>
      <c r="AT28" s="7">
        <v>2021</v>
      </c>
      <c r="AU28" s="14">
        <v>0</v>
      </c>
      <c r="AV28" s="17"/>
      <c r="AW28" s="7">
        <v>2021</v>
      </c>
      <c r="AX28" s="14">
        <v>0</v>
      </c>
      <c r="AY28" s="23"/>
    </row>
    <row r="29" spans="1:51" ht="24.75" customHeight="1">
      <c r="A29" s="7">
        <v>2022</v>
      </c>
      <c r="B29" s="15">
        <f>AVERAGE(E29,H29,K29,T29,AF29,AO29,AU29,AX29,AR29)</f>
        <v>42.611111111111114</v>
      </c>
      <c r="C29" s="15"/>
      <c r="D29" s="7">
        <v>2022</v>
      </c>
      <c r="E29" s="21">
        <v>0</v>
      </c>
      <c r="F29" s="17"/>
      <c r="G29" s="7">
        <v>2022</v>
      </c>
      <c r="H29" s="14">
        <v>50</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0.67*AI29+0.33*AL29</f>
        <v>83.5</v>
      </c>
      <c r="AG29" s="17"/>
      <c r="AH29" s="7">
        <v>2022</v>
      </c>
      <c r="AI29" s="14">
        <v>100</v>
      </c>
      <c r="AJ29" s="17"/>
      <c r="AK29" s="7">
        <v>2022</v>
      </c>
      <c r="AL29" s="1">
        <v>50</v>
      </c>
      <c r="AM29" s="17"/>
      <c r="AN29" s="7">
        <v>2022</v>
      </c>
      <c r="AO29" s="14">
        <v>50</v>
      </c>
      <c r="AP29" s="23" t="s">
        <v>1373</v>
      </c>
      <c r="AQ29" s="7">
        <v>2022</v>
      </c>
      <c r="AR29" s="14">
        <v>0</v>
      </c>
      <c r="AS29" s="17"/>
      <c r="AT29" s="7">
        <v>2022</v>
      </c>
      <c r="AU29" s="14">
        <v>0</v>
      </c>
      <c r="AV29" s="17"/>
      <c r="AW29" s="7">
        <v>2022</v>
      </c>
      <c r="AX29" s="14">
        <v>0</v>
      </c>
      <c r="AY29" s="23"/>
    </row>
    <row r="30" spans="1:51" ht="24.75" customHeight="1">
      <c r="A30" s="7">
        <v>2023</v>
      </c>
      <c r="B30" s="15">
        <f>AVERAGE(E30,H30,K30,T30,AF30,AO30,AU30,AX30,AR30)</f>
        <v>42.611111111111114</v>
      </c>
      <c r="C30" s="15"/>
      <c r="D30" s="7">
        <v>2023</v>
      </c>
      <c r="E30" s="21">
        <v>0</v>
      </c>
      <c r="F30" s="104"/>
      <c r="G30" s="7">
        <v>2023</v>
      </c>
      <c r="H30" s="14">
        <v>50</v>
      </c>
      <c r="I30" s="17"/>
      <c r="J30" s="7">
        <v>2023</v>
      </c>
      <c r="K30" s="14">
        <v>100</v>
      </c>
      <c r="L30" s="17"/>
      <c r="M30" s="7">
        <v>2023</v>
      </c>
      <c r="N30" s="14">
        <v>100</v>
      </c>
      <c r="O30" s="17"/>
      <c r="P30" s="7">
        <v>2023</v>
      </c>
      <c r="Q30" s="14">
        <v>100</v>
      </c>
      <c r="R30" s="17"/>
      <c r="S30" s="7">
        <v>2023</v>
      </c>
      <c r="T30" s="14">
        <v>100</v>
      </c>
      <c r="U30" s="17"/>
      <c r="V30" s="7">
        <v>2023</v>
      </c>
      <c r="W30" s="14">
        <v>100</v>
      </c>
      <c r="X30" s="17"/>
      <c r="Y30" s="7">
        <v>2023</v>
      </c>
      <c r="Z30" s="14">
        <v>100</v>
      </c>
      <c r="AA30" s="17"/>
      <c r="AB30" s="7">
        <v>2023</v>
      </c>
      <c r="AC30" s="14">
        <v>100</v>
      </c>
      <c r="AD30" s="17"/>
      <c r="AE30" s="7">
        <v>2023</v>
      </c>
      <c r="AF30" s="31">
        <f>0.67*AI30+0.33*AL30</f>
        <v>83.5</v>
      </c>
      <c r="AG30" s="17"/>
      <c r="AH30" s="7">
        <v>2023</v>
      </c>
      <c r="AI30" s="14">
        <v>100</v>
      </c>
      <c r="AJ30" s="17"/>
      <c r="AK30" s="7">
        <v>2023</v>
      </c>
      <c r="AL30" s="14">
        <v>50</v>
      </c>
      <c r="AM30" s="17"/>
      <c r="AN30" s="7">
        <v>2023</v>
      </c>
      <c r="AO30" s="14">
        <v>50</v>
      </c>
      <c r="AP30" s="23"/>
      <c r="AQ30" s="7">
        <v>2023</v>
      </c>
      <c r="AR30" s="14">
        <v>0</v>
      </c>
      <c r="AS30" s="17"/>
      <c r="AT30" s="7">
        <v>2023</v>
      </c>
      <c r="AU30" s="14">
        <v>0</v>
      </c>
      <c r="AV30" s="17"/>
      <c r="AW30" s="7">
        <v>2023</v>
      </c>
      <c r="AX30" s="14">
        <v>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51" t="s">
        <v>142</v>
      </c>
      <c r="F35" s="351"/>
      <c r="G35" s="7" t="s">
        <v>19</v>
      </c>
      <c r="H35" s="351" t="s">
        <v>143</v>
      </c>
      <c r="I35" s="351"/>
      <c r="J35" s="7" t="s">
        <v>19</v>
      </c>
      <c r="K35" s="351" t="s">
        <v>144</v>
      </c>
      <c r="L35" s="351"/>
      <c r="M35" s="7" t="s">
        <v>19</v>
      </c>
      <c r="N35" s="322" t="s">
        <v>145</v>
      </c>
      <c r="O35" s="322"/>
      <c r="P35" s="7" t="s">
        <v>19</v>
      </c>
      <c r="Q35" s="322" t="s">
        <v>145</v>
      </c>
      <c r="R35" s="322"/>
      <c r="S35" s="7" t="s">
        <v>19</v>
      </c>
      <c r="T35" s="322" t="s">
        <v>146</v>
      </c>
      <c r="U35" s="322"/>
      <c r="V35" s="7" t="s">
        <v>19</v>
      </c>
      <c r="W35" s="351" t="s">
        <v>147</v>
      </c>
      <c r="X35" s="351"/>
      <c r="Y35" s="7" t="s">
        <v>19</v>
      </c>
      <c r="Z35" s="377" t="s">
        <v>148</v>
      </c>
      <c r="AA35" s="377"/>
      <c r="AB35" s="7" t="s">
        <v>19</v>
      </c>
      <c r="AC35" s="351" t="s">
        <v>149</v>
      </c>
      <c r="AD35" s="351"/>
      <c r="AE35" s="7" t="s">
        <v>19</v>
      </c>
      <c r="AF35" s="322" t="s">
        <v>150</v>
      </c>
      <c r="AG35" s="322"/>
      <c r="AH35" s="7" t="s">
        <v>19</v>
      </c>
      <c r="AI35" s="322" t="s">
        <v>151</v>
      </c>
      <c r="AJ35" s="322"/>
      <c r="AK35" s="7" t="s">
        <v>19</v>
      </c>
      <c r="AL35" s="351" t="s">
        <v>152</v>
      </c>
      <c r="AM35" s="351"/>
    </row>
    <row r="36" spans="1:39" ht="24.75" customHeight="1">
      <c r="A36" s="7" t="s">
        <v>30</v>
      </c>
      <c r="B36" s="322" t="s">
        <v>31</v>
      </c>
      <c r="C36" s="322"/>
      <c r="D36" s="7" t="s">
        <v>30</v>
      </c>
      <c r="E36" s="310" t="s">
        <v>153</v>
      </c>
      <c r="F36" s="310"/>
      <c r="G36" s="7" t="s">
        <v>30</v>
      </c>
      <c r="H36" s="352" t="s">
        <v>154</v>
      </c>
      <c r="I36" s="352"/>
      <c r="J36" s="7" t="s">
        <v>30</v>
      </c>
      <c r="K36" s="352" t="s">
        <v>155</v>
      </c>
      <c r="L36" s="352"/>
      <c r="M36" s="7" t="s">
        <v>30</v>
      </c>
      <c r="N36" s="310" t="s">
        <v>156</v>
      </c>
      <c r="O36" s="310"/>
      <c r="P36" s="7" t="s">
        <v>30</v>
      </c>
      <c r="Q36" s="310" t="s">
        <v>157</v>
      </c>
      <c r="R36" s="310"/>
      <c r="S36" s="7" t="s">
        <v>30</v>
      </c>
      <c r="T36" s="310" t="s">
        <v>158</v>
      </c>
      <c r="U36" s="310"/>
      <c r="V36" s="7" t="s">
        <v>30</v>
      </c>
      <c r="W36" s="310" t="s">
        <v>159</v>
      </c>
      <c r="X36" s="310"/>
      <c r="Y36" s="7" t="s">
        <v>30</v>
      </c>
      <c r="Z36" s="310" t="s">
        <v>1374</v>
      </c>
      <c r="AA36" s="310"/>
      <c r="AB36" s="7" t="s">
        <v>30</v>
      </c>
      <c r="AC36" s="310" t="s">
        <v>161</v>
      </c>
      <c r="AD36" s="310"/>
      <c r="AE36" s="7" t="s">
        <v>30</v>
      </c>
      <c r="AF36" s="310"/>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308" t="s">
        <v>432</v>
      </c>
      <c r="AG37" s="310"/>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42.857142857142854</v>
      </c>
      <c r="C39" s="16"/>
      <c r="D39" s="7">
        <v>2020</v>
      </c>
      <c r="E39" s="14">
        <v>33</v>
      </c>
      <c r="F39" s="86" t="s">
        <v>1375</v>
      </c>
      <c r="G39" s="7">
        <v>2020</v>
      </c>
      <c r="H39" s="14">
        <v>0</v>
      </c>
      <c r="I39" s="23" t="s">
        <v>1376</v>
      </c>
      <c r="J39" s="7">
        <v>2020</v>
      </c>
      <c r="K39" s="14">
        <v>50</v>
      </c>
      <c r="L39" s="23" t="s">
        <v>1377</v>
      </c>
      <c r="M39" s="7">
        <v>2020</v>
      </c>
      <c r="N39" s="31">
        <f t="shared" ref="N39:N42" si="2">AVERAGE(Q39,T39,W39)</f>
        <v>50</v>
      </c>
      <c r="O39" s="14"/>
      <c r="P39" s="7">
        <v>2020</v>
      </c>
      <c r="Q39" s="14">
        <v>50</v>
      </c>
      <c r="R39" s="23" t="s">
        <v>1378</v>
      </c>
      <c r="S39" s="7">
        <v>2020</v>
      </c>
      <c r="T39" s="14">
        <v>100</v>
      </c>
      <c r="U39" s="23" t="s">
        <v>1379</v>
      </c>
      <c r="V39" s="7">
        <v>2020</v>
      </c>
      <c r="W39" s="14">
        <v>0</v>
      </c>
      <c r="X39" s="17"/>
      <c r="Y39" s="7">
        <v>2020</v>
      </c>
      <c r="Z39" s="14">
        <v>50</v>
      </c>
      <c r="AA39" s="23" t="s">
        <v>1380</v>
      </c>
      <c r="AB39" s="7">
        <v>2020</v>
      </c>
      <c r="AC39" s="14">
        <v>50</v>
      </c>
      <c r="AD39" s="23" t="s">
        <v>1381</v>
      </c>
      <c r="AE39" s="7">
        <v>2020</v>
      </c>
      <c r="AF39" s="14">
        <v>67</v>
      </c>
      <c r="AG39" s="14"/>
      <c r="AH39" s="7">
        <v>2020</v>
      </c>
      <c r="AI39" s="21">
        <v>0</v>
      </c>
      <c r="AJ39" s="17"/>
      <c r="AK39" s="7">
        <v>2020</v>
      </c>
      <c r="AL39" s="14">
        <v>100</v>
      </c>
      <c r="AM39" s="23" t="s">
        <v>1382</v>
      </c>
    </row>
    <row r="40" spans="1:39" ht="24.75" customHeight="1">
      <c r="A40" s="7">
        <v>2021</v>
      </c>
      <c r="B40" s="16">
        <f>AVERAGE(E40,H40,K40,N40,Z40,AC40,AF40)</f>
        <v>42.857142857142854</v>
      </c>
      <c r="C40" s="16"/>
      <c r="D40" s="7">
        <v>2021</v>
      </c>
      <c r="E40" s="14">
        <v>33</v>
      </c>
      <c r="F40" s="17"/>
      <c r="G40" s="7">
        <v>2021</v>
      </c>
      <c r="H40" s="14">
        <v>0</v>
      </c>
      <c r="I40" s="17"/>
      <c r="J40" s="7">
        <v>2021</v>
      </c>
      <c r="K40" s="14">
        <v>50</v>
      </c>
      <c r="L40" s="17"/>
      <c r="M40" s="7">
        <v>2021</v>
      </c>
      <c r="N40" s="31">
        <f t="shared" si="2"/>
        <v>50</v>
      </c>
      <c r="O40" s="14"/>
      <c r="P40" s="7">
        <v>2021</v>
      </c>
      <c r="Q40" s="14">
        <v>50</v>
      </c>
      <c r="R40" s="17"/>
      <c r="S40" s="7">
        <v>2021</v>
      </c>
      <c r="T40" s="14">
        <v>100</v>
      </c>
      <c r="U40" s="17"/>
      <c r="V40" s="7">
        <v>2021</v>
      </c>
      <c r="W40" s="14">
        <v>0</v>
      </c>
      <c r="X40" s="17"/>
      <c r="Y40" s="7">
        <v>2021</v>
      </c>
      <c r="Z40" s="14">
        <v>50</v>
      </c>
      <c r="AA40" s="17"/>
      <c r="AB40" s="7">
        <v>2021</v>
      </c>
      <c r="AC40" s="14">
        <v>50</v>
      </c>
      <c r="AD40" s="17"/>
      <c r="AE40" s="7">
        <v>2021</v>
      </c>
      <c r="AF40" s="14">
        <v>67</v>
      </c>
      <c r="AG40" s="14"/>
      <c r="AH40" s="7">
        <v>2021</v>
      </c>
      <c r="AI40" s="21">
        <v>0</v>
      </c>
      <c r="AJ40" s="17"/>
      <c r="AK40" s="7">
        <v>2021</v>
      </c>
      <c r="AL40" s="14">
        <v>100</v>
      </c>
      <c r="AM40" s="23"/>
    </row>
    <row r="41" spans="1:39" ht="24.75" customHeight="1">
      <c r="A41" s="7">
        <v>2022</v>
      </c>
      <c r="B41" s="16">
        <f>AVERAGE(E41,H41,K41,N41,Z41,AC41,AF41)</f>
        <v>42.857142857142854</v>
      </c>
      <c r="C41" s="16"/>
      <c r="D41" s="7">
        <v>2022</v>
      </c>
      <c r="E41" s="14">
        <v>33</v>
      </c>
      <c r="F41" s="17"/>
      <c r="G41" s="7">
        <v>2022</v>
      </c>
      <c r="H41" s="14">
        <v>0</v>
      </c>
      <c r="I41" s="17"/>
      <c r="J41" s="7">
        <v>2022</v>
      </c>
      <c r="K41" s="14">
        <v>50</v>
      </c>
      <c r="L41" s="17"/>
      <c r="M41" s="7">
        <v>2022</v>
      </c>
      <c r="N41" s="31">
        <f t="shared" si="2"/>
        <v>50</v>
      </c>
      <c r="O41" s="14"/>
      <c r="P41" s="7">
        <v>2022</v>
      </c>
      <c r="Q41" s="14">
        <v>50</v>
      </c>
      <c r="R41" s="17"/>
      <c r="S41" s="7">
        <v>2022</v>
      </c>
      <c r="T41" s="14">
        <v>100</v>
      </c>
      <c r="U41" s="17"/>
      <c r="V41" s="7">
        <v>2022</v>
      </c>
      <c r="W41" s="14">
        <v>0</v>
      </c>
      <c r="X41" s="17"/>
      <c r="Y41" s="7">
        <v>2022</v>
      </c>
      <c r="Z41" s="14">
        <v>50</v>
      </c>
      <c r="AA41" s="17"/>
      <c r="AB41" s="7">
        <v>2022</v>
      </c>
      <c r="AC41" s="14">
        <v>50</v>
      </c>
      <c r="AD41" s="17"/>
      <c r="AE41" s="7">
        <v>2022</v>
      </c>
      <c r="AF41" s="14">
        <v>67</v>
      </c>
      <c r="AG41" s="14"/>
      <c r="AH41" s="7">
        <v>2022</v>
      </c>
      <c r="AI41" s="21">
        <v>0</v>
      </c>
      <c r="AJ41" s="17"/>
      <c r="AK41" s="7">
        <v>2022</v>
      </c>
      <c r="AL41" s="1">
        <v>100</v>
      </c>
      <c r="AM41" s="23"/>
    </row>
    <row r="42" spans="1:39" ht="24.75" customHeight="1">
      <c r="A42" s="7">
        <v>2023</v>
      </c>
      <c r="B42" s="16">
        <f>AVERAGE(E42,H42,K42,N42,Z42,AC42,AF42)</f>
        <v>42.857142857142854</v>
      </c>
      <c r="C42" s="16"/>
      <c r="D42" s="7">
        <v>2023</v>
      </c>
      <c r="E42" s="14">
        <v>33</v>
      </c>
      <c r="F42" s="17"/>
      <c r="G42" s="7">
        <v>2023</v>
      </c>
      <c r="H42" s="14">
        <v>0</v>
      </c>
      <c r="I42" s="17"/>
      <c r="J42" s="7">
        <v>2023</v>
      </c>
      <c r="K42" s="14">
        <v>50</v>
      </c>
      <c r="L42" s="17"/>
      <c r="M42" s="7">
        <v>2023</v>
      </c>
      <c r="N42" s="31">
        <f t="shared" si="2"/>
        <v>50</v>
      </c>
      <c r="O42" s="14"/>
      <c r="P42" s="7">
        <v>2023</v>
      </c>
      <c r="Q42" s="14">
        <v>50</v>
      </c>
      <c r="R42" s="17"/>
      <c r="S42" s="7">
        <v>2023</v>
      </c>
      <c r="T42" s="14">
        <v>100</v>
      </c>
      <c r="U42" s="17"/>
      <c r="V42" s="7">
        <v>2023</v>
      </c>
      <c r="W42" s="14">
        <v>0</v>
      </c>
      <c r="X42" s="17"/>
      <c r="Y42" s="7">
        <v>2023</v>
      </c>
      <c r="Z42" s="14">
        <v>50</v>
      </c>
      <c r="AA42" s="17"/>
      <c r="AB42" s="7">
        <v>2023</v>
      </c>
      <c r="AC42" s="14">
        <v>50</v>
      </c>
      <c r="AD42" s="17"/>
      <c r="AE42" s="7">
        <v>2023</v>
      </c>
      <c r="AF42" s="14">
        <v>67</v>
      </c>
      <c r="AG42" s="14"/>
      <c r="AH42" s="7">
        <v>2023</v>
      </c>
      <c r="AI42" s="21">
        <v>0</v>
      </c>
      <c r="AJ42" s="17"/>
      <c r="AK42" s="7">
        <v>2023</v>
      </c>
      <c r="AL42" s="14">
        <v>100</v>
      </c>
      <c r="AM42" s="23"/>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51" t="s">
        <v>193</v>
      </c>
      <c r="R47" s="351"/>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298" t="s">
        <v>203</v>
      </c>
      <c r="R49" s="298"/>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 t="shared" ref="B51:B54" si="3">AVERAGE(E51,H51,K51,N51,Q51)</f>
        <v>5</v>
      </c>
      <c r="C51" s="16"/>
      <c r="D51" s="7">
        <v>2020</v>
      </c>
      <c r="E51" s="14">
        <v>25</v>
      </c>
      <c r="F51" s="23" t="s">
        <v>1383</v>
      </c>
      <c r="G51" s="7">
        <v>2020</v>
      </c>
      <c r="H51" s="14">
        <v>0</v>
      </c>
      <c r="I51" s="23" t="s">
        <v>1384</v>
      </c>
      <c r="J51" s="7">
        <v>2020</v>
      </c>
      <c r="K51" s="14">
        <v>0</v>
      </c>
      <c r="L51" s="23" t="s">
        <v>1385</v>
      </c>
      <c r="M51" s="7">
        <v>2020</v>
      </c>
      <c r="N51" s="14">
        <v>0</v>
      </c>
      <c r="P51" s="7">
        <v>2020</v>
      </c>
      <c r="Q51" s="14">
        <v>0</v>
      </c>
      <c r="R51" s="23"/>
    </row>
    <row r="52" spans="1:24" ht="24.75" customHeight="1">
      <c r="A52" s="7">
        <v>2021</v>
      </c>
      <c r="B52" s="15">
        <f t="shared" si="3"/>
        <v>5</v>
      </c>
      <c r="C52" s="15"/>
      <c r="D52" s="7">
        <v>2021</v>
      </c>
      <c r="E52" s="14">
        <v>25</v>
      </c>
      <c r="F52" s="17"/>
      <c r="G52" s="7">
        <v>2021</v>
      </c>
      <c r="H52" s="14">
        <v>0</v>
      </c>
      <c r="I52" s="17"/>
      <c r="J52" s="7">
        <v>2021</v>
      </c>
      <c r="K52" s="14">
        <v>0</v>
      </c>
      <c r="L52" s="17"/>
      <c r="M52" s="7">
        <v>2021</v>
      </c>
      <c r="N52" s="14">
        <v>0</v>
      </c>
      <c r="O52" s="17"/>
      <c r="P52" s="7">
        <v>2021</v>
      </c>
      <c r="Q52" s="14">
        <v>0</v>
      </c>
      <c r="R52" s="23"/>
    </row>
    <row r="53" spans="1:24" ht="24.75" customHeight="1">
      <c r="A53" s="7">
        <v>2022</v>
      </c>
      <c r="B53" s="15">
        <f t="shared" si="3"/>
        <v>5</v>
      </c>
      <c r="C53" s="15"/>
      <c r="D53" s="7">
        <v>2022</v>
      </c>
      <c r="E53" s="14">
        <v>25</v>
      </c>
      <c r="F53" s="17"/>
      <c r="G53" s="7">
        <v>2022</v>
      </c>
      <c r="H53" s="14">
        <v>0</v>
      </c>
      <c r="I53" s="17"/>
      <c r="J53" s="7">
        <v>2022</v>
      </c>
      <c r="K53" s="21">
        <v>0</v>
      </c>
      <c r="L53" s="23" t="s">
        <v>1386</v>
      </c>
      <c r="M53" s="7">
        <v>2022</v>
      </c>
      <c r="N53" s="14">
        <v>0</v>
      </c>
      <c r="P53" s="7">
        <v>2022</v>
      </c>
      <c r="Q53" s="14">
        <v>0</v>
      </c>
      <c r="R53" s="23"/>
    </row>
    <row r="54" spans="1:24" ht="24.75" customHeight="1">
      <c r="A54" s="7">
        <v>2023</v>
      </c>
      <c r="B54" s="15">
        <f t="shared" si="3"/>
        <v>5</v>
      </c>
      <c r="C54" s="15"/>
      <c r="D54" s="7">
        <v>2023</v>
      </c>
      <c r="E54" s="14">
        <v>25</v>
      </c>
      <c r="F54" s="17"/>
      <c r="G54" s="7">
        <v>2023</v>
      </c>
      <c r="H54" s="14">
        <v>0</v>
      </c>
      <c r="I54" s="17"/>
      <c r="J54" s="7">
        <v>2023</v>
      </c>
      <c r="K54" s="14">
        <v>0</v>
      </c>
      <c r="L54" s="17"/>
      <c r="M54" s="7">
        <v>2023</v>
      </c>
      <c r="N54" s="14">
        <v>0</v>
      </c>
      <c r="O54" s="17"/>
      <c r="P54" s="7">
        <v>2023</v>
      </c>
      <c r="Q54" s="14">
        <v>0</v>
      </c>
      <c r="R54" s="2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AVERAGE(E63,((H63+K63)/2),((N63+Q63+T63)/3),W63)</f>
        <v>52.083333333333336</v>
      </c>
      <c r="C63" s="16"/>
      <c r="D63" s="7">
        <v>2020</v>
      </c>
      <c r="E63" s="21">
        <v>50</v>
      </c>
      <c r="F63" s="17"/>
      <c r="G63" s="7">
        <v>2020</v>
      </c>
      <c r="H63" s="14">
        <v>0</v>
      </c>
      <c r="I63" s="17"/>
      <c r="J63" s="7">
        <v>2020</v>
      </c>
      <c r="K63" s="14">
        <v>50</v>
      </c>
      <c r="L63" s="23" t="s">
        <v>1387</v>
      </c>
      <c r="M63" s="7">
        <v>2020</v>
      </c>
      <c r="N63" s="1">
        <v>50</v>
      </c>
      <c r="O63" s="17"/>
      <c r="P63" s="7">
        <v>2020</v>
      </c>
      <c r="Q63" s="14">
        <v>50</v>
      </c>
      <c r="R63" s="17"/>
      <c r="S63" s="7">
        <v>2020</v>
      </c>
      <c r="T63" s="14">
        <v>0</v>
      </c>
      <c r="U63" s="17"/>
      <c r="V63" s="7">
        <v>2020</v>
      </c>
      <c r="W63" s="14">
        <v>100</v>
      </c>
      <c r="X63" s="23"/>
    </row>
    <row r="64" spans="1:24" ht="24.75" customHeight="1">
      <c r="A64" s="7">
        <v>2021</v>
      </c>
      <c r="B64" s="15">
        <f>AVERAGE(E64,((H64+K64)/2),((N64+Q64+T64)/3),W64)</f>
        <v>52.083333333333336</v>
      </c>
      <c r="C64" s="15"/>
      <c r="D64" s="7">
        <v>2021</v>
      </c>
      <c r="E64" s="21">
        <v>50</v>
      </c>
      <c r="F64" s="17"/>
      <c r="G64" s="7">
        <v>2021</v>
      </c>
      <c r="H64" s="14">
        <v>0</v>
      </c>
      <c r="I64" s="17"/>
      <c r="J64" s="7">
        <v>2021</v>
      </c>
      <c r="K64" s="14">
        <v>50</v>
      </c>
      <c r="L64" s="17"/>
      <c r="M64" s="7">
        <v>2021</v>
      </c>
      <c r="N64" s="14">
        <v>50</v>
      </c>
      <c r="O64" s="17"/>
      <c r="P64" s="7">
        <v>2021</v>
      </c>
      <c r="Q64" s="14">
        <v>50</v>
      </c>
      <c r="R64" s="17"/>
      <c r="S64" s="7">
        <v>2021</v>
      </c>
      <c r="T64" s="14">
        <v>0</v>
      </c>
      <c r="U64" s="17"/>
      <c r="V64" s="7">
        <v>2021</v>
      </c>
      <c r="W64" s="14">
        <v>100</v>
      </c>
      <c r="X64" s="23"/>
    </row>
    <row r="65" spans="1:33" ht="24.75" customHeight="1">
      <c r="A65" s="7">
        <v>2022</v>
      </c>
      <c r="B65" s="15">
        <f t="shared" ref="B65:B66" si="4">AVERAGE(E65,((H65+K65)/2),((N65+Q65+T65)/3),W65)</f>
        <v>52.083333333333336</v>
      </c>
      <c r="C65" s="15"/>
      <c r="D65" s="7">
        <v>2022</v>
      </c>
      <c r="E65" s="21">
        <v>50</v>
      </c>
      <c r="F65" s="17"/>
      <c r="G65" s="7">
        <v>2022</v>
      </c>
      <c r="H65" s="14">
        <v>0</v>
      </c>
      <c r="I65" s="17"/>
      <c r="J65" s="7">
        <v>2022</v>
      </c>
      <c r="K65" s="14">
        <v>50</v>
      </c>
      <c r="L65" s="17"/>
      <c r="M65" s="7">
        <v>2022</v>
      </c>
      <c r="N65" s="14">
        <v>50</v>
      </c>
      <c r="O65" s="17"/>
      <c r="P65" s="7">
        <v>2022</v>
      </c>
      <c r="Q65" s="14">
        <v>50</v>
      </c>
      <c r="R65" s="17"/>
      <c r="S65" s="7">
        <v>2022</v>
      </c>
      <c r="T65" s="14">
        <v>0</v>
      </c>
      <c r="U65" s="17"/>
      <c r="V65" s="7">
        <v>2022</v>
      </c>
      <c r="W65" s="14">
        <v>100</v>
      </c>
      <c r="X65" s="23"/>
    </row>
    <row r="66" spans="1:33" ht="24.75" customHeight="1">
      <c r="A66" s="7">
        <v>2023</v>
      </c>
      <c r="B66" s="15">
        <f t="shared" si="4"/>
        <v>52.083333333333336</v>
      </c>
      <c r="C66" s="15"/>
      <c r="D66" s="7">
        <v>2023</v>
      </c>
      <c r="E66" s="21">
        <v>50</v>
      </c>
      <c r="F66" s="17"/>
      <c r="G66" s="7">
        <v>2023</v>
      </c>
      <c r="H66" s="14">
        <v>0</v>
      </c>
      <c r="I66" s="17"/>
      <c r="J66" s="7">
        <v>2023</v>
      </c>
      <c r="K66" s="14">
        <v>50</v>
      </c>
      <c r="L66" s="17"/>
      <c r="M66" s="7">
        <v>2023</v>
      </c>
      <c r="N66" s="14">
        <v>50</v>
      </c>
      <c r="O66" s="17"/>
      <c r="P66" s="7">
        <v>2023</v>
      </c>
      <c r="Q66" s="14">
        <v>50</v>
      </c>
      <c r="R66" s="17"/>
      <c r="S66" s="7">
        <v>2023</v>
      </c>
      <c r="T66" s="14">
        <v>0</v>
      </c>
      <c r="U66" s="17"/>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8" t="s">
        <v>244</v>
      </c>
      <c r="I71" s="328"/>
      <c r="J71" s="7" t="s">
        <v>19</v>
      </c>
      <c r="K71" s="322" t="s">
        <v>245</v>
      </c>
      <c r="L71" s="322"/>
      <c r="M71" s="7" t="s">
        <v>19</v>
      </c>
      <c r="N71" s="322" t="s">
        <v>246</v>
      </c>
      <c r="O71" s="322"/>
      <c r="P71" s="7" t="s">
        <v>19</v>
      </c>
      <c r="Q71" s="351" t="s">
        <v>247</v>
      </c>
      <c r="R71" s="351"/>
      <c r="S71" s="7" t="s">
        <v>19</v>
      </c>
      <c r="T71" s="322" t="s">
        <v>88</v>
      </c>
      <c r="U71" s="322"/>
      <c r="V71" s="7" t="s">
        <v>19</v>
      </c>
      <c r="W71" s="322" t="s">
        <v>248</v>
      </c>
      <c r="X71" s="322"/>
      <c r="Y71" s="7" t="s">
        <v>19</v>
      </c>
      <c r="Z71" s="376" t="s">
        <v>249</v>
      </c>
      <c r="AA71" s="376"/>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5">AVERAGE(E75,H75,K75,Z75)</f>
        <v>21.875</v>
      </c>
      <c r="C75" s="15"/>
      <c r="D75" s="7">
        <v>2020</v>
      </c>
      <c r="E75" s="14">
        <v>0</v>
      </c>
      <c r="F75" s="17" t="s">
        <v>1388</v>
      </c>
      <c r="G75" s="7">
        <v>2020</v>
      </c>
      <c r="H75" s="14">
        <v>0</v>
      </c>
      <c r="I75" s="17" t="s">
        <v>1389</v>
      </c>
      <c r="J75" s="7">
        <v>2020</v>
      </c>
      <c r="K75" s="31">
        <f t="shared" ref="K75:K78" si="6">AVERAGE(N75,Q75,T75,W75)</f>
        <v>37.5</v>
      </c>
      <c r="L75" s="14"/>
      <c r="M75" s="7">
        <v>2020</v>
      </c>
      <c r="N75" s="21">
        <v>50</v>
      </c>
      <c r="O75" s="17"/>
      <c r="P75" s="7">
        <v>2020</v>
      </c>
      <c r="Q75" s="21">
        <v>0</v>
      </c>
      <c r="R75" s="23" t="s">
        <v>1390</v>
      </c>
      <c r="S75" s="7">
        <v>2020</v>
      </c>
      <c r="T75" s="21">
        <v>50</v>
      </c>
      <c r="U75" s="23" t="s">
        <v>1391</v>
      </c>
      <c r="V75" s="7">
        <v>2020</v>
      </c>
      <c r="W75" s="21">
        <v>50</v>
      </c>
      <c r="X75" s="23" t="s">
        <v>1392</v>
      </c>
      <c r="Y75" s="7">
        <v>2020</v>
      </c>
      <c r="Z75" s="14">
        <v>50</v>
      </c>
      <c r="AA75" s="23" t="s">
        <v>1393</v>
      </c>
    </row>
    <row r="76" spans="1:33" ht="24.75" customHeight="1">
      <c r="A76" s="7">
        <v>2021</v>
      </c>
      <c r="B76" s="15">
        <f t="shared" si="5"/>
        <v>21.875</v>
      </c>
      <c r="C76" s="15"/>
      <c r="D76" s="7">
        <v>2021</v>
      </c>
      <c r="E76" s="14">
        <v>0</v>
      </c>
      <c r="F76" s="17"/>
      <c r="G76" s="7">
        <v>2021</v>
      </c>
      <c r="H76" s="14">
        <v>0</v>
      </c>
      <c r="I76" s="17"/>
      <c r="J76" s="7">
        <v>2021</v>
      </c>
      <c r="K76" s="31">
        <f t="shared" si="6"/>
        <v>37.5</v>
      </c>
      <c r="L76" s="14"/>
      <c r="M76" s="7">
        <v>2021</v>
      </c>
      <c r="N76" s="21">
        <v>50</v>
      </c>
      <c r="O76" s="17"/>
      <c r="P76" s="7">
        <v>2021</v>
      </c>
      <c r="Q76" s="21">
        <v>0</v>
      </c>
      <c r="R76" s="17"/>
      <c r="S76" s="7">
        <v>2021</v>
      </c>
      <c r="T76" s="21">
        <v>50</v>
      </c>
      <c r="U76" s="17"/>
      <c r="V76" s="7">
        <v>2021</v>
      </c>
      <c r="W76" s="21">
        <v>50</v>
      </c>
      <c r="X76" s="17"/>
      <c r="Y76" s="7">
        <v>2021</v>
      </c>
      <c r="Z76" s="14">
        <v>50</v>
      </c>
      <c r="AA76" s="23"/>
    </row>
    <row r="77" spans="1:33" ht="24.75" customHeight="1">
      <c r="A77" s="7">
        <v>2022</v>
      </c>
      <c r="B77" s="15">
        <f t="shared" si="5"/>
        <v>21.875</v>
      </c>
      <c r="C77" s="15"/>
      <c r="D77" s="7">
        <v>2022</v>
      </c>
      <c r="E77" s="14">
        <v>0</v>
      </c>
      <c r="F77" s="17"/>
      <c r="G77" s="7">
        <v>2022</v>
      </c>
      <c r="H77" s="14">
        <v>0</v>
      </c>
      <c r="I77" s="17"/>
      <c r="J77" s="7">
        <v>2022</v>
      </c>
      <c r="K77" s="31">
        <f t="shared" si="6"/>
        <v>37.5</v>
      </c>
      <c r="L77" s="14"/>
      <c r="M77" s="7">
        <v>2022</v>
      </c>
      <c r="N77" s="21">
        <v>50</v>
      </c>
      <c r="O77" s="17"/>
      <c r="P77" s="7">
        <v>2022</v>
      </c>
      <c r="Q77" s="21">
        <v>0</v>
      </c>
      <c r="R77" s="17"/>
      <c r="S77" s="7">
        <v>2022</v>
      </c>
      <c r="T77" s="21">
        <v>50</v>
      </c>
      <c r="U77" s="17"/>
      <c r="V77" s="7">
        <v>2022</v>
      </c>
      <c r="W77" s="21">
        <v>50</v>
      </c>
      <c r="X77" s="17"/>
      <c r="Y77" s="7">
        <v>2022</v>
      </c>
      <c r="Z77" s="14">
        <v>50</v>
      </c>
      <c r="AA77" s="23"/>
    </row>
    <row r="78" spans="1:33" ht="24.75" customHeight="1">
      <c r="A78" s="7">
        <v>2023</v>
      </c>
      <c r="B78" s="15">
        <f t="shared" si="5"/>
        <v>21.875</v>
      </c>
      <c r="C78" s="15"/>
      <c r="D78" s="7">
        <v>2023</v>
      </c>
      <c r="E78" s="14">
        <v>0</v>
      </c>
      <c r="F78" s="17"/>
      <c r="G78" s="7">
        <v>2023</v>
      </c>
      <c r="H78" s="14">
        <v>0</v>
      </c>
      <c r="I78" s="17"/>
      <c r="J78" s="7">
        <v>2023</v>
      </c>
      <c r="K78" s="31">
        <f t="shared" si="6"/>
        <v>37.5</v>
      </c>
      <c r="L78" s="14"/>
      <c r="M78" s="7">
        <v>2023</v>
      </c>
      <c r="N78" s="21">
        <v>50</v>
      </c>
      <c r="O78" s="17"/>
      <c r="P78" s="7">
        <v>2023</v>
      </c>
      <c r="Q78" s="21">
        <v>0</v>
      </c>
      <c r="R78" s="17"/>
      <c r="S78" s="7">
        <v>2023</v>
      </c>
      <c r="T78" s="21">
        <v>50</v>
      </c>
      <c r="U78" s="17"/>
      <c r="V78" s="7">
        <v>2023</v>
      </c>
      <c r="W78" s="21">
        <v>50</v>
      </c>
      <c r="X78" s="17"/>
      <c r="Y78" s="7">
        <v>2023</v>
      </c>
      <c r="Z78" s="14">
        <v>50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51" t="s">
        <v>283</v>
      </c>
      <c r="X83" s="351"/>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51.041666666666671</v>
      </c>
      <c r="C87" s="15"/>
      <c r="D87" s="7">
        <v>2020</v>
      </c>
      <c r="E87" s="21">
        <v>50</v>
      </c>
      <c r="F87" s="23" t="s">
        <v>1394</v>
      </c>
      <c r="G87" s="7">
        <v>2020</v>
      </c>
      <c r="H87" s="31">
        <f t="shared" ref="H87:H90" si="7">AVERAGE(K87,N87,Q87,T87)</f>
        <v>37.5</v>
      </c>
      <c r="I87" s="14"/>
      <c r="J87" s="7">
        <v>2020</v>
      </c>
      <c r="K87" s="14">
        <v>50</v>
      </c>
      <c r="L87" s="23" t="s">
        <v>1395</v>
      </c>
      <c r="M87" s="7">
        <v>2020</v>
      </c>
      <c r="N87" s="14">
        <v>50</v>
      </c>
      <c r="O87" s="23" t="s">
        <v>1395</v>
      </c>
      <c r="P87" s="7">
        <v>2020</v>
      </c>
      <c r="Q87" s="21">
        <v>0</v>
      </c>
      <c r="R87" s="17" t="s">
        <v>583</v>
      </c>
      <c r="S87" s="7">
        <v>2020</v>
      </c>
      <c r="T87" s="14">
        <v>50</v>
      </c>
      <c r="U87" s="23" t="s">
        <v>1395</v>
      </c>
      <c r="V87" s="7">
        <v>2020</v>
      </c>
      <c r="W87" s="14">
        <v>50</v>
      </c>
      <c r="X87" s="23" t="s">
        <v>1396</v>
      </c>
      <c r="Y87" s="7">
        <v>2020</v>
      </c>
      <c r="Z87" s="14">
        <v>50</v>
      </c>
      <c r="AA87" s="23" t="s">
        <v>1395</v>
      </c>
      <c r="AB87" s="7">
        <v>2020</v>
      </c>
      <c r="AC87" s="14">
        <v>100</v>
      </c>
      <c r="AD87" s="23" t="s">
        <v>1397</v>
      </c>
      <c r="AE87" s="7">
        <v>2020</v>
      </c>
      <c r="AF87" s="14">
        <v>50</v>
      </c>
      <c r="AG87" s="23" t="s">
        <v>1398</v>
      </c>
    </row>
    <row r="88" spans="1:51" ht="24.75" customHeight="1">
      <c r="A88" s="7">
        <v>2021</v>
      </c>
      <c r="B88" s="15">
        <f>AVERAGE(E88,H88, W88,((Z88+AC88+AF88)/3))</f>
        <v>51.041666666666671</v>
      </c>
      <c r="C88" s="15"/>
      <c r="D88" s="7">
        <v>2021</v>
      </c>
      <c r="E88" s="21">
        <v>50</v>
      </c>
      <c r="F88" s="17"/>
      <c r="G88" s="7">
        <v>2021</v>
      </c>
      <c r="H88" s="31">
        <f t="shared" si="7"/>
        <v>37.5</v>
      </c>
      <c r="I88" s="14"/>
      <c r="J88" s="7">
        <v>2021</v>
      </c>
      <c r="K88" s="14">
        <v>50</v>
      </c>
      <c r="L88" s="17"/>
      <c r="M88" s="7">
        <v>2021</v>
      </c>
      <c r="N88" s="14">
        <v>50</v>
      </c>
      <c r="O88" s="17"/>
      <c r="P88" s="7">
        <v>2021</v>
      </c>
      <c r="Q88" s="21">
        <v>0</v>
      </c>
      <c r="R88" s="17"/>
      <c r="S88" s="7">
        <v>2021</v>
      </c>
      <c r="T88" s="14">
        <v>50</v>
      </c>
      <c r="U88" s="17"/>
      <c r="V88" s="7">
        <v>2021</v>
      </c>
      <c r="W88" s="14">
        <v>50</v>
      </c>
      <c r="X88" s="17"/>
      <c r="Y88" s="7">
        <v>2021</v>
      </c>
      <c r="Z88" s="14">
        <v>50</v>
      </c>
      <c r="AA88" s="17"/>
      <c r="AB88" s="7">
        <v>2021</v>
      </c>
      <c r="AC88" s="14">
        <v>100</v>
      </c>
      <c r="AD88" s="17"/>
      <c r="AE88" s="7">
        <v>2021</v>
      </c>
      <c r="AF88" s="14">
        <v>50</v>
      </c>
      <c r="AG88" s="23"/>
    </row>
    <row r="89" spans="1:51" ht="24.75" customHeight="1">
      <c r="A89" s="7">
        <v>2022</v>
      </c>
      <c r="B89" s="15">
        <f>AVERAGE(E89,H89, W89,((Z89+AC89+AF89)/3))</f>
        <v>51.041666666666671</v>
      </c>
      <c r="C89" s="15"/>
      <c r="D89" s="7">
        <v>2022</v>
      </c>
      <c r="E89" s="21">
        <v>50</v>
      </c>
      <c r="F89" s="17"/>
      <c r="G89" s="7">
        <v>2022</v>
      </c>
      <c r="H89" s="31">
        <f t="shared" si="7"/>
        <v>37.5</v>
      </c>
      <c r="I89" s="14"/>
      <c r="J89" s="7">
        <v>2022</v>
      </c>
      <c r="K89" s="14">
        <v>50</v>
      </c>
      <c r="L89" s="17"/>
      <c r="M89" s="7">
        <v>2022</v>
      </c>
      <c r="N89" s="14">
        <v>50</v>
      </c>
      <c r="O89" s="17"/>
      <c r="P89" s="7">
        <v>2022</v>
      </c>
      <c r="Q89" s="21">
        <v>0</v>
      </c>
      <c r="R89" s="17"/>
      <c r="S89" s="7">
        <v>2022</v>
      </c>
      <c r="T89" s="14">
        <v>50</v>
      </c>
      <c r="U89" s="17"/>
      <c r="V89" s="7">
        <v>2022</v>
      </c>
      <c r="W89" s="14">
        <v>50</v>
      </c>
      <c r="X89" s="17"/>
      <c r="Y89" s="7">
        <v>2022</v>
      </c>
      <c r="Z89" s="14">
        <v>50</v>
      </c>
      <c r="AA89" s="17"/>
      <c r="AB89" s="7">
        <v>2022</v>
      </c>
      <c r="AC89" s="14">
        <v>100</v>
      </c>
      <c r="AD89" s="17"/>
      <c r="AE89" s="7">
        <v>2022</v>
      </c>
      <c r="AF89" s="14">
        <v>50</v>
      </c>
      <c r="AG89" s="23"/>
    </row>
    <row r="90" spans="1:51" ht="24.75" customHeight="1">
      <c r="A90" s="7">
        <v>2023</v>
      </c>
      <c r="B90" s="15">
        <f>AVERAGE(E90,H90, W90,((Z90+AC90+AF90)/3))</f>
        <v>51.041666666666671</v>
      </c>
      <c r="C90" s="15"/>
      <c r="D90" s="7">
        <v>2023</v>
      </c>
      <c r="E90" s="21">
        <v>50</v>
      </c>
      <c r="F90" s="17"/>
      <c r="G90" s="7">
        <v>2023</v>
      </c>
      <c r="H90" s="31">
        <f t="shared" si="7"/>
        <v>37.5</v>
      </c>
      <c r="I90" s="14"/>
      <c r="J90" s="7">
        <v>2023</v>
      </c>
      <c r="K90" s="14">
        <v>50</v>
      </c>
      <c r="L90" s="17"/>
      <c r="M90" s="7">
        <v>2023</v>
      </c>
      <c r="N90" s="14">
        <v>50</v>
      </c>
      <c r="O90" s="17"/>
      <c r="P90" s="7">
        <v>2023</v>
      </c>
      <c r="Q90" s="21">
        <v>0</v>
      </c>
      <c r="R90" s="17"/>
      <c r="S90" s="7">
        <v>2023</v>
      </c>
      <c r="T90" s="14">
        <v>50</v>
      </c>
      <c r="U90" s="17"/>
      <c r="V90" s="7">
        <v>2023</v>
      </c>
      <c r="W90" s="14">
        <v>50</v>
      </c>
      <c r="X90" s="17"/>
      <c r="Y90" s="7">
        <v>2023</v>
      </c>
      <c r="Z90" s="14">
        <v>50</v>
      </c>
      <c r="AA90" s="17"/>
      <c r="AB90" s="7">
        <v>2023</v>
      </c>
      <c r="AC90" s="14">
        <v>100</v>
      </c>
      <c r="AD90" s="17"/>
      <c r="AE90" s="7">
        <v>2023</v>
      </c>
      <c r="AF90" s="14">
        <v>50</v>
      </c>
      <c r="AG90" s="23"/>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8" t="s">
        <v>315</v>
      </c>
      <c r="I95" s="328"/>
      <c r="J95" s="27" t="s">
        <v>19</v>
      </c>
      <c r="K95" s="327" t="s">
        <v>316</v>
      </c>
      <c r="L95" s="327"/>
      <c r="M95" s="27" t="s">
        <v>19</v>
      </c>
      <c r="N95" s="328" t="s">
        <v>317</v>
      </c>
      <c r="O95" s="328"/>
      <c r="P95" s="27" t="s">
        <v>19</v>
      </c>
      <c r="Q95" s="375" t="s">
        <v>318</v>
      </c>
      <c r="R95" s="375"/>
      <c r="S95" s="27" t="s">
        <v>19</v>
      </c>
      <c r="T95" s="327" t="s">
        <v>319</v>
      </c>
      <c r="U95" s="327"/>
      <c r="V95" s="27" t="s">
        <v>19</v>
      </c>
      <c r="W95" s="328" t="s">
        <v>320</v>
      </c>
      <c r="X95" s="328"/>
      <c r="Y95" s="27" t="s">
        <v>19</v>
      </c>
      <c r="Z95" s="328" t="s">
        <v>321</v>
      </c>
      <c r="AA95" s="328"/>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31.166666666666668</v>
      </c>
      <c r="C99" s="43"/>
      <c r="D99" s="27">
        <v>2020</v>
      </c>
      <c r="E99" s="14">
        <v>50</v>
      </c>
      <c r="F99" s="23" t="s">
        <v>1399</v>
      </c>
      <c r="G99" s="7">
        <v>2020</v>
      </c>
      <c r="H99" s="44">
        <v>50</v>
      </c>
      <c r="I99" s="22" t="s">
        <v>1400</v>
      </c>
      <c r="J99" s="27">
        <v>2020</v>
      </c>
      <c r="K99" s="74">
        <v>50</v>
      </c>
      <c r="L99" s="23" t="s">
        <v>1401</v>
      </c>
      <c r="M99" s="7">
        <v>2020</v>
      </c>
      <c r="N99" s="21">
        <v>50</v>
      </c>
      <c r="O99" s="23" t="s">
        <v>1402</v>
      </c>
      <c r="P99" s="27">
        <v>2020</v>
      </c>
      <c r="Q99" s="14">
        <v>50</v>
      </c>
      <c r="R99" s="22" t="s">
        <v>1403</v>
      </c>
      <c r="S99" s="7">
        <v>2020</v>
      </c>
      <c r="T99" s="21">
        <v>0</v>
      </c>
      <c r="U99" s="22" t="s">
        <v>1404</v>
      </c>
      <c r="V99" s="7">
        <v>2020</v>
      </c>
      <c r="W99" s="34">
        <v>33</v>
      </c>
      <c r="X99" s="23" t="s">
        <v>1405</v>
      </c>
      <c r="Y99" s="7">
        <v>2020</v>
      </c>
      <c r="Z99" s="34">
        <v>33</v>
      </c>
      <c r="AA99" s="23" t="s">
        <v>1406</v>
      </c>
      <c r="AB99" s="7">
        <v>2020</v>
      </c>
      <c r="AC99" s="21">
        <v>0</v>
      </c>
      <c r="AD99" s="23" t="s">
        <v>1407</v>
      </c>
      <c r="AE99" s="7">
        <v>2020</v>
      </c>
      <c r="AF99" s="14">
        <v>50</v>
      </c>
      <c r="AG99" s="23" t="s">
        <v>1408</v>
      </c>
      <c r="AH99" s="7">
        <v>2020</v>
      </c>
      <c r="AI99" s="21">
        <v>50</v>
      </c>
      <c r="AJ99" s="23"/>
      <c r="AK99" s="7">
        <v>2020</v>
      </c>
      <c r="AL99" s="21">
        <v>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31.166666666666668</v>
      </c>
      <c r="C100" s="49"/>
      <c r="D100" s="27">
        <v>2021</v>
      </c>
      <c r="E100" s="14">
        <v>50</v>
      </c>
      <c r="F100" s="23"/>
      <c r="G100" s="7">
        <v>2021</v>
      </c>
      <c r="H100" s="44">
        <v>50</v>
      </c>
      <c r="I100" s="23"/>
      <c r="J100" s="27">
        <v>2021</v>
      </c>
      <c r="K100" s="74">
        <v>50</v>
      </c>
      <c r="L100" s="23"/>
      <c r="M100" s="7">
        <v>2021</v>
      </c>
      <c r="N100" s="21">
        <v>50</v>
      </c>
      <c r="O100" s="23" t="s">
        <v>1409</v>
      </c>
      <c r="P100" s="27">
        <v>2021</v>
      </c>
      <c r="Q100" s="14">
        <v>50</v>
      </c>
      <c r="R100" s="23"/>
      <c r="S100" s="7">
        <v>2021</v>
      </c>
      <c r="T100" s="21">
        <v>0</v>
      </c>
      <c r="U100" s="23"/>
      <c r="V100" s="7">
        <v>2021</v>
      </c>
      <c r="W100" s="34">
        <v>33</v>
      </c>
      <c r="X100" s="23"/>
      <c r="Y100" s="7">
        <v>2021</v>
      </c>
      <c r="Z100" s="34">
        <v>33</v>
      </c>
      <c r="AA100" s="23"/>
      <c r="AB100" s="7">
        <v>2021</v>
      </c>
      <c r="AC100" s="21">
        <v>0</v>
      </c>
      <c r="AD100" s="23"/>
      <c r="AE100" s="7">
        <v>2021</v>
      </c>
      <c r="AF100" s="14">
        <v>50</v>
      </c>
      <c r="AG100" s="23"/>
      <c r="AH100" s="7">
        <v>2021</v>
      </c>
      <c r="AI100" s="21">
        <v>50</v>
      </c>
      <c r="AJ100" s="23" t="s">
        <v>1410</v>
      </c>
      <c r="AK100" s="7">
        <v>2021</v>
      </c>
      <c r="AL100" s="21">
        <v>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31.166666666666668</v>
      </c>
      <c r="C101" s="49"/>
      <c r="D101" s="27">
        <v>2022</v>
      </c>
      <c r="E101" s="14">
        <v>50</v>
      </c>
      <c r="F101" s="23"/>
      <c r="G101" s="27">
        <v>2022</v>
      </c>
      <c r="H101" s="44">
        <v>50</v>
      </c>
      <c r="I101" s="23"/>
      <c r="J101" s="27">
        <v>2022</v>
      </c>
      <c r="K101" s="74">
        <v>50</v>
      </c>
      <c r="L101" s="23"/>
      <c r="M101" s="27">
        <v>2022</v>
      </c>
      <c r="N101" s="21">
        <v>50</v>
      </c>
      <c r="O101" s="23"/>
      <c r="P101" s="27">
        <v>2022</v>
      </c>
      <c r="Q101" s="14">
        <v>50</v>
      </c>
      <c r="R101" s="23"/>
      <c r="S101" s="27">
        <v>2022</v>
      </c>
      <c r="T101" s="21">
        <v>0</v>
      </c>
      <c r="U101" s="23"/>
      <c r="V101" s="27">
        <v>2022</v>
      </c>
      <c r="W101" s="34">
        <v>33</v>
      </c>
      <c r="X101" s="23"/>
      <c r="Y101" s="27">
        <v>2022</v>
      </c>
      <c r="Z101" s="34">
        <v>33</v>
      </c>
      <c r="AA101" s="23"/>
      <c r="AB101" s="27">
        <v>2022</v>
      </c>
      <c r="AC101" s="21">
        <v>0</v>
      </c>
      <c r="AD101" s="23"/>
      <c r="AE101" s="27">
        <v>2022</v>
      </c>
      <c r="AF101" s="14">
        <v>50</v>
      </c>
      <c r="AG101" s="23"/>
      <c r="AH101" s="27">
        <v>2022</v>
      </c>
      <c r="AI101" s="21">
        <v>50</v>
      </c>
      <c r="AJ101" s="23" t="s">
        <v>1411</v>
      </c>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31.166666666666668</v>
      </c>
      <c r="C102" s="49"/>
      <c r="D102" s="27">
        <v>2023</v>
      </c>
      <c r="E102" s="14">
        <v>50</v>
      </c>
      <c r="F102" s="23"/>
      <c r="G102" s="27">
        <v>2023</v>
      </c>
      <c r="H102" s="44">
        <v>50</v>
      </c>
      <c r="I102" s="23"/>
      <c r="J102" s="27">
        <v>2023</v>
      </c>
      <c r="K102" s="74">
        <v>50</v>
      </c>
      <c r="L102" s="23"/>
      <c r="M102" s="27">
        <v>2023</v>
      </c>
      <c r="N102" s="21">
        <v>50</v>
      </c>
      <c r="O102" s="23"/>
      <c r="P102" s="27">
        <v>2023</v>
      </c>
      <c r="Q102" s="14">
        <v>50</v>
      </c>
      <c r="R102" s="23"/>
      <c r="S102" s="27">
        <v>2023</v>
      </c>
      <c r="T102" s="21">
        <v>0</v>
      </c>
      <c r="U102" s="23"/>
      <c r="V102" s="27">
        <v>2023</v>
      </c>
      <c r="W102" s="34">
        <v>33</v>
      </c>
      <c r="X102" s="23"/>
      <c r="Y102" s="27">
        <v>2023</v>
      </c>
      <c r="Z102" s="34">
        <v>33</v>
      </c>
      <c r="AA102" s="23"/>
      <c r="AB102" s="27">
        <v>2023</v>
      </c>
      <c r="AC102" s="21">
        <v>0</v>
      </c>
      <c r="AD102" s="23"/>
      <c r="AE102" s="27">
        <v>2023</v>
      </c>
      <c r="AF102" s="14">
        <v>50</v>
      </c>
      <c r="AG102" s="23"/>
      <c r="AH102" s="27">
        <v>2023</v>
      </c>
      <c r="AI102" s="21">
        <v>50</v>
      </c>
      <c r="AJ102" s="23" t="s">
        <v>1412</v>
      </c>
      <c r="AK102" s="27">
        <v>2023</v>
      </c>
      <c r="AL102" s="21">
        <v>0</v>
      </c>
      <c r="AM102" s="23"/>
    </row>
    <row r="107" spans="1:51" ht="15" customHeight="1">
      <c r="B107" s="195"/>
      <c r="C107" s="195"/>
      <c r="D107" s="195"/>
      <c r="E107" s="195"/>
    </row>
    <row r="108" spans="1:51" ht="15" customHeight="1">
      <c r="B108" s="195"/>
      <c r="C108" s="195"/>
      <c r="D108" s="195"/>
      <c r="E108" s="195"/>
    </row>
    <row r="109" spans="1:51" ht="15" customHeight="1">
      <c r="B109" s="195"/>
      <c r="C109" s="195"/>
      <c r="D109" s="195"/>
      <c r="E109" s="195"/>
    </row>
    <row r="110" spans="1:51" ht="15" customHeight="1">
      <c r="B110" s="195"/>
      <c r="C110" s="195"/>
      <c r="D110" s="195"/>
      <c r="E110" s="195"/>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B187A-82FD-49CD-A0B9-6B636AAC76E8}">
  <dimension ref="A1:CC111"/>
  <sheetViews>
    <sheetView topLeftCell="L3" zoomScaleNormal="100" workbookViewId="0">
      <selection activeCell="X19" sqref="X19"/>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5.4" customHeight="1">
      <c r="A1" s="323" t="s">
        <v>0</v>
      </c>
      <c r="B1" s="323"/>
      <c r="C1" s="323"/>
      <c r="D1" s="323"/>
    </row>
    <row r="2" spans="1:81" ht="34.25" customHeight="1">
      <c r="A2" s="2" t="s">
        <v>1</v>
      </c>
      <c r="B2" s="2" t="s">
        <v>2</v>
      </c>
      <c r="C2" s="2" t="s">
        <v>3</v>
      </c>
      <c r="D2" s="2" t="s">
        <v>4</v>
      </c>
    </row>
    <row r="3" spans="1:81" ht="15" customHeight="1">
      <c r="A3" s="3">
        <v>2020</v>
      </c>
      <c r="B3" s="16">
        <f>AVERAGE(B16,B29,B42,B55,B68,B81,B94,B107)</f>
        <v>62.465277777777779</v>
      </c>
      <c r="C3" s="16">
        <f>AVERAGE(B16,B29,B42,B55,B68,B81,B94)</f>
        <v>64.829365079365076</v>
      </c>
      <c r="D3" s="16">
        <f>AVERAGE(B16,B29,B55,B68,B81,B94)</f>
        <v>64.912037037037038</v>
      </c>
    </row>
    <row r="4" spans="1:81" ht="15" customHeight="1">
      <c r="A4" s="3">
        <v>2021</v>
      </c>
      <c r="B4" s="16">
        <f t="shared" ref="B4:B6" si="0">AVERAGE(B17,B30,B43,B56,B69,B82,B95,B108)</f>
        <v>62.465277777777779</v>
      </c>
      <c r="C4" s="16">
        <f t="shared" ref="C4:C7" si="1">AVERAGE(B17,B30,B43,B56,B69,B82,B95)</f>
        <v>64.829365079365076</v>
      </c>
      <c r="D4" s="16">
        <f t="shared" ref="D4:D6" si="2">AVERAGE(B17,B30,B56,B69,B82,B95)</f>
        <v>64.912037037037038</v>
      </c>
    </row>
    <row r="5" spans="1:81" ht="15" customHeight="1">
      <c r="A5" s="3">
        <v>2022</v>
      </c>
      <c r="B5" s="16">
        <f>AVERAGE(B18,B31,B44,B57,B70,B83,B96,B109)</f>
        <v>62.465277777777779</v>
      </c>
      <c r="C5" s="16">
        <f t="shared" si="1"/>
        <v>64.829365079365076</v>
      </c>
      <c r="D5" s="16">
        <f t="shared" si="2"/>
        <v>64.912037037037038</v>
      </c>
    </row>
    <row r="6" spans="1:81" ht="15" customHeight="1">
      <c r="A6" s="3">
        <v>2023</v>
      </c>
      <c r="B6" s="16">
        <f t="shared" si="0"/>
        <v>63.940972222222221</v>
      </c>
      <c r="C6" s="16">
        <f t="shared" si="1"/>
        <v>65.623015873015873</v>
      </c>
      <c r="D6" s="16">
        <f t="shared" si="2"/>
        <v>65.837962962962962</v>
      </c>
    </row>
    <row r="7" spans="1:81" ht="15" customHeight="1">
      <c r="A7" s="3">
        <v>2024</v>
      </c>
      <c r="B7" s="16">
        <f>AVERAGE(B20,B33,B46,B59,B72,B85,B98,B111)</f>
        <v>61.18055555555555</v>
      </c>
      <c r="C7" s="16">
        <f t="shared" si="1"/>
        <v>62.765873015873012</v>
      </c>
      <c r="D7" s="16">
        <f>AVERAGE(B20,B33,B59,B72,B85,B98)</f>
        <v>62.504629629629626</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1413</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69.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59" t="s">
        <v>1040</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35.222222222222221</v>
      </c>
      <c r="C16" s="16"/>
      <c r="D16" s="7">
        <v>2020</v>
      </c>
      <c r="E16" s="14">
        <v>50</v>
      </c>
      <c r="F16" s="17"/>
      <c r="G16" s="7">
        <v>2020</v>
      </c>
      <c r="H16" s="14">
        <v>0</v>
      </c>
      <c r="I16" s="17"/>
      <c r="J16" s="7">
        <v>2020</v>
      </c>
      <c r="K16" s="14">
        <v>50</v>
      </c>
      <c r="L16" s="17"/>
      <c r="M16" s="7">
        <v>2020</v>
      </c>
      <c r="N16" s="14">
        <v>100</v>
      </c>
      <c r="O16" s="17"/>
      <c r="P16" s="7">
        <v>2020</v>
      </c>
      <c r="Q16" s="196">
        <v>67</v>
      </c>
      <c r="R16" s="17" t="s">
        <v>1414</v>
      </c>
      <c r="S16" s="7">
        <v>2020</v>
      </c>
      <c r="T16" s="18">
        <v>50</v>
      </c>
      <c r="U16" s="17" t="s">
        <v>1414</v>
      </c>
      <c r="V16" s="7">
        <v>2020</v>
      </c>
      <c r="W16" s="14">
        <v>0</v>
      </c>
      <c r="X16" s="17" t="s">
        <v>1414</v>
      </c>
      <c r="Y16" s="7">
        <v>2020</v>
      </c>
      <c r="Z16" s="14">
        <v>0</v>
      </c>
      <c r="AA16" s="17"/>
      <c r="AB16" s="7">
        <v>2020</v>
      </c>
      <c r="AC16" s="21">
        <v>0</v>
      </c>
      <c r="AD16" s="23"/>
    </row>
    <row r="17" spans="1:51" ht="24.75" customHeight="1">
      <c r="A17" s="7">
        <v>2021</v>
      </c>
      <c r="B17" s="15">
        <f t="shared" si="3"/>
        <v>35.222222222222221</v>
      </c>
      <c r="C17" s="16"/>
      <c r="D17" s="7">
        <v>2021</v>
      </c>
      <c r="E17" s="14">
        <v>50</v>
      </c>
      <c r="F17" s="17"/>
      <c r="G17" s="7">
        <v>2021</v>
      </c>
      <c r="H17" s="14">
        <v>0</v>
      </c>
      <c r="I17" s="17"/>
      <c r="J17" s="7">
        <v>2021</v>
      </c>
      <c r="K17" s="14">
        <v>50</v>
      </c>
      <c r="L17" s="17"/>
      <c r="M17" s="7">
        <v>2021</v>
      </c>
      <c r="N17" s="14">
        <v>100</v>
      </c>
      <c r="O17" s="17"/>
      <c r="P17" s="7">
        <v>2021</v>
      </c>
      <c r="Q17" s="196">
        <v>67</v>
      </c>
      <c r="R17" s="32" t="s">
        <v>1414</v>
      </c>
      <c r="S17" s="7">
        <v>2021</v>
      </c>
      <c r="T17" s="18">
        <v>50</v>
      </c>
      <c r="U17" s="17" t="s">
        <v>1414</v>
      </c>
      <c r="V17" s="7">
        <v>2021</v>
      </c>
      <c r="W17" s="14">
        <v>0</v>
      </c>
      <c r="X17" s="17" t="s">
        <v>1414</v>
      </c>
      <c r="Y17" s="7">
        <v>2021</v>
      </c>
      <c r="Z17" s="14">
        <v>0</v>
      </c>
      <c r="AA17" s="17"/>
      <c r="AB17" s="7">
        <v>2021</v>
      </c>
      <c r="AC17" s="21">
        <v>0</v>
      </c>
      <c r="AD17" s="23"/>
    </row>
    <row r="18" spans="1:51" ht="24.75" customHeight="1">
      <c r="A18" s="7">
        <v>2022</v>
      </c>
      <c r="B18" s="15">
        <f t="shared" si="3"/>
        <v>35.222222222222221</v>
      </c>
      <c r="C18" s="16"/>
      <c r="D18" s="7">
        <v>2022</v>
      </c>
      <c r="E18" s="14">
        <v>50</v>
      </c>
      <c r="F18" s="17"/>
      <c r="G18" s="7">
        <v>2022</v>
      </c>
      <c r="H18" s="14">
        <v>0</v>
      </c>
      <c r="I18" s="17"/>
      <c r="J18" s="7">
        <v>2022</v>
      </c>
      <c r="K18" s="14">
        <v>50</v>
      </c>
      <c r="L18" s="17"/>
      <c r="M18" s="7">
        <v>2022</v>
      </c>
      <c r="N18" s="14">
        <v>100</v>
      </c>
      <c r="O18" s="17"/>
      <c r="P18" s="7">
        <v>2022</v>
      </c>
      <c r="Q18" s="196">
        <v>67</v>
      </c>
      <c r="R18" s="17" t="s">
        <v>1414</v>
      </c>
      <c r="S18" s="7">
        <v>2022</v>
      </c>
      <c r="T18" s="18">
        <v>50</v>
      </c>
      <c r="U18" s="17" t="s">
        <v>1414</v>
      </c>
      <c r="V18" s="7">
        <v>2022</v>
      </c>
      <c r="W18" s="14">
        <v>0</v>
      </c>
      <c r="X18" s="17" t="s">
        <v>1414</v>
      </c>
      <c r="Y18" s="7">
        <v>2022</v>
      </c>
      <c r="Z18" s="14">
        <v>0</v>
      </c>
      <c r="AA18" s="17"/>
      <c r="AB18" s="7">
        <v>2022</v>
      </c>
      <c r="AC18" s="21">
        <v>0</v>
      </c>
      <c r="AD18" s="23"/>
    </row>
    <row r="19" spans="1:51" ht="24.75" customHeight="1">
      <c r="A19" s="7">
        <v>2023</v>
      </c>
      <c r="B19" s="15">
        <f t="shared" si="3"/>
        <v>40.777777777777779</v>
      </c>
      <c r="C19" s="16"/>
      <c r="D19" s="7">
        <v>2023</v>
      </c>
      <c r="E19" s="14">
        <v>50</v>
      </c>
      <c r="F19" s="197" t="s">
        <v>1415</v>
      </c>
      <c r="G19" s="7">
        <v>2023</v>
      </c>
      <c r="H19" s="14">
        <v>0</v>
      </c>
      <c r="I19" s="17"/>
      <c r="J19" s="7">
        <v>2023</v>
      </c>
      <c r="K19" s="14">
        <v>50</v>
      </c>
      <c r="L19" s="17"/>
      <c r="M19" s="7">
        <v>2023</v>
      </c>
      <c r="N19" s="14">
        <v>100</v>
      </c>
      <c r="O19" s="17"/>
      <c r="P19" s="7">
        <v>2023</v>
      </c>
      <c r="Q19" s="196">
        <v>67</v>
      </c>
      <c r="R19" s="17" t="s">
        <v>1414</v>
      </c>
      <c r="S19" s="7">
        <v>2023</v>
      </c>
      <c r="T19" s="18">
        <v>50</v>
      </c>
      <c r="U19" s="17" t="s">
        <v>1414</v>
      </c>
      <c r="V19" s="7">
        <v>2023</v>
      </c>
      <c r="W19" s="34">
        <v>50</v>
      </c>
      <c r="X19" s="198" t="s">
        <v>1416</v>
      </c>
      <c r="Y19" s="7">
        <v>2023</v>
      </c>
      <c r="Z19" s="14">
        <v>0</v>
      </c>
      <c r="AA19" s="17"/>
      <c r="AB19" s="7">
        <v>2023</v>
      </c>
      <c r="AC19" s="21">
        <v>0</v>
      </c>
      <c r="AD19" s="23"/>
    </row>
    <row r="20" spans="1:51" ht="24.75" customHeight="1">
      <c r="A20" s="7">
        <v>2024</v>
      </c>
      <c r="B20" s="15">
        <f t="shared" si="3"/>
        <v>40.777777777777779</v>
      </c>
      <c r="C20" s="16"/>
      <c r="D20" s="7">
        <v>2024</v>
      </c>
      <c r="E20" s="14">
        <v>50</v>
      </c>
      <c r="F20" s="17"/>
      <c r="G20" s="7">
        <v>2024</v>
      </c>
      <c r="H20" s="14">
        <v>0</v>
      </c>
      <c r="I20" s="17"/>
      <c r="J20" s="7">
        <v>2024</v>
      </c>
      <c r="K20" s="14">
        <v>50</v>
      </c>
      <c r="L20" s="17"/>
      <c r="M20" s="7">
        <v>2024</v>
      </c>
      <c r="N20" s="14">
        <v>100</v>
      </c>
      <c r="O20" s="17"/>
      <c r="P20" s="7">
        <v>2024</v>
      </c>
      <c r="Q20" s="196">
        <v>67</v>
      </c>
      <c r="R20" s="17" t="s">
        <v>1414</v>
      </c>
      <c r="S20" s="7">
        <v>2024</v>
      </c>
      <c r="T20" s="18">
        <v>50</v>
      </c>
      <c r="U20" s="17" t="s">
        <v>1414</v>
      </c>
      <c r="V20" s="7">
        <v>2024</v>
      </c>
      <c r="W20" s="34">
        <v>50</v>
      </c>
      <c r="X20" s="17"/>
      <c r="Y20" s="7">
        <v>2024</v>
      </c>
      <c r="Z20" s="14">
        <v>0</v>
      </c>
      <c r="AA20" s="17"/>
      <c r="AB20" s="7">
        <v>2024</v>
      </c>
      <c r="AC20" s="21">
        <v>0</v>
      </c>
      <c r="AD20" s="23"/>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58" t="s">
        <v>1417</v>
      </c>
      <c r="F26" s="325"/>
      <c r="G26" s="7" t="s">
        <v>30</v>
      </c>
      <c r="H26" s="310" t="s">
        <v>95</v>
      </c>
      <c r="I26" s="310"/>
      <c r="J26" s="7" t="s">
        <v>30</v>
      </c>
      <c r="K26" s="325" t="s">
        <v>427</v>
      </c>
      <c r="L26" s="325"/>
      <c r="M26" s="27" t="s">
        <v>30</v>
      </c>
      <c r="N26" s="325" t="s">
        <v>96</v>
      </c>
      <c r="O26" s="325"/>
      <c r="P26" s="27" t="s">
        <v>30</v>
      </c>
      <c r="Q26" s="325" t="s">
        <v>97</v>
      </c>
      <c r="R26" s="325"/>
      <c r="S26" s="27" t="s">
        <v>30</v>
      </c>
      <c r="T26" s="325" t="s">
        <v>111</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58" t="s">
        <v>1418</v>
      </c>
      <c r="F27" s="325"/>
      <c r="G27" s="7" t="s">
        <v>41</v>
      </c>
      <c r="H27" s="310" t="s">
        <v>107</v>
      </c>
      <c r="I27" s="310"/>
      <c r="J27" s="7" t="s">
        <v>41</v>
      </c>
      <c r="K27" s="329" t="s">
        <v>429</v>
      </c>
      <c r="L27" s="325"/>
      <c r="M27" s="27" t="s">
        <v>41</v>
      </c>
      <c r="N27" s="325" t="s">
        <v>109</v>
      </c>
      <c r="O27" s="325"/>
      <c r="P27" s="27" t="s">
        <v>41</v>
      </c>
      <c r="Q27" s="325" t="s">
        <v>110</v>
      </c>
      <c r="R27" s="325"/>
      <c r="S27" s="27" t="s">
        <v>41</v>
      </c>
      <c r="T27" s="297" t="s">
        <v>429</v>
      </c>
      <c r="U27" s="298"/>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51.833333333333336</v>
      </c>
      <c r="C29" s="16"/>
      <c r="D29" s="7">
        <v>2020</v>
      </c>
      <c r="E29" s="47">
        <v>100</v>
      </c>
      <c r="F29" s="17" t="s">
        <v>1419</v>
      </c>
      <c r="G29" s="7">
        <v>2020</v>
      </c>
      <c r="H29" s="34">
        <v>50</v>
      </c>
      <c r="I29" s="17" t="s">
        <v>1419</v>
      </c>
      <c r="J29" s="7">
        <v>2020</v>
      </c>
      <c r="K29" s="196">
        <v>100</v>
      </c>
      <c r="L29" s="17"/>
      <c r="M29" s="7">
        <v>2020</v>
      </c>
      <c r="N29" s="14">
        <v>100</v>
      </c>
      <c r="O29" s="17"/>
      <c r="P29" s="7">
        <v>2020</v>
      </c>
      <c r="Q29" s="14">
        <v>100</v>
      </c>
      <c r="R29" s="17"/>
      <c r="S29" s="7">
        <v>2020</v>
      </c>
      <c r="T29" s="33">
        <v>100</v>
      </c>
      <c r="U29" s="17"/>
      <c r="V29" s="7">
        <v>2020</v>
      </c>
      <c r="W29" s="14">
        <v>100</v>
      </c>
      <c r="X29" s="17"/>
      <c r="Y29" s="7">
        <v>2020</v>
      </c>
      <c r="Z29" s="14">
        <v>100</v>
      </c>
      <c r="AA29" s="17"/>
      <c r="AB29" s="7">
        <v>2020</v>
      </c>
      <c r="AC29" s="14">
        <v>100</v>
      </c>
      <c r="AD29" s="17"/>
      <c r="AE29" s="7">
        <v>2020</v>
      </c>
      <c r="AF29" s="31">
        <f t="shared" ref="AF29:AF33" si="4">0.67*AI29+0.33*AL29</f>
        <v>16.5</v>
      </c>
      <c r="AG29" s="17"/>
      <c r="AH29" s="7">
        <v>2020</v>
      </c>
      <c r="AI29" s="14">
        <v>0</v>
      </c>
      <c r="AJ29" s="17"/>
      <c r="AK29" s="7">
        <v>2020</v>
      </c>
      <c r="AL29" s="14">
        <v>50</v>
      </c>
      <c r="AM29" s="17"/>
      <c r="AN29" s="7">
        <v>2020</v>
      </c>
      <c r="AO29" s="14">
        <v>0</v>
      </c>
      <c r="AP29" s="17"/>
      <c r="AQ29" s="7">
        <v>2020</v>
      </c>
      <c r="AR29" s="14">
        <v>0</v>
      </c>
      <c r="AS29" s="197" t="s">
        <v>1420</v>
      </c>
      <c r="AT29" s="7">
        <v>2020</v>
      </c>
      <c r="AU29" s="14">
        <v>100</v>
      </c>
      <c r="AV29" s="17"/>
      <c r="AW29" s="7">
        <v>2020</v>
      </c>
      <c r="AX29" s="14">
        <v>0</v>
      </c>
      <c r="AY29" s="32"/>
    </row>
    <row r="30" spans="1:51" ht="24.75" customHeight="1">
      <c r="A30" s="7">
        <v>2021</v>
      </c>
      <c r="B30" s="15">
        <f>AVERAGE(E30,H30,K30,T30,AF30,AO30,AU30,AX30,AR30)</f>
        <v>51.833333333333336</v>
      </c>
      <c r="C30" s="15"/>
      <c r="D30" s="7">
        <v>2021</v>
      </c>
      <c r="E30" s="47">
        <v>100</v>
      </c>
      <c r="F30" s="17" t="s">
        <v>1419</v>
      </c>
      <c r="G30" s="7">
        <v>2021</v>
      </c>
      <c r="H30" s="34">
        <v>50</v>
      </c>
      <c r="I30" s="17" t="s">
        <v>1419</v>
      </c>
      <c r="J30" s="7">
        <v>2021</v>
      </c>
      <c r="K30" s="196">
        <v>100</v>
      </c>
      <c r="L30" s="17"/>
      <c r="M30" s="7">
        <v>2021</v>
      </c>
      <c r="N30" s="14">
        <v>100</v>
      </c>
      <c r="O30" s="17"/>
      <c r="P30" s="7">
        <v>2021</v>
      </c>
      <c r="Q30" s="14">
        <v>100</v>
      </c>
      <c r="R30" s="17"/>
      <c r="S30" s="7">
        <v>2021</v>
      </c>
      <c r="T30" s="33">
        <v>100</v>
      </c>
      <c r="U30" s="17"/>
      <c r="V30" s="7">
        <v>2021</v>
      </c>
      <c r="W30" s="14">
        <v>100</v>
      </c>
      <c r="X30" s="17"/>
      <c r="Y30" s="7">
        <v>2021</v>
      </c>
      <c r="Z30" s="14">
        <v>100</v>
      </c>
      <c r="AA30" s="17"/>
      <c r="AB30" s="7">
        <v>2021</v>
      </c>
      <c r="AC30" s="14">
        <v>100</v>
      </c>
      <c r="AD30" s="17"/>
      <c r="AE30" s="7">
        <v>2021</v>
      </c>
      <c r="AF30" s="31">
        <f t="shared" si="4"/>
        <v>16.5</v>
      </c>
      <c r="AG30" s="17"/>
      <c r="AH30" s="7">
        <v>2021</v>
      </c>
      <c r="AI30" s="14">
        <v>0</v>
      </c>
      <c r="AJ30" s="17"/>
      <c r="AK30" s="7">
        <v>2021</v>
      </c>
      <c r="AL30" s="14">
        <v>50</v>
      </c>
      <c r="AM30" s="17"/>
      <c r="AN30" s="7">
        <v>2021</v>
      </c>
      <c r="AO30" s="14">
        <v>0</v>
      </c>
      <c r="AP30" s="17"/>
      <c r="AQ30" s="7">
        <v>2021</v>
      </c>
      <c r="AR30" s="14">
        <v>0</v>
      </c>
      <c r="AS30" s="17" t="s">
        <v>1421</v>
      </c>
      <c r="AT30" s="7">
        <v>2021</v>
      </c>
      <c r="AU30" s="14">
        <v>100</v>
      </c>
      <c r="AV30" s="17"/>
      <c r="AW30" s="7">
        <v>2021</v>
      </c>
      <c r="AX30" s="14">
        <v>0</v>
      </c>
      <c r="AY30" s="23"/>
    </row>
    <row r="31" spans="1:51" ht="24.75" customHeight="1">
      <c r="A31" s="7">
        <v>2022</v>
      </c>
      <c r="B31" s="15">
        <f>AVERAGE(E31,H31,K31,T31,AF31,AO31,AU31,AX31,AR31)</f>
        <v>51.833333333333336</v>
      </c>
      <c r="C31" s="15"/>
      <c r="D31" s="7">
        <v>2022</v>
      </c>
      <c r="E31" s="47">
        <v>100</v>
      </c>
      <c r="F31" s="17" t="s">
        <v>1419</v>
      </c>
      <c r="G31" s="7">
        <v>2022</v>
      </c>
      <c r="H31" s="34">
        <v>50</v>
      </c>
      <c r="I31" s="17" t="s">
        <v>1419</v>
      </c>
      <c r="J31" s="7">
        <v>2022</v>
      </c>
      <c r="K31" s="196">
        <v>100</v>
      </c>
      <c r="L31" s="17"/>
      <c r="M31" s="7">
        <v>2022</v>
      </c>
      <c r="N31" s="14">
        <v>100</v>
      </c>
      <c r="O31" s="17"/>
      <c r="P31" s="7">
        <v>2022</v>
      </c>
      <c r="Q31" s="14">
        <v>100</v>
      </c>
      <c r="R31" s="17"/>
      <c r="S31" s="7">
        <v>2022</v>
      </c>
      <c r="T31" s="33">
        <v>100</v>
      </c>
      <c r="U31" s="17"/>
      <c r="V31" s="7">
        <v>2022</v>
      </c>
      <c r="W31" s="14">
        <v>100</v>
      </c>
      <c r="X31" s="17"/>
      <c r="Y31" s="7">
        <v>2022</v>
      </c>
      <c r="Z31" s="14">
        <v>100</v>
      </c>
      <c r="AA31" s="17"/>
      <c r="AB31" s="7">
        <v>2022</v>
      </c>
      <c r="AC31" s="14">
        <v>100</v>
      </c>
      <c r="AD31" s="17"/>
      <c r="AE31" s="7">
        <v>2022</v>
      </c>
      <c r="AF31" s="31">
        <f t="shared" si="4"/>
        <v>16.5</v>
      </c>
      <c r="AG31" s="17"/>
      <c r="AH31" s="7">
        <v>2022</v>
      </c>
      <c r="AI31" s="14">
        <v>0</v>
      </c>
      <c r="AJ31" s="17"/>
      <c r="AK31" s="7">
        <v>2022</v>
      </c>
      <c r="AL31" s="14">
        <v>50</v>
      </c>
      <c r="AM31" s="17"/>
      <c r="AN31" s="7">
        <v>2022</v>
      </c>
      <c r="AO31" s="14">
        <v>0</v>
      </c>
      <c r="AP31" s="17"/>
      <c r="AQ31" s="7">
        <v>2022</v>
      </c>
      <c r="AR31" s="14">
        <v>0</v>
      </c>
      <c r="AS31" s="17" t="s">
        <v>1421</v>
      </c>
      <c r="AT31" s="7">
        <v>2022</v>
      </c>
      <c r="AU31" s="14">
        <v>100</v>
      </c>
      <c r="AV31" s="17"/>
      <c r="AW31" s="7">
        <v>2022</v>
      </c>
      <c r="AX31" s="14">
        <v>0</v>
      </c>
      <c r="AY31" s="23"/>
    </row>
    <row r="32" spans="1:51" ht="24.75" customHeight="1">
      <c r="A32" s="7">
        <v>2023</v>
      </c>
      <c r="B32" s="15">
        <f>AVERAGE(E32,H32,K32,T32,AF32,AO32,AU32,AX32,AR32)</f>
        <v>51.833333333333336</v>
      </c>
      <c r="C32" s="15"/>
      <c r="D32" s="7">
        <v>2023</v>
      </c>
      <c r="E32" s="47">
        <v>100</v>
      </c>
      <c r="F32" s="17" t="s">
        <v>1419</v>
      </c>
      <c r="G32" s="7">
        <v>2023</v>
      </c>
      <c r="H32" s="34">
        <v>50</v>
      </c>
      <c r="I32" s="17" t="s">
        <v>1419</v>
      </c>
      <c r="J32" s="7">
        <v>2023</v>
      </c>
      <c r="K32" s="196">
        <v>100</v>
      </c>
      <c r="L32" s="17"/>
      <c r="M32" s="7">
        <v>2023</v>
      </c>
      <c r="N32" s="14">
        <v>100</v>
      </c>
      <c r="O32" s="17"/>
      <c r="P32" s="7">
        <v>2023</v>
      </c>
      <c r="Q32" s="14">
        <v>100</v>
      </c>
      <c r="R32" s="17"/>
      <c r="S32" s="7">
        <v>2023</v>
      </c>
      <c r="T32" s="33">
        <v>100</v>
      </c>
      <c r="U32" s="17"/>
      <c r="V32" s="7">
        <v>2023</v>
      </c>
      <c r="W32" s="14">
        <v>100</v>
      </c>
      <c r="X32" s="17"/>
      <c r="Y32" s="7">
        <v>2023</v>
      </c>
      <c r="Z32" s="14">
        <v>100</v>
      </c>
      <c r="AA32" s="17"/>
      <c r="AB32" s="7">
        <v>2023</v>
      </c>
      <c r="AC32" s="14">
        <v>100</v>
      </c>
      <c r="AD32" s="17"/>
      <c r="AE32" s="7">
        <v>2023</v>
      </c>
      <c r="AF32" s="31">
        <f t="shared" si="4"/>
        <v>16.5</v>
      </c>
      <c r="AG32" s="17"/>
      <c r="AH32" s="7">
        <v>2023</v>
      </c>
      <c r="AI32" s="14">
        <v>0</v>
      </c>
      <c r="AJ32" s="17"/>
      <c r="AK32" s="7">
        <v>2023</v>
      </c>
      <c r="AL32" s="14">
        <v>50</v>
      </c>
      <c r="AM32" s="17"/>
      <c r="AN32" s="7">
        <v>2023</v>
      </c>
      <c r="AO32" s="14">
        <v>0</v>
      </c>
      <c r="AP32" s="17"/>
      <c r="AQ32" s="7">
        <v>2023</v>
      </c>
      <c r="AR32" s="14">
        <v>0</v>
      </c>
      <c r="AS32" s="17" t="s">
        <v>1421</v>
      </c>
      <c r="AT32" s="7">
        <v>2023</v>
      </c>
      <c r="AU32" s="14">
        <v>100</v>
      </c>
      <c r="AV32" s="17"/>
      <c r="AW32" s="7">
        <v>2023</v>
      </c>
      <c r="AX32" s="14">
        <v>0</v>
      </c>
      <c r="AY32" s="23"/>
    </row>
    <row r="33" spans="1:51" ht="24.75" customHeight="1">
      <c r="A33" s="7">
        <v>2024</v>
      </c>
      <c r="B33" s="15">
        <f>AVERAGE(E33,H33,K33,T33,AF33,AO33,AU33,AX33,AR33)</f>
        <v>51.833333333333336</v>
      </c>
      <c r="C33" s="15"/>
      <c r="D33" s="7">
        <v>2024</v>
      </c>
      <c r="E33" s="47">
        <v>100</v>
      </c>
      <c r="F33" s="17" t="s">
        <v>1419</v>
      </c>
      <c r="G33" s="7">
        <v>2024</v>
      </c>
      <c r="H33" s="34">
        <v>50</v>
      </c>
      <c r="I33" s="17" t="s">
        <v>1419</v>
      </c>
      <c r="J33" s="7">
        <v>2024</v>
      </c>
      <c r="K33" s="196">
        <v>100</v>
      </c>
      <c r="L33" s="17"/>
      <c r="M33" s="7">
        <v>2024</v>
      </c>
      <c r="N33" s="14">
        <v>100</v>
      </c>
      <c r="O33" s="17"/>
      <c r="P33" s="7">
        <v>2024</v>
      </c>
      <c r="Q33" s="14">
        <v>100</v>
      </c>
      <c r="R33" s="17"/>
      <c r="S33" s="7">
        <v>2024</v>
      </c>
      <c r="T33" s="33">
        <v>100</v>
      </c>
      <c r="U33" s="17"/>
      <c r="V33" s="7">
        <v>2024</v>
      </c>
      <c r="W33" s="14">
        <v>100</v>
      </c>
      <c r="X33" s="17"/>
      <c r="Y33" s="7">
        <v>2024</v>
      </c>
      <c r="Z33" s="14">
        <v>100</v>
      </c>
      <c r="AA33" s="17"/>
      <c r="AB33" s="7">
        <v>2024</v>
      </c>
      <c r="AC33" s="14">
        <v>100</v>
      </c>
      <c r="AD33" s="17"/>
      <c r="AE33" s="7">
        <v>2024</v>
      </c>
      <c r="AF33" s="31">
        <f t="shared" si="4"/>
        <v>16.5</v>
      </c>
      <c r="AG33" s="17"/>
      <c r="AH33" s="7">
        <v>2024</v>
      </c>
      <c r="AI33" s="14">
        <v>0</v>
      </c>
      <c r="AJ33" s="17"/>
      <c r="AK33" s="7">
        <v>2024</v>
      </c>
      <c r="AL33" s="14">
        <v>50</v>
      </c>
      <c r="AM33" s="17"/>
      <c r="AN33" s="7">
        <v>2024</v>
      </c>
      <c r="AO33" s="14">
        <v>0</v>
      </c>
      <c r="AP33" s="17"/>
      <c r="AQ33" s="7">
        <v>2024</v>
      </c>
      <c r="AR33" s="14">
        <v>0</v>
      </c>
      <c r="AS33" s="17" t="s">
        <v>1421</v>
      </c>
      <c r="AT33" s="7">
        <v>2024</v>
      </c>
      <c r="AU33" s="14">
        <v>100</v>
      </c>
      <c r="AV33" s="17"/>
      <c r="AW33" s="7">
        <v>2024</v>
      </c>
      <c r="AX33" s="14">
        <v>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297" t="s">
        <v>172</v>
      </c>
      <c r="AG39" s="298"/>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64.333333333333329</v>
      </c>
      <c r="C42" s="16"/>
      <c r="D42" s="7">
        <v>2020</v>
      </c>
      <c r="E42" s="14">
        <v>100</v>
      </c>
      <c r="F42" s="17"/>
      <c r="G42" s="7">
        <v>2020</v>
      </c>
      <c r="H42" s="196">
        <v>50</v>
      </c>
      <c r="I42" s="17" t="s">
        <v>1422</v>
      </c>
      <c r="J42" s="7">
        <v>2020</v>
      </c>
      <c r="K42" s="14">
        <v>100</v>
      </c>
      <c r="L42" s="17"/>
      <c r="M42" s="7">
        <v>2020</v>
      </c>
      <c r="N42" s="31">
        <f t="shared" ref="N42:N46" si="5">AVERAGE(Q42,T42,W42)</f>
        <v>33.333333333333336</v>
      </c>
      <c r="O42" s="14"/>
      <c r="P42" s="7">
        <v>2020</v>
      </c>
      <c r="Q42" s="14">
        <v>100</v>
      </c>
      <c r="R42" s="17"/>
      <c r="S42" s="7">
        <v>2020</v>
      </c>
      <c r="T42" s="14">
        <v>0</v>
      </c>
      <c r="U42" s="17"/>
      <c r="V42" s="7">
        <v>2020</v>
      </c>
      <c r="W42" s="14">
        <v>0</v>
      </c>
      <c r="X42" s="17"/>
      <c r="Y42" s="7">
        <v>2020</v>
      </c>
      <c r="Z42" s="14">
        <v>50</v>
      </c>
      <c r="AA42" s="17" t="s">
        <v>1423</v>
      </c>
      <c r="AB42" s="7">
        <v>2020</v>
      </c>
      <c r="AC42" s="14">
        <v>50</v>
      </c>
      <c r="AD42" s="17" t="s">
        <v>1424</v>
      </c>
      <c r="AE42" s="7">
        <v>2020</v>
      </c>
      <c r="AF42" s="33">
        <v>67</v>
      </c>
      <c r="AG42" s="14"/>
      <c r="AH42" s="7">
        <v>2020</v>
      </c>
      <c r="AI42" s="21">
        <v>0</v>
      </c>
      <c r="AJ42" s="17"/>
      <c r="AK42" s="7">
        <v>2020</v>
      </c>
      <c r="AL42" s="34">
        <v>100</v>
      </c>
      <c r="AM42" s="23"/>
    </row>
    <row r="43" spans="1:51" ht="24.75" customHeight="1">
      <c r="A43" s="7">
        <v>2021</v>
      </c>
      <c r="B43" s="16">
        <f>AVERAGE(E43,H43,K43,N43,Z43,AC43,AF43)</f>
        <v>64.333333333333329</v>
      </c>
      <c r="C43" s="16"/>
      <c r="D43" s="7">
        <v>2021</v>
      </c>
      <c r="E43" s="14">
        <v>100</v>
      </c>
      <c r="F43" s="17"/>
      <c r="G43" s="7">
        <v>2021</v>
      </c>
      <c r="H43" s="196">
        <v>50</v>
      </c>
      <c r="I43" s="17"/>
      <c r="J43" s="7">
        <v>2021</v>
      </c>
      <c r="K43" s="14">
        <v>100</v>
      </c>
      <c r="L43" s="17"/>
      <c r="M43" s="7">
        <v>2021</v>
      </c>
      <c r="N43" s="31">
        <f t="shared" si="5"/>
        <v>33.333333333333336</v>
      </c>
      <c r="O43" s="14"/>
      <c r="P43" s="7">
        <v>2021</v>
      </c>
      <c r="Q43" s="14">
        <v>100</v>
      </c>
      <c r="R43" s="17"/>
      <c r="S43" s="7">
        <v>2021</v>
      </c>
      <c r="T43" s="14">
        <v>0</v>
      </c>
      <c r="U43" s="17"/>
      <c r="V43" s="7">
        <v>2021</v>
      </c>
      <c r="W43" s="14">
        <v>0</v>
      </c>
      <c r="X43" s="17"/>
      <c r="Y43" s="7">
        <v>2021</v>
      </c>
      <c r="Z43" s="14">
        <v>50</v>
      </c>
      <c r="AA43" s="17" t="s">
        <v>1425</v>
      </c>
      <c r="AB43" s="7">
        <v>2021</v>
      </c>
      <c r="AC43" s="14">
        <v>50</v>
      </c>
      <c r="AD43" s="17" t="s">
        <v>1424</v>
      </c>
      <c r="AE43" s="7">
        <v>2021</v>
      </c>
      <c r="AF43" s="33">
        <v>67</v>
      </c>
      <c r="AG43" s="14"/>
      <c r="AH43" s="7">
        <v>2021</v>
      </c>
      <c r="AI43" s="21">
        <v>0</v>
      </c>
      <c r="AJ43" s="17"/>
      <c r="AK43" s="7">
        <v>2021</v>
      </c>
      <c r="AL43" s="34">
        <v>100</v>
      </c>
      <c r="AM43" s="23"/>
    </row>
    <row r="44" spans="1:51" ht="24.75" customHeight="1">
      <c r="A44" s="7">
        <v>2022</v>
      </c>
      <c r="B44" s="16">
        <f>AVERAGE(E44,H44,K44,N44,Z44,AC44,AF44)</f>
        <v>64.333333333333329</v>
      </c>
      <c r="C44" s="16"/>
      <c r="D44" s="7">
        <v>2022</v>
      </c>
      <c r="E44" s="14">
        <v>100</v>
      </c>
      <c r="F44" s="17"/>
      <c r="G44" s="7">
        <v>2022</v>
      </c>
      <c r="H44" s="196">
        <v>50</v>
      </c>
      <c r="I44" s="17"/>
      <c r="J44" s="7">
        <v>2022</v>
      </c>
      <c r="K44" s="14">
        <v>100</v>
      </c>
      <c r="L44" s="17"/>
      <c r="M44" s="7">
        <v>2022</v>
      </c>
      <c r="N44" s="31">
        <f t="shared" si="5"/>
        <v>33.333333333333336</v>
      </c>
      <c r="O44" s="14"/>
      <c r="P44" s="7">
        <v>2022</v>
      </c>
      <c r="Q44" s="14">
        <v>100</v>
      </c>
      <c r="R44" s="17"/>
      <c r="S44" s="7">
        <v>2022</v>
      </c>
      <c r="T44" s="14">
        <v>0</v>
      </c>
      <c r="U44" s="17"/>
      <c r="V44" s="7">
        <v>2022</v>
      </c>
      <c r="W44" s="14">
        <v>0</v>
      </c>
      <c r="X44" s="17"/>
      <c r="Y44" s="7">
        <v>2022</v>
      </c>
      <c r="Z44" s="14">
        <v>50</v>
      </c>
      <c r="AA44" s="17" t="s">
        <v>1425</v>
      </c>
      <c r="AB44" s="7">
        <v>2022</v>
      </c>
      <c r="AC44" s="14">
        <v>50</v>
      </c>
      <c r="AD44" s="17" t="s">
        <v>1424</v>
      </c>
      <c r="AE44" s="7">
        <v>2022</v>
      </c>
      <c r="AF44" s="33">
        <v>67</v>
      </c>
      <c r="AG44" s="14"/>
      <c r="AH44" s="7">
        <v>2022</v>
      </c>
      <c r="AI44" s="21">
        <v>0</v>
      </c>
      <c r="AJ44" s="17"/>
      <c r="AK44" s="7">
        <v>2022</v>
      </c>
      <c r="AL44" s="34">
        <v>100</v>
      </c>
      <c r="AM44" s="23"/>
    </row>
    <row r="45" spans="1:51" ht="24.75" customHeight="1">
      <c r="A45" s="7">
        <v>2023</v>
      </c>
      <c r="B45" s="16">
        <f>AVERAGE(E45,H45,K45,N45,Z45,AC45,AF45)</f>
        <v>64.333333333333329</v>
      </c>
      <c r="C45" s="16"/>
      <c r="D45" s="7">
        <v>2023</v>
      </c>
      <c r="E45" s="14">
        <v>100</v>
      </c>
      <c r="F45" s="17"/>
      <c r="G45" s="7">
        <v>2023</v>
      </c>
      <c r="H45" s="196">
        <v>50</v>
      </c>
      <c r="I45" s="17"/>
      <c r="J45" s="7">
        <v>2023</v>
      </c>
      <c r="K45" s="14">
        <v>100</v>
      </c>
      <c r="L45" s="17"/>
      <c r="M45" s="7">
        <v>2023</v>
      </c>
      <c r="N45" s="31">
        <f t="shared" si="5"/>
        <v>33.333333333333336</v>
      </c>
      <c r="O45" s="14"/>
      <c r="P45" s="7">
        <v>2023</v>
      </c>
      <c r="Q45" s="14">
        <v>100</v>
      </c>
      <c r="R45" s="17"/>
      <c r="S45" s="7">
        <v>2023</v>
      </c>
      <c r="T45" s="14">
        <v>0</v>
      </c>
      <c r="U45" s="17"/>
      <c r="V45" s="7">
        <v>2023</v>
      </c>
      <c r="W45" s="14">
        <v>0</v>
      </c>
      <c r="X45" s="17"/>
      <c r="Y45" s="7">
        <v>2023</v>
      </c>
      <c r="Z45" s="14">
        <v>50</v>
      </c>
      <c r="AA45" s="17" t="s">
        <v>1425</v>
      </c>
      <c r="AB45" s="7">
        <v>2023</v>
      </c>
      <c r="AC45" s="14">
        <v>50</v>
      </c>
      <c r="AD45" s="17" t="s">
        <v>1424</v>
      </c>
      <c r="AE45" s="7">
        <v>2023</v>
      </c>
      <c r="AF45" s="33">
        <v>67</v>
      </c>
      <c r="AG45" s="14"/>
      <c r="AH45" s="7">
        <v>2023</v>
      </c>
      <c r="AI45" s="21">
        <v>0</v>
      </c>
      <c r="AJ45" s="17"/>
      <c r="AK45" s="7">
        <v>2023</v>
      </c>
      <c r="AL45" s="34">
        <v>100</v>
      </c>
      <c r="AM45" s="23"/>
    </row>
    <row r="46" spans="1:51" ht="24.75" customHeight="1">
      <c r="A46" s="7">
        <v>2024</v>
      </c>
      <c r="B46" s="16">
        <f>AVERAGE(E46,H46,K46,N46,Z46,AC46,AF46)</f>
        <v>64.333333333333329</v>
      </c>
      <c r="C46" s="16"/>
      <c r="D46" s="7">
        <v>2024</v>
      </c>
      <c r="E46" s="14">
        <v>100</v>
      </c>
      <c r="F46" s="17"/>
      <c r="G46" s="7">
        <v>2024</v>
      </c>
      <c r="H46" s="196">
        <v>50</v>
      </c>
      <c r="I46" s="17"/>
      <c r="J46" s="7">
        <v>2024</v>
      </c>
      <c r="K46" s="14">
        <v>100</v>
      </c>
      <c r="L46" s="17"/>
      <c r="M46" s="7">
        <v>2024</v>
      </c>
      <c r="N46" s="31">
        <f t="shared" si="5"/>
        <v>33.333333333333336</v>
      </c>
      <c r="O46" s="14"/>
      <c r="P46" s="7">
        <v>2024</v>
      </c>
      <c r="Q46" s="14">
        <v>100</v>
      </c>
      <c r="R46" s="17"/>
      <c r="S46" s="7">
        <v>2024</v>
      </c>
      <c r="T46" s="14">
        <v>0</v>
      </c>
      <c r="U46" s="17"/>
      <c r="V46" s="7">
        <v>2024</v>
      </c>
      <c r="W46" s="14">
        <v>0</v>
      </c>
      <c r="X46" s="17"/>
      <c r="Y46" s="7">
        <v>2024</v>
      </c>
      <c r="Z46" s="14">
        <v>50</v>
      </c>
      <c r="AA46" s="17" t="s">
        <v>1425</v>
      </c>
      <c r="AB46" s="7">
        <v>2024</v>
      </c>
      <c r="AC46" s="14">
        <v>50</v>
      </c>
      <c r="AD46" s="17" t="s">
        <v>1424</v>
      </c>
      <c r="AE46" s="7">
        <v>2024</v>
      </c>
      <c r="AF46" s="33">
        <v>67</v>
      </c>
      <c r="AG46" s="14"/>
      <c r="AH46" s="7">
        <v>2024</v>
      </c>
      <c r="AI46" s="21">
        <v>0</v>
      </c>
      <c r="AJ46" s="17"/>
      <c r="AK46" s="7">
        <v>2024</v>
      </c>
      <c r="AL46" s="34">
        <v>100</v>
      </c>
      <c r="AM46" s="23"/>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85</v>
      </c>
      <c r="C55" s="16"/>
      <c r="D55" s="7">
        <v>2020</v>
      </c>
      <c r="E55" s="14">
        <v>75</v>
      </c>
      <c r="F55" s="17"/>
      <c r="G55" s="7">
        <v>2020</v>
      </c>
      <c r="H55" s="14">
        <v>100</v>
      </c>
      <c r="I55" s="17"/>
      <c r="J55" s="7">
        <v>2020</v>
      </c>
      <c r="K55" s="34">
        <v>100</v>
      </c>
      <c r="L55" s="17" t="s">
        <v>1426</v>
      </c>
      <c r="M55" s="7">
        <v>2020</v>
      </c>
      <c r="N55" s="14">
        <v>50</v>
      </c>
      <c r="O55" s="17"/>
      <c r="P55" s="7">
        <v>2020</v>
      </c>
      <c r="Q55" s="14">
        <v>100</v>
      </c>
      <c r="R55" s="23"/>
    </row>
    <row r="56" spans="1:24" ht="24.75" customHeight="1">
      <c r="A56" s="7">
        <v>2021</v>
      </c>
      <c r="B56" s="15">
        <f t="shared" si="6"/>
        <v>85</v>
      </c>
      <c r="C56" s="15"/>
      <c r="D56" s="7">
        <v>2021</v>
      </c>
      <c r="E56" s="14">
        <v>75</v>
      </c>
      <c r="F56" s="17"/>
      <c r="G56" s="7">
        <v>2021</v>
      </c>
      <c r="H56" s="14">
        <v>100</v>
      </c>
      <c r="I56" s="17"/>
      <c r="J56" s="7">
        <v>2021</v>
      </c>
      <c r="K56" s="34">
        <v>100</v>
      </c>
      <c r="L56" s="17" t="s">
        <v>1427</v>
      </c>
      <c r="M56" s="7">
        <v>2021</v>
      </c>
      <c r="N56" s="14">
        <v>50</v>
      </c>
      <c r="O56" s="17"/>
      <c r="P56" s="7">
        <v>2021</v>
      </c>
      <c r="Q56" s="14">
        <v>100</v>
      </c>
      <c r="R56" s="23"/>
    </row>
    <row r="57" spans="1:24" ht="24.75" customHeight="1">
      <c r="A57" s="7">
        <v>2022</v>
      </c>
      <c r="B57" s="15">
        <f t="shared" si="6"/>
        <v>85</v>
      </c>
      <c r="C57" s="15"/>
      <c r="D57" s="7">
        <v>2022</v>
      </c>
      <c r="E57" s="14">
        <v>75</v>
      </c>
      <c r="F57" s="17"/>
      <c r="G57" s="7">
        <v>2022</v>
      </c>
      <c r="H57" s="14">
        <v>100</v>
      </c>
      <c r="I57" s="17"/>
      <c r="J57" s="7">
        <v>2022</v>
      </c>
      <c r="K57" s="47">
        <v>100</v>
      </c>
      <c r="L57" s="17" t="s">
        <v>1427</v>
      </c>
      <c r="M57" s="7">
        <v>2022</v>
      </c>
      <c r="N57" s="14">
        <v>50</v>
      </c>
      <c r="O57" s="17"/>
      <c r="P57" s="7">
        <v>2022</v>
      </c>
      <c r="Q57" s="14">
        <v>100</v>
      </c>
      <c r="R57" s="23"/>
    </row>
    <row r="58" spans="1:24" ht="24.75" customHeight="1">
      <c r="A58" s="7">
        <v>2023</v>
      </c>
      <c r="B58" s="15">
        <f t="shared" si="6"/>
        <v>85</v>
      </c>
      <c r="C58" s="15"/>
      <c r="D58" s="7">
        <v>2023</v>
      </c>
      <c r="E58" s="14">
        <v>75</v>
      </c>
      <c r="F58" s="17"/>
      <c r="G58" s="7">
        <v>2023</v>
      </c>
      <c r="H58" s="14">
        <v>100</v>
      </c>
      <c r="I58" s="17"/>
      <c r="J58" s="7">
        <v>2023</v>
      </c>
      <c r="K58" s="34">
        <v>100</v>
      </c>
      <c r="L58" s="17" t="s">
        <v>1427</v>
      </c>
      <c r="M58" s="7">
        <v>2023</v>
      </c>
      <c r="N58" s="14">
        <v>50</v>
      </c>
      <c r="O58" s="17"/>
      <c r="P58" s="7">
        <v>2023</v>
      </c>
      <c r="Q58" s="14">
        <v>100</v>
      </c>
      <c r="R58" s="23"/>
    </row>
    <row r="59" spans="1:24" ht="24.75" customHeight="1">
      <c r="A59" s="7">
        <v>2024</v>
      </c>
      <c r="B59" s="15">
        <f t="shared" si="6"/>
        <v>65</v>
      </c>
      <c r="C59" s="15"/>
      <c r="D59" s="7">
        <v>2024</v>
      </c>
      <c r="E59" s="14">
        <v>75</v>
      </c>
      <c r="F59" s="17"/>
      <c r="G59" s="7">
        <v>2024</v>
      </c>
      <c r="H59" s="14">
        <v>100</v>
      </c>
      <c r="I59" s="17"/>
      <c r="J59" s="7">
        <v>2024</v>
      </c>
      <c r="K59" s="34">
        <v>0</v>
      </c>
      <c r="L59" s="17" t="s">
        <v>1428</v>
      </c>
      <c r="M59" s="7">
        <v>2024</v>
      </c>
      <c r="N59" s="14">
        <v>50</v>
      </c>
      <c r="O59" s="17"/>
      <c r="P59" s="7">
        <v>2024</v>
      </c>
      <c r="Q59" s="14">
        <v>100</v>
      </c>
      <c r="R59" s="23"/>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58.333333333333336</v>
      </c>
      <c r="C68" s="16"/>
      <c r="D68" s="7">
        <v>2020</v>
      </c>
      <c r="E68" s="21">
        <v>50</v>
      </c>
      <c r="F68" s="17"/>
      <c r="G68" s="7">
        <v>2020</v>
      </c>
      <c r="H68" s="14">
        <v>100</v>
      </c>
      <c r="I68" s="32"/>
      <c r="J68" s="7">
        <v>2020</v>
      </c>
      <c r="K68" s="14">
        <v>0</v>
      </c>
      <c r="L68" s="17"/>
      <c r="M68" s="7">
        <v>2020</v>
      </c>
      <c r="N68" s="14">
        <v>50</v>
      </c>
      <c r="O68" s="17"/>
      <c r="P68" s="7">
        <v>2020</v>
      </c>
      <c r="Q68" s="14">
        <v>50</v>
      </c>
      <c r="R68" s="17"/>
      <c r="S68" s="7">
        <v>2020</v>
      </c>
      <c r="T68" s="14">
        <v>0</v>
      </c>
      <c r="U68" s="17"/>
      <c r="V68" s="7">
        <v>2020</v>
      </c>
      <c r="W68" s="14">
        <v>100</v>
      </c>
      <c r="X68" s="23"/>
    </row>
    <row r="69" spans="1:27" ht="24.75" customHeight="1">
      <c r="A69" s="7">
        <v>2021</v>
      </c>
      <c r="B69" s="15">
        <f t="shared" si="7"/>
        <v>58.333333333333336</v>
      </c>
      <c r="C69" s="15"/>
      <c r="D69" s="7">
        <v>2021</v>
      </c>
      <c r="E69" s="21">
        <v>50</v>
      </c>
      <c r="F69" s="17"/>
      <c r="G69" s="7">
        <v>2021</v>
      </c>
      <c r="H69" s="14">
        <v>100</v>
      </c>
      <c r="I69" s="17"/>
      <c r="J69" s="7">
        <v>2021</v>
      </c>
      <c r="K69" s="14">
        <v>0</v>
      </c>
      <c r="L69" s="17"/>
      <c r="M69" s="7">
        <v>2021</v>
      </c>
      <c r="N69" s="14">
        <v>50</v>
      </c>
      <c r="O69" s="17"/>
      <c r="P69" s="7">
        <v>2021</v>
      </c>
      <c r="Q69" s="14">
        <v>50</v>
      </c>
      <c r="R69" s="17"/>
      <c r="S69" s="7">
        <v>2021</v>
      </c>
      <c r="T69" s="14">
        <v>0</v>
      </c>
      <c r="U69" s="17"/>
      <c r="V69" s="7">
        <v>2021</v>
      </c>
      <c r="W69" s="14">
        <v>100</v>
      </c>
      <c r="X69" s="23"/>
    </row>
    <row r="70" spans="1:27" ht="24.75" customHeight="1">
      <c r="A70" s="7">
        <v>2022</v>
      </c>
      <c r="B70" s="15">
        <f t="shared" si="7"/>
        <v>58.333333333333336</v>
      </c>
      <c r="C70" s="15"/>
      <c r="D70" s="7">
        <v>2022</v>
      </c>
      <c r="E70" s="21">
        <v>50</v>
      </c>
      <c r="F70" s="17"/>
      <c r="G70" s="7">
        <v>2022</v>
      </c>
      <c r="H70" s="14">
        <v>100</v>
      </c>
      <c r="I70" s="17"/>
      <c r="J70" s="7">
        <v>2022</v>
      </c>
      <c r="K70" s="14">
        <v>0</v>
      </c>
      <c r="L70" s="17"/>
      <c r="M70" s="7">
        <v>2022</v>
      </c>
      <c r="N70" s="14">
        <v>50</v>
      </c>
      <c r="O70" s="17"/>
      <c r="P70" s="7">
        <v>2022</v>
      </c>
      <c r="Q70" s="14">
        <v>50</v>
      </c>
      <c r="R70" s="17"/>
      <c r="S70" s="7">
        <v>2022</v>
      </c>
      <c r="T70" s="14">
        <v>0</v>
      </c>
      <c r="U70" s="17"/>
      <c r="V70" s="7">
        <v>2022</v>
      </c>
      <c r="W70" s="14">
        <v>100</v>
      </c>
      <c r="X70" s="23"/>
    </row>
    <row r="71" spans="1:27" ht="24.75" customHeight="1">
      <c r="A71" s="7">
        <v>2023</v>
      </c>
      <c r="B71" s="15">
        <f t="shared" si="7"/>
        <v>58.333333333333336</v>
      </c>
      <c r="C71" s="15"/>
      <c r="D71" s="7">
        <v>2023</v>
      </c>
      <c r="E71" s="21">
        <v>50</v>
      </c>
      <c r="F71" s="17"/>
      <c r="G71" s="7">
        <v>2023</v>
      </c>
      <c r="H71" s="14">
        <v>100</v>
      </c>
      <c r="I71" s="17"/>
      <c r="J71" s="7">
        <v>2023</v>
      </c>
      <c r="K71" s="14">
        <v>0</v>
      </c>
      <c r="L71" s="17"/>
      <c r="M71" s="7">
        <v>2023</v>
      </c>
      <c r="N71" s="14">
        <v>50</v>
      </c>
      <c r="O71" s="17"/>
      <c r="P71" s="7">
        <v>2023</v>
      </c>
      <c r="Q71" s="14">
        <v>50</v>
      </c>
      <c r="R71" s="17"/>
      <c r="S71" s="7">
        <v>2023</v>
      </c>
      <c r="T71" s="14">
        <v>0</v>
      </c>
      <c r="U71" s="17"/>
      <c r="V71" s="7">
        <v>2023</v>
      </c>
      <c r="W71" s="14">
        <v>100</v>
      </c>
      <c r="X71" s="23"/>
    </row>
    <row r="72" spans="1:27" ht="24.75" customHeight="1">
      <c r="A72" s="7">
        <v>2024</v>
      </c>
      <c r="B72" s="15">
        <f t="shared" si="7"/>
        <v>58.333333333333336</v>
      </c>
      <c r="C72" s="15"/>
      <c r="D72" s="7">
        <v>2024</v>
      </c>
      <c r="E72" s="21">
        <v>50</v>
      </c>
      <c r="F72" s="17"/>
      <c r="G72" s="7">
        <v>2024</v>
      </c>
      <c r="H72" s="14">
        <v>100</v>
      </c>
      <c r="I72" s="17"/>
      <c r="J72" s="7">
        <v>2024</v>
      </c>
      <c r="K72" s="14">
        <v>0</v>
      </c>
      <c r="L72" s="17"/>
      <c r="M72" s="7">
        <v>2024</v>
      </c>
      <c r="N72" s="14">
        <v>50</v>
      </c>
      <c r="O72" s="17"/>
      <c r="P72" s="7">
        <v>2024</v>
      </c>
      <c r="Q72" s="14">
        <v>50</v>
      </c>
      <c r="R72" s="17"/>
      <c r="S72" s="7">
        <v>2024</v>
      </c>
      <c r="T72" s="14">
        <v>0</v>
      </c>
      <c r="U72" s="17"/>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79.25</v>
      </c>
      <c r="C81" s="15"/>
      <c r="D81" s="7">
        <v>2020</v>
      </c>
      <c r="E81" s="14">
        <v>100</v>
      </c>
      <c r="F81" s="17"/>
      <c r="G81" s="7">
        <v>2020</v>
      </c>
      <c r="H81" s="14">
        <v>67</v>
      </c>
      <c r="I81" s="17"/>
      <c r="J81" s="7">
        <v>2020</v>
      </c>
      <c r="K81" s="31">
        <f t="shared" ref="K81:K85" si="9">AVERAGE(N81,Q81,T81,W81)</f>
        <v>50</v>
      </c>
      <c r="L81" s="14"/>
      <c r="M81" s="7">
        <v>2020</v>
      </c>
      <c r="N81" s="21">
        <v>50</v>
      </c>
      <c r="O81" s="17" t="s">
        <v>1429</v>
      </c>
      <c r="P81" s="7">
        <v>2020</v>
      </c>
      <c r="Q81" s="21">
        <v>50</v>
      </c>
      <c r="R81" s="17"/>
      <c r="S81" s="7">
        <v>2020</v>
      </c>
      <c r="T81" s="21">
        <v>100</v>
      </c>
      <c r="U81" s="17"/>
      <c r="V81" s="7">
        <v>2020</v>
      </c>
      <c r="W81" s="21">
        <v>0</v>
      </c>
      <c r="X81" s="17"/>
      <c r="Y81" s="7">
        <v>2020</v>
      </c>
      <c r="Z81" s="14">
        <v>100</v>
      </c>
      <c r="AA81" s="23"/>
    </row>
    <row r="82" spans="1:33" ht="24.75" customHeight="1">
      <c r="A82" s="7">
        <v>2021</v>
      </c>
      <c r="B82" s="15">
        <f t="shared" si="8"/>
        <v>79.25</v>
      </c>
      <c r="C82" s="15"/>
      <c r="D82" s="7">
        <v>2021</v>
      </c>
      <c r="E82" s="14">
        <v>100</v>
      </c>
      <c r="F82" s="17"/>
      <c r="G82" s="7">
        <v>2021</v>
      </c>
      <c r="H82" s="14">
        <v>67</v>
      </c>
      <c r="I82" s="17"/>
      <c r="J82" s="7">
        <v>2021</v>
      </c>
      <c r="K82" s="31">
        <f t="shared" si="9"/>
        <v>50</v>
      </c>
      <c r="L82" s="14"/>
      <c r="M82" s="7">
        <v>2021</v>
      </c>
      <c r="N82" s="21">
        <v>50</v>
      </c>
      <c r="O82" s="17" t="s">
        <v>1429</v>
      </c>
      <c r="P82" s="7">
        <v>2021</v>
      </c>
      <c r="Q82" s="21">
        <v>50</v>
      </c>
      <c r="R82" s="17"/>
      <c r="S82" s="7">
        <v>2021</v>
      </c>
      <c r="T82" s="21">
        <v>100</v>
      </c>
      <c r="U82" s="17"/>
      <c r="V82" s="7">
        <v>2021</v>
      </c>
      <c r="W82" s="21">
        <v>0</v>
      </c>
      <c r="X82" s="17"/>
      <c r="Y82" s="7">
        <v>2021</v>
      </c>
      <c r="Z82" s="14">
        <v>100</v>
      </c>
      <c r="AA82" s="23"/>
    </row>
    <row r="83" spans="1:33" ht="24.75" customHeight="1">
      <c r="A83" s="7">
        <v>2022</v>
      </c>
      <c r="B83" s="15">
        <f t="shared" si="8"/>
        <v>79.25</v>
      </c>
      <c r="C83" s="15"/>
      <c r="D83" s="7">
        <v>2022</v>
      </c>
      <c r="E83" s="14">
        <v>100</v>
      </c>
      <c r="F83" s="17"/>
      <c r="G83" s="7">
        <v>2022</v>
      </c>
      <c r="H83" s="14">
        <v>67</v>
      </c>
      <c r="I83" s="17"/>
      <c r="J83" s="7">
        <v>2022</v>
      </c>
      <c r="K83" s="31">
        <f t="shared" si="9"/>
        <v>50</v>
      </c>
      <c r="L83" s="14"/>
      <c r="M83" s="7">
        <v>2022</v>
      </c>
      <c r="N83" s="21">
        <v>50</v>
      </c>
      <c r="O83" s="17" t="s">
        <v>1429</v>
      </c>
      <c r="P83" s="7">
        <v>2022</v>
      </c>
      <c r="Q83" s="21">
        <v>50</v>
      </c>
      <c r="R83" s="17"/>
      <c r="S83" s="7">
        <v>2022</v>
      </c>
      <c r="T83" s="21">
        <v>100</v>
      </c>
      <c r="U83" s="17"/>
      <c r="V83" s="7">
        <v>2022</v>
      </c>
      <c r="W83" s="21">
        <v>0</v>
      </c>
      <c r="X83" s="17"/>
      <c r="Y83" s="7">
        <v>2022</v>
      </c>
      <c r="Z83" s="14">
        <v>100</v>
      </c>
      <c r="AA83" s="23"/>
    </row>
    <row r="84" spans="1:33" ht="24.75" customHeight="1">
      <c r="A84" s="7">
        <v>2023</v>
      </c>
      <c r="B84" s="15">
        <f t="shared" si="8"/>
        <v>79.25</v>
      </c>
      <c r="C84" s="15"/>
      <c r="D84" s="7">
        <v>2023</v>
      </c>
      <c r="E84" s="14">
        <v>100</v>
      </c>
      <c r="F84" s="17"/>
      <c r="G84" s="7">
        <v>2023</v>
      </c>
      <c r="H84" s="14">
        <v>67</v>
      </c>
      <c r="I84" s="17"/>
      <c r="J84" s="7">
        <v>2023</v>
      </c>
      <c r="K84" s="31">
        <f t="shared" si="9"/>
        <v>50</v>
      </c>
      <c r="L84" s="14"/>
      <c r="M84" s="7">
        <v>2023</v>
      </c>
      <c r="N84" s="21">
        <v>50</v>
      </c>
      <c r="O84" s="17" t="s">
        <v>1429</v>
      </c>
      <c r="P84" s="7">
        <v>2023</v>
      </c>
      <c r="Q84" s="21">
        <v>50</v>
      </c>
      <c r="R84" s="17"/>
      <c r="S84" s="7">
        <v>2023</v>
      </c>
      <c r="T84" s="21">
        <v>100</v>
      </c>
      <c r="U84" s="17"/>
      <c r="V84" s="7">
        <v>2023</v>
      </c>
      <c r="W84" s="21">
        <v>0</v>
      </c>
      <c r="X84" s="17"/>
      <c r="Y84" s="7">
        <v>2023</v>
      </c>
      <c r="Z84" s="14">
        <v>100</v>
      </c>
      <c r="AA84" s="23"/>
    </row>
    <row r="85" spans="1:33" ht="24.75" customHeight="1">
      <c r="A85" s="7">
        <v>2024</v>
      </c>
      <c r="B85" s="15">
        <f t="shared" si="8"/>
        <v>79.25</v>
      </c>
      <c r="C85" s="15"/>
      <c r="D85" s="7">
        <v>2024</v>
      </c>
      <c r="E85" s="14">
        <v>100</v>
      </c>
      <c r="F85" s="17"/>
      <c r="G85" s="7">
        <v>2024</v>
      </c>
      <c r="H85" s="14">
        <v>67</v>
      </c>
      <c r="I85" s="17"/>
      <c r="J85" s="7">
        <v>2024</v>
      </c>
      <c r="K85" s="31">
        <f t="shared" si="9"/>
        <v>50</v>
      </c>
      <c r="L85" s="14"/>
      <c r="M85" s="7">
        <v>2024</v>
      </c>
      <c r="N85" s="21">
        <v>50</v>
      </c>
      <c r="O85" s="17" t="s">
        <v>1429</v>
      </c>
      <c r="P85" s="7">
        <v>2024</v>
      </c>
      <c r="Q85" s="21">
        <v>50</v>
      </c>
      <c r="R85" s="17"/>
      <c r="S85" s="7">
        <v>2024</v>
      </c>
      <c r="T85" s="21">
        <v>100</v>
      </c>
      <c r="U85" s="17"/>
      <c r="V85" s="7">
        <v>2024</v>
      </c>
      <c r="W85" s="21">
        <v>0</v>
      </c>
      <c r="X85" s="17"/>
      <c r="Y85" s="7">
        <v>2024</v>
      </c>
      <c r="Z85" s="14">
        <v>100</v>
      </c>
      <c r="AA85" s="23"/>
    </row>
    <row r="86" spans="1:33" ht="24.75" customHeight="1">
      <c r="O86" s="1" t="s">
        <v>1430</v>
      </c>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79.833333333333329</v>
      </c>
      <c r="C94" s="15"/>
      <c r="D94" s="7">
        <v>2020</v>
      </c>
      <c r="E94" s="21">
        <v>100</v>
      </c>
      <c r="F94" s="80"/>
      <c r="G94" s="7">
        <v>2020</v>
      </c>
      <c r="H94" s="31">
        <f t="shared" ref="H94:H98" si="10">AVERAGE(K94,N94,Q94,T94)</f>
        <v>100</v>
      </c>
      <c r="I94" s="14"/>
      <c r="J94" s="7">
        <v>2020</v>
      </c>
      <c r="K94" s="34">
        <v>100</v>
      </c>
      <c r="L94" s="80" t="s">
        <v>1431</v>
      </c>
      <c r="M94" s="7">
        <v>2020</v>
      </c>
      <c r="N94" s="34">
        <v>100</v>
      </c>
      <c r="O94" s="80" t="s">
        <v>1431</v>
      </c>
      <c r="P94" s="7">
        <v>2020</v>
      </c>
      <c r="Q94" s="34">
        <v>100</v>
      </c>
      <c r="R94" s="80" t="s">
        <v>1431</v>
      </c>
      <c r="S94" s="7">
        <v>2020</v>
      </c>
      <c r="T94" s="34">
        <v>100</v>
      </c>
      <c r="U94" s="80" t="s">
        <v>1431</v>
      </c>
      <c r="V94" s="7">
        <v>2020</v>
      </c>
      <c r="W94" s="82">
        <v>75</v>
      </c>
      <c r="X94" s="92" t="s">
        <v>1431</v>
      </c>
      <c r="Y94" s="7">
        <v>2020</v>
      </c>
      <c r="Z94" s="34">
        <v>100</v>
      </c>
      <c r="AA94" s="17" t="s">
        <v>1432</v>
      </c>
      <c r="AB94" s="7">
        <v>2020</v>
      </c>
      <c r="AC94" s="82">
        <v>33</v>
      </c>
      <c r="AD94" s="92" t="s">
        <v>560</v>
      </c>
      <c r="AE94" s="7">
        <v>2020</v>
      </c>
      <c r="AF94" s="14">
        <v>0</v>
      </c>
      <c r="AG94" s="23"/>
    </row>
    <row r="95" spans="1:33" ht="24.75" customHeight="1">
      <c r="A95" s="7">
        <v>2021</v>
      </c>
      <c r="B95" s="15">
        <f>AVERAGE(E95,H95, W95,((Z95+AC95+AF95)/3))</f>
        <v>79.833333333333329</v>
      </c>
      <c r="C95" s="15"/>
      <c r="D95" s="7">
        <v>2021</v>
      </c>
      <c r="E95" s="21">
        <v>100</v>
      </c>
      <c r="F95" s="80"/>
      <c r="G95" s="7">
        <v>2021</v>
      </c>
      <c r="H95" s="31">
        <f t="shared" si="10"/>
        <v>100</v>
      </c>
      <c r="I95" s="14"/>
      <c r="J95" s="7">
        <v>2021</v>
      </c>
      <c r="K95" s="34">
        <v>100</v>
      </c>
      <c r="L95" s="80" t="s">
        <v>1431</v>
      </c>
      <c r="M95" s="7">
        <v>2021</v>
      </c>
      <c r="N95" s="34">
        <v>100</v>
      </c>
      <c r="O95" s="80" t="s">
        <v>1431</v>
      </c>
      <c r="P95" s="7">
        <v>2021</v>
      </c>
      <c r="Q95" s="34">
        <v>100</v>
      </c>
      <c r="R95" s="80" t="s">
        <v>1431</v>
      </c>
      <c r="S95" s="7">
        <v>2021</v>
      </c>
      <c r="T95" s="34">
        <v>100</v>
      </c>
      <c r="U95" s="80" t="s">
        <v>1431</v>
      </c>
      <c r="V95" s="7">
        <v>2021</v>
      </c>
      <c r="W95" s="82">
        <v>75</v>
      </c>
      <c r="X95" s="92" t="s">
        <v>1431</v>
      </c>
      <c r="Y95" s="7">
        <v>2021</v>
      </c>
      <c r="Z95" s="34">
        <v>100</v>
      </c>
      <c r="AA95" s="17" t="s">
        <v>1432</v>
      </c>
      <c r="AB95" s="7">
        <v>2021</v>
      </c>
      <c r="AC95" s="82">
        <v>33</v>
      </c>
      <c r="AD95" s="92" t="s">
        <v>8</v>
      </c>
      <c r="AE95" s="7">
        <v>2021</v>
      </c>
      <c r="AF95" s="14">
        <v>0</v>
      </c>
      <c r="AG95" s="23"/>
    </row>
    <row r="96" spans="1:33" ht="24.75" customHeight="1">
      <c r="A96" s="7">
        <v>2022</v>
      </c>
      <c r="B96" s="15">
        <f>AVERAGE(E96,H96, W96,((Z96+AC96+AF96)/3))</f>
        <v>79.833333333333329</v>
      </c>
      <c r="C96" s="15"/>
      <c r="D96" s="7">
        <v>2022</v>
      </c>
      <c r="E96" s="21">
        <v>100</v>
      </c>
      <c r="F96" s="80"/>
      <c r="G96" s="7">
        <v>2022</v>
      </c>
      <c r="H96" s="31">
        <f t="shared" si="10"/>
        <v>100</v>
      </c>
      <c r="I96" s="14"/>
      <c r="J96" s="7">
        <v>2022</v>
      </c>
      <c r="K96" s="34">
        <v>100</v>
      </c>
      <c r="L96" s="80" t="s">
        <v>1431</v>
      </c>
      <c r="M96" s="7">
        <v>2022</v>
      </c>
      <c r="N96" s="34">
        <v>100</v>
      </c>
      <c r="O96" s="80" t="s">
        <v>1431</v>
      </c>
      <c r="P96" s="7">
        <v>2022</v>
      </c>
      <c r="Q96" s="34">
        <v>100</v>
      </c>
      <c r="R96" s="80" t="s">
        <v>1431</v>
      </c>
      <c r="S96" s="7">
        <v>2022</v>
      </c>
      <c r="T96" s="34">
        <v>100</v>
      </c>
      <c r="U96" s="80" t="s">
        <v>1431</v>
      </c>
      <c r="V96" s="7">
        <v>2022</v>
      </c>
      <c r="W96" s="82">
        <v>75</v>
      </c>
      <c r="X96" s="92" t="s">
        <v>1431</v>
      </c>
      <c r="Y96" s="7">
        <v>2022</v>
      </c>
      <c r="Z96" s="34">
        <v>100</v>
      </c>
      <c r="AA96" s="17" t="s">
        <v>1432</v>
      </c>
      <c r="AB96" s="7">
        <v>2022</v>
      </c>
      <c r="AC96" s="82">
        <v>33</v>
      </c>
      <c r="AD96" s="92" t="s">
        <v>8</v>
      </c>
      <c r="AE96" s="7">
        <v>2022</v>
      </c>
      <c r="AF96" s="14">
        <v>0</v>
      </c>
      <c r="AG96" s="23"/>
    </row>
    <row r="97" spans="1:51" ht="24.75" customHeight="1">
      <c r="A97" s="7">
        <v>2023</v>
      </c>
      <c r="B97" s="15">
        <f>AVERAGE(E97,H97, W97,((Z97+AC97+AF97)/3))</f>
        <v>79.833333333333329</v>
      </c>
      <c r="C97" s="15"/>
      <c r="D97" s="7">
        <v>2023</v>
      </c>
      <c r="E97" s="21">
        <v>100</v>
      </c>
      <c r="F97" s="80"/>
      <c r="G97" s="7">
        <v>2023</v>
      </c>
      <c r="H97" s="31">
        <f t="shared" si="10"/>
        <v>100</v>
      </c>
      <c r="I97" s="14"/>
      <c r="J97" s="7">
        <v>2023</v>
      </c>
      <c r="K97" s="34">
        <v>100</v>
      </c>
      <c r="L97" s="80" t="s">
        <v>1431</v>
      </c>
      <c r="M97" s="7">
        <v>2023</v>
      </c>
      <c r="N97" s="34">
        <v>100</v>
      </c>
      <c r="O97" s="80" t="s">
        <v>1431</v>
      </c>
      <c r="P97" s="7">
        <v>2023</v>
      </c>
      <c r="Q97" s="34">
        <v>100</v>
      </c>
      <c r="R97" s="80" t="s">
        <v>1431</v>
      </c>
      <c r="S97" s="7">
        <v>2023</v>
      </c>
      <c r="T97" s="34">
        <v>100</v>
      </c>
      <c r="U97" s="80" t="s">
        <v>1431</v>
      </c>
      <c r="V97" s="7">
        <v>2023</v>
      </c>
      <c r="W97" s="82">
        <v>75</v>
      </c>
      <c r="X97" s="92" t="s">
        <v>1431</v>
      </c>
      <c r="Y97" s="7">
        <v>2023</v>
      </c>
      <c r="Z97" s="34">
        <v>100</v>
      </c>
      <c r="AA97" s="17" t="s">
        <v>1432</v>
      </c>
      <c r="AB97" s="7">
        <v>2023</v>
      </c>
      <c r="AC97" s="82">
        <v>33</v>
      </c>
      <c r="AD97" s="92" t="s">
        <v>8</v>
      </c>
      <c r="AE97" s="7">
        <v>2023</v>
      </c>
      <c r="AF97" s="14">
        <v>0</v>
      </c>
      <c r="AG97" s="23"/>
    </row>
    <row r="98" spans="1:51" ht="24.75" customHeight="1">
      <c r="A98" s="7">
        <v>2024</v>
      </c>
      <c r="B98" s="15">
        <f>AVERAGE(E98,H98, W98,((Z98+AC98+AF98)/3))</f>
        <v>79.833333333333329</v>
      </c>
      <c r="C98" s="15"/>
      <c r="D98" s="7">
        <v>2024</v>
      </c>
      <c r="E98" s="21">
        <v>100</v>
      </c>
      <c r="F98" s="80"/>
      <c r="G98" s="7">
        <v>2024</v>
      </c>
      <c r="H98" s="31">
        <f t="shared" si="10"/>
        <v>100</v>
      </c>
      <c r="I98" s="14"/>
      <c r="J98" s="7">
        <v>2024</v>
      </c>
      <c r="K98" s="34">
        <v>100</v>
      </c>
      <c r="L98" s="80" t="s">
        <v>1431</v>
      </c>
      <c r="M98" s="7">
        <v>2024</v>
      </c>
      <c r="N98" s="34">
        <v>100</v>
      </c>
      <c r="O98" s="80" t="s">
        <v>1431</v>
      </c>
      <c r="P98" s="7">
        <v>2024</v>
      </c>
      <c r="Q98" s="34">
        <v>100</v>
      </c>
      <c r="R98" s="80" t="s">
        <v>1431</v>
      </c>
      <c r="S98" s="7">
        <v>2024</v>
      </c>
      <c r="T98" s="34">
        <v>100</v>
      </c>
      <c r="U98" s="80" t="s">
        <v>1431</v>
      </c>
      <c r="V98" s="7">
        <v>2024</v>
      </c>
      <c r="W98" s="82">
        <v>75</v>
      </c>
      <c r="X98" s="92" t="s">
        <v>1431</v>
      </c>
      <c r="Y98" s="7">
        <v>2024</v>
      </c>
      <c r="Z98" s="34">
        <v>100</v>
      </c>
      <c r="AA98" s="17" t="s">
        <v>1432</v>
      </c>
      <c r="AB98" s="7">
        <v>2024</v>
      </c>
      <c r="AC98" s="82">
        <v>33</v>
      </c>
      <c r="AD98" s="92" t="s">
        <v>8</v>
      </c>
      <c r="AE98" s="7">
        <v>2024</v>
      </c>
      <c r="AF98" s="14">
        <v>0</v>
      </c>
      <c r="AG98" s="23"/>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45.916666666666664</v>
      </c>
      <c r="C107" s="43"/>
      <c r="D107" s="27">
        <v>2020</v>
      </c>
      <c r="E107" s="14">
        <v>100</v>
      </c>
      <c r="F107" s="23"/>
      <c r="G107" s="7">
        <v>2020</v>
      </c>
      <c r="H107" s="44">
        <v>50</v>
      </c>
      <c r="I107" s="14" t="s">
        <v>1433</v>
      </c>
      <c r="J107" s="27">
        <v>2020</v>
      </c>
      <c r="K107" s="74">
        <v>100</v>
      </c>
      <c r="L107" s="23"/>
      <c r="M107" s="7">
        <v>2020</v>
      </c>
      <c r="N107" s="21">
        <v>50</v>
      </c>
      <c r="O107" s="14" t="s">
        <v>1434</v>
      </c>
      <c r="P107" s="27">
        <v>2020</v>
      </c>
      <c r="Q107" s="14">
        <v>50</v>
      </c>
      <c r="R107" s="23"/>
      <c r="S107" s="7">
        <v>2020</v>
      </c>
      <c r="T107" s="21">
        <v>50</v>
      </c>
      <c r="U107" s="14" t="s">
        <v>1434</v>
      </c>
      <c r="V107" s="7">
        <v>2020</v>
      </c>
      <c r="W107" s="14">
        <v>67</v>
      </c>
      <c r="X107" s="14" t="s">
        <v>1352</v>
      </c>
      <c r="Y107" s="7">
        <v>2020</v>
      </c>
      <c r="Z107" s="14">
        <v>67</v>
      </c>
      <c r="AA107" s="23" t="s">
        <v>1435</v>
      </c>
      <c r="AB107" s="7">
        <v>2020</v>
      </c>
      <c r="AC107" s="21">
        <v>100</v>
      </c>
      <c r="AD107" s="23"/>
      <c r="AE107" s="7">
        <v>2020</v>
      </c>
      <c r="AF107" s="14">
        <v>0</v>
      </c>
      <c r="AG107" s="23"/>
      <c r="AH107" s="7">
        <v>2020</v>
      </c>
      <c r="AI107" s="21">
        <v>0</v>
      </c>
      <c r="AJ107" s="23"/>
      <c r="AK107" s="7">
        <v>2020</v>
      </c>
      <c r="AL107" s="47">
        <v>0</v>
      </c>
      <c r="AM107" s="23" t="s">
        <v>1436</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45.916666666666664</v>
      </c>
      <c r="C108" s="49"/>
      <c r="D108" s="27">
        <v>2021</v>
      </c>
      <c r="E108" s="14">
        <v>100</v>
      </c>
      <c r="F108" s="23"/>
      <c r="G108" s="7">
        <v>2021</v>
      </c>
      <c r="H108" s="44">
        <v>50</v>
      </c>
      <c r="I108" s="14" t="s">
        <v>1433</v>
      </c>
      <c r="J108" s="27">
        <v>2021</v>
      </c>
      <c r="K108" s="21">
        <v>100</v>
      </c>
      <c r="L108" s="23"/>
      <c r="M108" s="7">
        <v>2021</v>
      </c>
      <c r="N108" s="21">
        <v>50</v>
      </c>
      <c r="O108" s="14" t="s">
        <v>1434</v>
      </c>
      <c r="P108" s="27">
        <v>2021</v>
      </c>
      <c r="Q108" s="14">
        <v>50</v>
      </c>
      <c r="R108" s="23"/>
      <c r="S108" s="7">
        <v>2021</v>
      </c>
      <c r="T108" s="21">
        <v>50</v>
      </c>
      <c r="U108" s="14" t="s">
        <v>1434</v>
      </c>
      <c r="V108" s="7">
        <v>2021</v>
      </c>
      <c r="W108" s="14">
        <v>67</v>
      </c>
      <c r="X108" s="14" t="s">
        <v>1352</v>
      </c>
      <c r="Y108" s="7">
        <v>2021</v>
      </c>
      <c r="Z108" s="14">
        <v>67</v>
      </c>
      <c r="AA108" s="23" t="s">
        <v>1435</v>
      </c>
      <c r="AB108" s="7">
        <v>2021</v>
      </c>
      <c r="AC108" s="21">
        <v>100</v>
      </c>
      <c r="AD108" s="23"/>
      <c r="AE108" s="7">
        <v>2021</v>
      </c>
      <c r="AF108" s="14">
        <v>0</v>
      </c>
      <c r="AG108" s="23"/>
      <c r="AH108" s="7">
        <v>2021</v>
      </c>
      <c r="AI108" s="21">
        <v>0</v>
      </c>
      <c r="AJ108" s="23"/>
      <c r="AK108" s="7">
        <v>2021</v>
      </c>
      <c r="AL108" s="47">
        <v>0</v>
      </c>
      <c r="AM108" s="23" t="s">
        <v>1436</v>
      </c>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45.916666666666664</v>
      </c>
      <c r="C109" s="49"/>
      <c r="D109" s="27">
        <v>2022</v>
      </c>
      <c r="E109" s="14">
        <v>100</v>
      </c>
      <c r="F109" s="23"/>
      <c r="G109" s="27">
        <v>2022</v>
      </c>
      <c r="H109" s="44">
        <v>50</v>
      </c>
      <c r="I109" s="14" t="s">
        <v>1433</v>
      </c>
      <c r="J109" s="27">
        <v>2022</v>
      </c>
      <c r="K109" s="74">
        <v>100</v>
      </c>
      <c r="L109" s="23"/>
      <c r="M109" s="27">
        <v>2022</v>
      </c>
      <c r="N109" s="21">
        <v>50</v>
      </c>
      <c r="O109" s="14" t="s">
        <v>1434</v>
      </c>
      <c r="P109" s="27">
        <v>2022</v>
      </c>
      <c r="Q109" s="14">
        <v>50</v>
      </c>
      <c r="R109" s="23"/>
      <c r="S109" s="27">
        <v>2022</v>
      </c>
      <c r="T109" s="21">
        <v>50</v>
      </c>
      <c r="U109" s="14" t="s">
        <v>1434</v>
      </c>
      <c r="V109" s="27">
        <v>2022</v>
      </c>
      <c r="W109" s="14">
        <v>67</v>
      </c>
      <c r="X109" s="14" t="s">
        <v>1352</v>
      </c>
      <c r="Y109" s="27">
        <v>2022</v>
      </c>
      <c r="Z109" s="14">
        <v>67</v>
      </c>
      <c r="AA109" s="23" t="s">
        <v>1435</v>
      </c>
      <c r="AB109" s="27">
        <v>2022</v>
      </c>
      <c r="AC109" s="21">
        <v>100</v>
      </c>
      <c r="AD109" s="23"/>
      <c r="AE109" s="27">
        <v>2022</v>
      </c>
      <c r="AF109" s="14">
        <v>0</v>
      </c>
      <c r="AG109" s="23"/>
      <c r="AH109" s="27">
        <v>2022</v>
      </c>
      <c r="AI109" s="21">
        <v>0</v>
      </c>
      <c r="AJ109" s="23"/>
      <c r="AK109" s="27">
        <v>2022</v>
      </c>
      <c r="AL109" s="47">
        <v>0</v>
      </c>
      <c r="AM109" s="23" t="s">
        <v>1436</v>
      </c>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52.166666666666664</v>
      </c>
      <c r="C110" s="49"/>
      <c r="D110" s="27">
        <v>2023</v>
      </c>
      <c r="E110" s="14">
        <v>100</v>
      </c>
      <c r="F110" s="23"/>
      <c r="G110" s="27">
        <v>2023</v>
      </c>
      <c r="H110" s="44">
        <v>50</v>
      </c>
      <c r="I110" s="14" t="s">
        <v>1433</v>
      </c>
      <c r="J110" s="27">
        <v>2023</v>
      </c>
      <c r="K110" s="74">
        <v>100</v>
      </c>
      <c r="L110" s="23"/>
      <c r="M110" s="27">
        <v>2023</v>
      </c>
      <c r="N110" s="21">
        <v>50</v>
      </c>
      <c r="O110" s="14" t="s">
        <v>1434</v>
      </c>
      <c r="P110" s="27">
        <v>2023</v>
      </c>
      <c r="Q110" s="14">
        <v>50</v>
      </c>
      <c r="R110" s="23" t="s">
        <v>1437</v>
      </c>
      <c r="S110" s="27">
        <v>2023</v>
      </c>
      <c r="T110" s="21">
        <v>50</v>
      </c>
      <c r="U110" s="14" t="s">
        <v>1434</v>
      </c>
      <c r="V110" s="27">
        <v>2023</v>
      </c>
      <c r="W110" s="14">
        <v>67</v>
      </c>
      <c r="X110" s="14" t="s">
        <v>1352</v>
      </c>
      <c r="Y110" s="27">
        <v>2023</v>
      </c>
      <c r="Z110" s="14">
        <v>67</v>
      </c>
      <c r="AA110" s="23" t="s">
        <v>1435</v>
      </c>
      <c r="AB110" s="27">
        <v>2023</v>
      </c>
      <c r="AC110" s="21">
        <v>100</v>
      </c>
      <c r="AD110" s="23"/>
      <c r="AE110" s="27">
        <v>2023</v>
      </c>
      <c r="AF110" s="14">
        <v>0</v>
      </c>
      <c r="AG110" s="23"/>
      <c r="AH110" s="27">
        <v>2023</v>
      </c>
      <c r="AI110" s="21">
        <v>0</v>
      </c>
      <c r="AJ110" s="23"/>
      <c r="AK110" s="27">
        <v>2023</v>
      </c>
      <c r="AL110" s="47">
        <v>50</v>
      </c>
      <c r="AM110" s="23" t="s">
        <v>1438</v>
      </c>
    </row>
    <row r="111" spans="1:51" ht="22.5" customHeight="1">
      <c r="A111" s="27">
        <v>2024</v>
      </c>
      <c r="B111" s="42">
        <f>AVERAGE((E111+K111+Q111)/3+(H111+N111+T111)/3+W111+Z111+AC111+AF111+AI111+AL111)/8</f>
        <v>50.083333333333329</v>
      </c>
      <c r="C111" s="49"/>
      <c r="D111" s="27">
        <v>2024</v>
      </c>
      <c r="E111" s="14">
        <v>100</v>
      </c>
      <c r="F111" s="23"/>
      <c r="G111" s="27">
        <v>2024</v>
      </c>
      <c r="H111" s="44">
        <v>50</v>
      </c>
      <c r="I111" s="14" t="s">
        <v>1433</v>
      </c>
      <c r="J111" s="27">
        <v>2024</v>
      </c>
      <c r="K111" s="74">
        <v>100</v>
      </c>
      <c r="L111" s="23"/>
      <c r="M111" s="27">
        <v>2024</v>
      </c>
      <c r="N111" s="21">
        <v>50</v>
      </c>
      <c r="O111" s="14" t="s">
        <v>1434</v>
      </c>
      <c r="P111" s="27">
        <v>2024</v>
      </c>
      <c r="Q111" s="14">
        <v>50</v>
      </c>
      <c r="R111" s="23" t="s">
        <v>1439</v>
      </c>
      <c r="S111" s="27">
        <v>2024</v>
      </c>
      <c r="T111" s="47">
        <v>0</v>
      </c>
      <c r="U111" s="23" t="s">
        <v>1440</v>
      </c>
      <c r="V111" s="27">
        <v>2024</v>
      </c>
      <c r="W111" s="14">
        <v>67</v>
      </c>
      <c r="X111" s="14" t="s">
        <v>1441</v>
      </c>
      <c r="Y111" s="27">
        <v>2024</v>
      </c>
      <c r="Z111" s="14">
        <v>67</v>
      </c>
      <c r="AA111" s="23" t="s">
        <v>1435</v>
      </c>
      <c r="AB111" s="27">
        <v>2024</v>
      </c>
      <c r="AC111" s="21">
        <v>100</v>
      </c>
      <c r="AD111" s="23"/>
      <c r="AE111" s="27">
        <v>2024</v>
      </c>
      <c r="AF111" s="14">
        <v>0</v>
      </c>
      <c r="AG111" s="23"/>
      <c r="AH111" s="27">
        <v>2024</v>
      </c>
      <c r="AI111" s="21">
        <v>0</v>
      </c>
      <c r="AJ111" s="23"/>
      <c r="AK111" s="27">
        <v>2024</v>
      </c>
      <c r="AL111" s="47">
        <v>50</v>
      </c>
      <c r="AM111" s="23" t="s">
        <v>1438</v>
      </c>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45C50-25D9-47C0-922E-EC8AAEF12424}">
  <dimension ref="A1:CC102"/>
  <sheetViews>
    <sheetView topLeftCell="AJ13" zoomScale="93" zoomScaleNormal="93" workbookViewId="0">
      <selection activeCell="AP32" sqref="AP32"/>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9.65" customHeight="1">
      <c r="A1" s="323" t="s">
        <v>0</v>
      </c>
      <c r="B1" s="323"/>
      <c r="C1" s="323"/>
      <c r="D1" s="323"/>
    </row>
    <row r="2" spans="1:81" ht="46.75" customHeight="1">
      <c r="A2" s="2" t="s">
        <v>1</v>
      </c>
      <c r="B2" s="2" t="s">
        <v>2</v>
      </c>
      <c r="C2" s="2" t="s">
        <v>3</v>
      </c>
      <c r="D2" s="2" t="s">
        <v>4</v>
      </c>
    </row>
    <row r="3" spans="1:81" ht="15" customHeight="1">
      <c r="A3" s="3">
        <v>2020</v>
      </c>
      <c r="B3" s="4">
        <f>AVERAGE(B15,B27,B39,B51,B63,B75,B87,B99)</f>
        <v>36.020337301587304</v>
      </c>
      <c r="C3" s="4">
        <f>AVERAGE(B15,B27,B39,B51,B63,B75,B87)</f>
        <v>37.588718820861679</v>
      </c>
      <c r="D3" s="4">
        <f>AVERAGE(B15,B27,B51,B63,B75,B87)</f>
        <v>39.488425925925924</v>
      </c>
    </row>
    <row r="4" spans="1:81" ht="15" customHeight="1">
      <c r="A4" s="3">
        <v>2021</v>
      </c>
      <c r="B4" s="4">
        <f>AVERAGE(B16,B28,B40,B52,B64,B76,B88,B100)</f>
        <v>36.020337301587304</v>
      </c>
      <c r="C4" s="4">
        <f>AVERAGE(B16,B28,B40,B52,B64,B76,B88)</f>
        <v>37.588718820861679</v>
      </c>
      <c r="D4" s="4">
        <f>AVERAGE(B16,B28,B52,B64,B76,B88)</f>
        <v>39.488425925925924</v>
      </c>
    </row>
    <row r="5" spans="1:81" ht="15" customHeight="1">
      <c r="A5" s="3">
        <v>2022</v>
      </c>
      <c r="B5" s="4">
        <f>AVERAGE(B17,B29,B41,B53,B65,B77,B89,B101)</f>
        <v>36.020337301587304</v>
      </c>
      <c r="C5" s="4">
        <f>AVERAGE(B17,B29,B41,B53,B65,B77,B89)</f>
        <v>37.588718820861679</v>
      </c>
      <c r="D5" s="4">
        <f>AVERAGE(B17,B29,B53,B65,B77,B89)</f>
        <v>39.488425925925924</v>
      </c>
    </row>
    <row r="6" spans="1:81" ht="15" customHeight="1">
      <c r="A6" s="3">
        <v>2023</v>
      </c>
      <c r="B6" s="4">
        <f>AVERAGE(B18,B30,B42,B54,B66,B78,B90,B102)</f>
        <v>36.020337301587304</v>
      </c>
      <c r="C6" s="4">
        <f>AVERAGE(B18,B30,B42,B54,B66,B78,B90)</f>
        <v>37.588718820861679</v>
      </c>
      <c r="D6" s="4">
        <f>AVERAGE(B18,B30,B54,B66,B78,B90)</f>
        <v>39.488425925925924</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8" si="0">AVERAGE(E15, H15,K15,N15,Q15,T15,W15,Z15,AC15)</f>
        <v>33.333333333333336</v>
      </c>
      <c r="C15" s="16"/>
      <c r="D15" s="7">
        <v>2020</v>
      </c>
      <c r="E15" s="14">
        <v>50</v>
      </c>
      <c r="F15" s="17"/>
      <c r="G15" s="7">
        <v>2020</v>
      </c>
      <c r="H15" s="14">
        <v>50</v>
      </c>
      <c r="I15" s="17"/>
      <c r="J15" s="7">
        <v>2020</v>
      </c>
      <c r="K15" s="14">
        <v>0</v>
      </c>
      <c r="L15" s="17" t="s">
        <v>1442</v>
      </c>
      <c r="M15" s="7">
        <v>2020</v>
      </c>
      <c r="N15" s="14">
        <v>50</v>
      </c>
      <c r="O15" s="17" t="s">
        <v>1443</v>
      </c>
      <c r="P15" s="7">
        <v>2020</v>
      </c>
      <c r="Q15" s="14">
        <v>100</v>
      </c>
      <c r="R15" s="17"/>
      <c r="S15" s="7">
        <v>2020</v>
      </c>
      <c r="T15" s="80">
        <v>50</v>
      </c>
      <c r="U15" s="17"/>
      <c r="V15" s="7">
        <v>2020</v>
      </c>
      <c r="W15" s="14">
        <v>0</v>
      </c>
      <c r="X15" s="17"/>
      <c r="Y15" s="7">
        <v>2020</v>
      </c>
      <c r="Z15" s="14">
        <v>0</v>
      </c>
      <c r="AA15" s="17"/>
      <c r="AB15" s="7">
        <v>2020</v>
      </c>
      <c r="AC15" s="21">
        <v>0</v>
      </c>
      <c r="AD15" s="23"/>
    </row>
    <row r="16" spans="1:81" ht="24.75" customHeight="1">
      <c r="A16" s="7">
        <v>2021</v>
      </c>
      <c r="B16" s="15">
        <f t="shared" si="0"/>
        <v>33.333333333333336</v>
      </c>
      <c r="C16" s="16"/>
      <c r="D16" s="7">
        <v>2021</v>
      </c>
      <c r="E16" s="14">
        <v>50</v>
      </c>
      <c r="F16" s="17" t="s">
        <v>1444</v>
      </c>
      <c r="G16" s="7">
        <v>2021</v>
      </c>
      <c r="H16" s="14">
        <v>50</v>
      </c>
      <c r="I16" s="17"/>
      <c r="J16" s="7">
        <v>2021</v>
      </c>
      <c r="K16" s="14">
        <v>0</v>
      </c>
      <c r="L16" s="17"/>
      <c r="M16" s="7">
        <v>2021</v>
      </c>
      <c r="N16" s="14">
        <v>50</v>
      </c>
      <c r="O16" s="17"/>
      <c r="P16" s="7">
        <v>2021</v>
      </c>
      <c r="Q16" s="14">
        <v>100</v>
      </c>
      <c r="R16" s="17"/>
      <c r="S16" s="7">
        <v>2021</v>
      </c>
      <c r="T16" s="80">
        <v>50</v>
      </c>
      <c r="U16" s="17"/>
      <c r="V16" s="7">
        <v>2021</v>
      </c>
      <c r="W16" s="14">
        <v>0</v>
      </c>
      <c r="X16" s="17"/>
      <c r="Y16" s="7">
        <v>2021</v>
      </c>
      <c r="Z16" s="14">
        <v>0</v>
      </c>
      <c r="AA16" s="17"/>
      <c r="AB16" s="7">
        <v>2021</v>
      </c>
      <c r="AC16" s="21">
        <v>0</v>
      </c>
      <c r="AD16" s="23"/>
    </row>
    <row r="17" spans="1:51" ht="24.75" customHeight="1">
      <c r="A17" s="7">
        <v>2022</v>
      </c>
      <c r="B17" s="15">
        <f t="shared" si="0"/>
        <v>33.333333333333336</v>
      </c>
      <c r="C17" s="16"/>
      <c r="D17" s="7">
        <v>2022</v>
      </c>
      <c r="E17" s="14">
        <v>50</v>
      </c>
      <c r="F17" s="17" t="s">
        <v>1445</v>
      </c>
      <c r="G17" s="7">
        <v>2022</v>
      </c>
      <c r="H17" s="14">
        <v>50</v>
      </c>
      <c r="I17" s="17"/>
      <c r="J17" s="7">
        <v>2022</v>
      </c>
      <c r="K17" s="14">
        <v>0</v>
      </c>
      <c r="L17" s="17" t="s">
        <v>1446</v>
      </c>
      <c r="M17" s="7">
        <v>2022</v>
      </c>
      <c r="N17" s="14">
        <v>50</v>
      </c>
      <c r="O17" s="17" t="s">
        <v>1447</v>
      </c>
      <c r="P17" s="7">
        <v>2022</v>
      </c>
      <c r="Q17" s="14">
        <v>100</v>
      </c>
      <c r="R17" s="17"/>
      <c r="S17" s="7">
        <v>2022</v>
      </c>
      <c r="T17" s="80">
        <v>50</v>
      </c>
      <c r="U17" s="17"/>
      <c r="V17" s="7">
        <v>2022</v>
      </c>
      <c r="W17" s="14">
        <v>0</v>
      </c>
      <c r="X17" s="17"/>
      <c r="Y17" s="7">
        <v>2022</v>
      </c>
      <c r="Z17" s="14">
        <v>0</v>
      </c>
      <c r="AA17" s="17"/>
      <c r="AB17" s="7">
        <v>2022</v>
      </c>
      <c r="AC17" s="21">
        <v>0</v>
      </c>
      <c r="AD17" s="23"/>
    </row>
    <row r="18" spans="1:51" ht="24.75" customHeight="1">
      <c r="A18" s="7">
        <v>2023</v>
      </c>
      <c r="B18" s="15">
        <f t="shared" si="0"/>
        <v>33.333333333333336</v>
      </c>
      <c r="C18" s="16"/>
      <c r="D18" s="7">
        <v>2023</v>
      </c>
      <c r="E18" s="14">
        <v>50</v>
      </c>
      <c r="F18" s="17"/>
      <c r="G18" s="7">
        <v>2023</v>
      </c>
      <c r="H18" s="14">
        <v>50</v>
      </c>
      <c r="I18" s="17" t="s">
        <v>1448</v>
      </c>
      <c r="J18" s="7">
        <v>2023</v>
      </c>
      <c r="K18" s="14">
        <v>0</v>
      </c>
      <c r="L18" s="17"/>
      <c r="M18" s="7">
        <v>2023</v>
      </c>
      <c r="N18" s="14">
        <v>50</v>
      </c>
      <c r="O18" s="17"/>
      <c r="P18" s="7">
        <v>2023</v>
      </c>
      <c r="Q18" s="14">
        <v>100</v>
      </c>
      <c r="R18" s="17" t="s">
        <v>1449</v>
      </c>
      <c r="S18" s="7">
        <v>2023</v>
      </c>
      <c r="T18" s="80">
        <v>50</v>
      </c>
      <c r="U18" s="17"/>
      <c r="V18" s="7">
        <v>2023</v>
      </c>
      <c r="W18" s="14">
        <v>0</v>
      </c>
      <c r="X18" s="17" t="s">
        <v>1450</v>
      </c>
      <c r="Y18" s="7">
        <v>2023</v>
      </c>
      <c r="Z18" s="14">
        <v>0</v>
      </c>
      <c r="AA18" s="17"/>
      <c r="AB18" s="7">
        <v>2023</v>
      </c>
      <c r="AC18" s="21">
        <v>0</v>
      </c>
      <c r="AD18" s="23" t="s">
        <v>1451</v>
      </c>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c r="L24" s="325"/>
      <c r="M24" s="27" t="s">
        <v>30</v>
      </c>
      <c r="N24" s="325" t="s">
        <v>96</v>
      </c>
      <c r="O24" s="325"/>
      <c r="P24" s="27" t="s">
        <v>30</v>
      </c>
      <c r="Q24" s="325" t="s">
        <v>97</v>
      </c>
      <c r="R24" s="325"/>
      <c r="S24" s="27" t="s">
        <v>30</v>
      </c>
      <c r="T24" s="325"/>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297" t="s">
        <v>108</v>
      </c>
      <c r="L25" s="298"/>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47.222222222222221</v>
      </c>
      <c r="C27" s="16"/>
      <c r="D27" s="7">
        <v>2020</v>
      </c>
      <c r="E27" s="21">
        <v>100</v>
      </c>
      <c r="F27" s="17"/>
      <c r="G27" s="7">
        <v>2020</v>
      </c>
      <c r="H27" s="14">
        <v>25</v>
      </c>
      <c r="I27" s="17"/>
      <c r="J27" s="7">
        <v>2020</v>
      </c>
      <c r="K27" s="14">
        <v>100</v>
      </c>
      <c r="L27" s="17"/>
      <c r="M27" s="7">
        <v>2020</v>
      </c>
      <c r="N27" s="14">
        <v>100</v>
      </c>
      <c r="O27" s="17"/>
      <c r="P27" s="7">
        <v>2020</v>
      </c>
      <c r="Q27" s="14">
        <v>100</v>
      </c>
      <c r="R27" s="17"/>
      <c r="S27" s="7">
        <v>2020</v>
      </c>
      <c r="T27" s="14">
        <v>100</v>
      </c>
      <c r="U27" s="17"/>
      <c r="V27" s="7">
        <v>2020</v>
      </c>
      <c r="W27" s="14">
        <v>100</v>
      </c>
      <c r="X27" s="17"/>
      <c r="Y27" s="7">
        <v>2020</v>
      </c>
      <c r="Z27" s="14">
        <v>100</v>
      </c>
      <c r="AA27" s="17"/>
      <c r="AB27" s="7">
        <v>2020</v>
      </c>
      <c r="AC27" s="14">
        <v>100</v>
      </c>
      <c r="AD27" s="17"/>
      <c r="AE27" s="7">
        <v>2020</v>
      </c>
      <c r="AF27" s="31">
        <f t="shared" ref="AF27:AF30" si="1">0.67*AI27+0.33*AL27</f>
        <v>50</v>
      </c>
      <c r="AG27" s="17"/>
      <c r="AH27" s="7">
        <v>2020</v>
      </c>
      <c r="AI27" s="14">
        <v>50</v>
      </c>
      <c r="AJ27" s="17"/>
      <c r="AK27" s="7">
        <v>2020</v>
      </c>
      <c r="AL27" s="14">
        <v>50</v>
      </c>
      <c r="AM27" s="17"/>
      <c r="AN27" s="7">
        <v>2020</v>
      </c>
      <c r="AO27" s="14">
        <v>0</v>
      </c>
      <c r="AP27" s="17"/>
      <c r="AQ27" s="7">
        <v>2020</v>
      </c>
      <c r="AR27" s="14">
        <v>0</v>
      </c>
      <c r="AS27" s="17"/>
      <c r="AT27" s="7">
        <v>2020</v>
      </c>
      <c r="AU27" s="14">
        <v>0</v>
      </c>
      <c r="AV27" s="17"/>
      <c r="AW27" s="7">
        <v>2020</v>
      </c>
      <c r="AX27" s="14">
        <v>50</v>
      </c>
      <c r="AY27" s="23"/>
    </row>
    <row r="28" spans="1:51" ht="24.75" customHeight="1">
      <c r="A28" s="7">
        <v>2021</v>
      </c>
      <c r="B28" s="15">
        <f>AVERAGE(E28,H28,K28,T28,AF28,AO28,AU28,AX28,AR28)</f>
        <v>47.222222222222221</v>
      </c>
      <c r="C28" s="15"/>
      <c r="D28" s="7">
        <v>2021</v>
      </c>
      <c r="E28" s="21">
        <v>100</v>
      </c>
      <c r="F28" s="17"/>
      <c r="G28" s="7">
        <v>2021</v>
      </c>
      <c r="H28" s="14">
        <v>25</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si="1"/>
        <v>50</v>
      </c>
      <c r="AG28" s="17"/>
      <c r="AH28" s="7">
        <v>2021</v>
      </c>
      <c r="AI28" s="14">
        <v>50</v>
      </c>
      <c r="AJ28" s="17"/>
      <c r="AK28" s="7">
        <v>2021</v>
      </c>
      <c r="AL28" s="14">
        <v>50</v>
      </c>
      <c r="AM28" s="17"/>
      <c r="AN28" s="7">
        <v>2021</v>
      </c>
      <c r="AO28" s="14">
        <v>0</v>
      </c>
      <c r="AP28" s="17"/>
      <c r="AQ28" s="7">
        <v>2021</v>
      </c>
      <c r="AR28" s="14">
        <v>0</v>
      </c>
      <c r="AS28" s="17"/>
      <c r="AT28" s="7">
        <v>2021</v>
      </c>
      <c r="AU28" s="14">
        <v>0</v>
      </c>
      <c r="AV28" s="17"/>
      <c r="AW28" s="7">
        <v>2021</v>
      </c>
      <c r="AX28" s="14">
        <v>50</v>
      </c>
      <c r="AY28" s="23"/>
    </row>
    <row r="29" spans="1:51" ht="24.75" customHeight="1">
      <c r="A29" s="7">
        <v>2022</v>
      </c>
      <c r="B29" s="15">
        <f>AVERAGE(E29,H29,K29,T29,AF29,AO29,AU29,AX29,AR29)</f>
        <v>47.222222222222221</v>
      </c>
      <c r="C29" s="15"/>
      <c r="D29" s="7">
        <v>2022</v>
      </c>
      <c r="E29" s="21">
        <v>100</v>
      </c>
      <c r="F29" s="17"/>
      <c r="G29" s="7">
        <v>2022</v>
      </c>
      <c r="H29" s="14">
        <v>25</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 t="shared" si="1"/>
        <v>50</v>
      </c>
      <c r="AG29" s="17"/>
      <c r="AH29" s="7">
        <v>2022</v>
      </c>
      <c r="AI29" s="14">
        <v>50</v>
      </c>
      <c r="AJ29" s="17"/>
      <c r="AK29" s="7">
        <v>2022</v>
      </c>
      <c r="AL29" s="14">
        <v>50</v>
      </c>
      <c r="AM29" s="17"/>
      <c r="AN29" s="7">
        <v>2022</v>
      </c>
      <c r="AO29" s="14">
        <v>0</v>
      </c>
      <c r="AP29" s="17"/>
      <c r="AQ29" s="7">
        <v>2022</v>
      </c>
      <c r="AR29" s="14">
        <v>0</v>
      </c>
      <c r="AS29" s="17"/>
      <c r="AT29" s="7">
        <v>2022</v>
      </c>
      <c r="AU29" s="14">
        <v>0</v>
      </c>
      <c r="AV29" s="17"/>
      <c r="AW29" s="7">
        <v>2022</v>
      </c>
      <c r="AX29" s="14">
        <v>50</v>
      </c>
      <c r="AY29" s="23"/>
    </row>
    <row r="30" spans="1:51" ht="24.75" customHeight="1">
      <c r="A30" s="7">
        <v>2023</v>
      </c>
      <c r="B30" s="15">
        <f>AVERAGE(E30,H30,K30,T30,AF30,AO30,AU30,AX30,AR30)</f>
        <v>47.222222222222221</v>
      </c>
      <c r="C30" s="15"/>
      <c r="D30" s="7">
        <v>2023</v>
      </c>
      <c r="E30" s="21">
        <v>100</v>
      </c>
      <c r="F30" s="17"/>
      <c r="G30" s="7">
        <v>2023</v>
      </c>
      <c r="H30" s="14">
        <v>25</v>
      </c>
      <c r="I30" s="17" t="s">
        <v>1452</v>
      </c>
      <c r="J30" s="7">
        <v>2023</v>
      </c>
      <c r="K30" s="14">
        <v>100</v>
      </c>
      <c r="L30" s="17"/>
      <c r="M30" s="7">
        <v>2023</v>
      </c>
      <c r="N30" s="14">
        <v>100</v>
      </c>
      <c r="O30" s="17" t="s">
        <v>1453</v>
      </c>
      <c r="P30" s="7">
        <v>2023</v>
      </c>
      <c r="Q30" s="14">
        <v>100</v>
      </c>
      <c r="R30" s="17"/>
      <c r="S30" s="7">
        <v>2023</v>
      </c>
      <c r="T30" s="14">
        <v>100</v>
      </c>
      <c r="U30" s="17"/>
      <c r="V30" s="7">
        <v>2023</v>
      </c>
      <c r="W30" s="14">
        <v>100</v>
      </c>
      <c r="X30" s="17"/>
      <c r="Y30" s="7">
        <v>2023</v>
      </c>
      <c r="Z30" s="14">
        <v>100</v>
      </c>
      <c r="AA30" s="17"/>
      <c r="AB30" s="7">
        <v>2023</v>
      </c>
      <c r="AC30" s="14">
        <v>100</v>
      </c>
      <c r="AD30" s="17"/>
      <c r="AE30" s="7">
        <v>2023</v>
      </c>
      <c r="AF30" s="31">
        <f t="shared" si="1"/>
        <v>50</v>
      </c>
      <c r="AG30" s="17"/>
      <c r="AH30" s="7">
        <v>2023</v>
      </c>
      <c r="AI30" s="14">
        <v>50</v>
      </c>
      <c r="AJ30" s="17" t="s">
        <v>1454</v>
      </c>
      <c r="AK30" s="7">
        <v>2023</v>
      </c>
      <c r="AL30" s="14">
        <v>50</v>
      </c>
      <c r="AM30" s="17" t="s">
        <v>1455</v>
      </c>
      <c r="AN30" s="7">
        <v>2023</v>
      </c>
      <c r="AO30" s="14">
        <v>0</v>
      </c>
      <c r="AP30" s="17" t="s">
        <v>1456</v>
      </c>
      <c r="AQ30" s="7">
        <v>2023</v>
      </c>
      <c r="AR30" s="14">
        <v>0</v>
      </c>
      <c r="AS30" s="17" t="s">
        <v>1457</v>
      </c>
      <c r="AT30" s="7">
        <v>2023</v>
      </c>
      <c r="AU30" s="14">
        <v>0</v>
      </c>
      <c r="AV30" s="17"/>
      <c r="AW30" s="7">
        <v>2023</v>
      </c>
      <c r="AX30" s="14">
        <v>50</v>
      </c>
      <c r="AY30" s="23" t="s">
        <v>1458</v>
      </c>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297" t="s">
        <v>172</v>
      </c>
      <c r="AG37" s="298"/>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26.190476190476193</v>
      </c>
      <c r="C39" s="16"/>
      <c r="D39" s="7">
        <v>2020</v>
      </c>
      <c r="E39" s="14">
        <v>67</v>
      </c>
      <c r="F39" s="17"/>
      <c r="G39" s="7">
        <v>2020</v>
      </c>
      <c r="H39" s="14">
        <v>0</v>
      </c>
      <c r="I39" s="17"/>
      <c r="J39" s="7">
        <v>2020</v>
      </c>
      <c r="K39" s="14">
        <v>0</v>
      </c>
      <c r="L39" s="17"/>
      <c r="M39" s="7">
        <v>2020</v>
      </c>
      <c r="N39" s="31">
        <f t="shared" ref="N39:N42" si="2">AVERAGE(Q39,T39,W39)</f>
        <v>33.333333333333336</v>
      </c>
      <c r="O39" s="14"/>
      <c r="P39" s="7">
        <v>2020</v>
      </c>
      <c r="Q39" s="14">
        <v>50</v>
      </c>
      <c r="R39" s="17"/>
      <c r="S39" s="7">
        <v>2020</v>
      </c>
      <c r="T39" s="14">
        <v>0</v>
      </c>
      <c r="U39" s="17"/>
      <c r="V39" s="7">
        <v>2020</v>
      </c>
      <c r="W39" s="14">
        <v>50</v>
      </c>
      <c r="X39" s="17"/>
      <c r="Y39" s="7">
        <v>2020</v>
      </c>
      <c r="Z39" s="14">
        <v>0</v>
      </c>
      <c r="AA39" s="17"/>
      <c r="AB39" s="7">
        <v>2020</v>
      </c>
      <c r="AC39" s="14">
        <v>50</v>
      </c>
      <c r="AD39" s="17"/>
      <c r="AE39" s="7">
        <v>2020</v>
      </c>
      <c r="AF39" s="14">
        <v>33</v>
      </c>
      <c r="AG39" s="14"/>
      <c r="AH39" s="7">
        <v>2020</v>
      </c>
      <c r="AI39" s="21">
        <v>0</v>
      </c>
      <c r="AJ39" s="17"/>
      <c r="AK39" s="7">
        <v>2020</v>
      </c>
      <c r="AL39" s="14">
        <v>50</v>
      </c>
      <c r="AM39" s="23"/>
    </row>
    <row r="40" spans="1:39" ht="24.75" customHeight="1">
      <c r="A40" s="7">
        <v>2021</v>
      </c>
      <c r="B40" s="16">
        <f>AVERAGE(E40,H40,K40,N40,Z40,AC40,AF40)</f>
        <v>26.190476190476193</v>
      </c>
      <c r="C40" s="16"/>
      <c r="D40" s="7">
        <v>2021</v>
      </c>
      <c r="E40" s="14">
        <v>67</v>
      </c>
      <c r="F40" s="17"/>
      <c r="G40" s="7">
        <v>2021</v>
      </c>
      <c r="H40" s="14">
        <v>0</v>
      </c>
      <c r="I40" s="17"/>
      <c r="J40" s="7">
        <v>2021</v>
      </c>
      <c r="K40" s="14">
        <v>0</v>
      </c>
      <c r="L40" s="17"/>
      <c r="M40" s="7">
        <v>2021</v>
      </c>
      <c r="N40" s="31">
        <f t="shared" si="2"/>
        <v>33.333333333333336</v>
      </c>
      <c r="O40" s="14"/>
      <c r="P40" s="7">
        <v>2021</v>
      </c>
      <c r="Q40" s="14">
        <v>50</v>
      </c>
      <c r="R40" s="17"/>
      <c r="S40" s="7">
        <v>2021</v>
      </c>
      <c r="T40" s="14">
        <v>0</v>
      </c>
      <c r="U40" s="17"/>
      <c r="V40" s="7">
        <v>2021</v>
      </c>
      <c r="W40" s="14">
        <v>50</v>
      </c>
      <c r="X40" s="17"/>
      <c r="Y40" s="7">
        <v>2021</v>
      </c>
      <c r="Z40" s="14">
        <v>0</v>
      </c>
      <c r="AA40" s="17"/>
      <c r="AB40" s="7">
        <v>2021</v>
      </c>
      <c r="AC40" s="14">
        <v>50</v>
      </c>
      <c r="AD40" s="17"/>
      <c r="AE40" s="7">
        <v>2021</v>
      </c>
      <c r="AF40" s="14">
        <v>33</v>
      </c>
      <c r="AG40" s="14"/>
      <c r="AH40" s="7">
        <v>2021</v>
      </c>
      <c r="AI40" s="21">
        <v>0</v>
      </c>
      <c r="AJ40" s="17"/>
      <c r="AK40" s="7">
        <v>2021</v>
      </c>
      <c r="AL40" s="14">
        <v>50</v>
      </c>
      <c r="AM40" s="23"/>
    </row>
    <row r="41" spans="1:39" ht="24.75" customHeight="1">
      <c r="A41" s="7">
        <v>2022</v>
      </c>
      <c r="B41" s="16">
        <f>AVERAGE(E41,H41,K41,N41,Z41,AC41,AF41)</f>
        <v>26.190476190476193</v>
      </c>
      <c r="C41" s="16"/>
      <c r="D41" s="7">
        <v>2022</v>
      </c>
      <c r="E41" s="14">
        <v>67</v>
      </c>
      <c r="F41" s="17"/>
      <c r="G41" s="7">
        <v>2022</v>
      </c>
      <c r="H41" s="14">
        <v>0</v>
      </c>
      <c r="I41" s="17"/>
      <c r="J41" s="7">
        <v>2022</v>
      </c>
      <c r="K41" s="14">
        <v>0</v>
      </c>
      <c r="L41" s="17"/>
      <c r="M41" s="7">
        <v>2022</v>
      </c>
      <c r="N41" s="31">
        <f t="shared" si="2"/>
        <v>33.333333333333336</v>
      </c>
      <c r="O41" s="14"/>
      <c r="P41" s="7">
        <v>2022</v>
      </c>
      <c r="Q41" s="14">
        <v>50</v>
      </c>
      <c r="R41" s="17"/>
      <c r="S41" s="7">
        <v>2022</v>
      </c>
      <c r="T41" s="14">
        <v>0</v>
      </c>
      <c r="U41" s="17"/>
      <c r="V41" s="7">
        <v>2022</v>
      </c>
      <c r="W41" s="14">
        <v>50</v>
      </c>
      <c r="X41" s="17"/>
      <c r="Y41" s="7">
        <v>2022</v>
      </c>
      <c r="Z41" s="14">
        <v>0</v>
      </c>
      <c r="AA41" s="17"/>
      <c r="AB41" s="7">
        <v>2022</v>
      </c>
      <c r="AC41" s="14">
        <v>50</v>
      </c>
      <c r="AD41" s="17"/>
      <c r="AE41" s="7">
        <v>2022</v>
      </c>
      <c r="AF41" s="14">
        <v>33</v>
      </c>
      <c r="AG41" s="14"/>
      <c r="AH41" s="7">
        <v>2022</v>
      </c>
      <c r="AI41" s="21">
        <v>0</v>
      </c>
      <c r="AJ41" s="17"/>
      <c r="AK41" s="7">
        <v>2022</v>
      </c>
      <c r="AL41" s="14">
        <v>50</v>
      </c>
      <c r="AM41" s="23"/>
    </row>
    <row r="42" spans="1:39" ht="24.75" customHeight="1">
      <c r="A42" s="7">
        <v>2023</v>
      </c>
      <c r="B42" s="16">
        <f>AVERAGE(E42,H42,K42,N42,Z42,AC42,AF42)</f>
        <v>26.190476190476193</v>
      </c>
      <c r="C42" s="16"/>
      <c r="D42" s="7">
        <v>2023</v>
      </c>
      <c r="E42" s="14">
        <v>67</v>
      </c>
      <c r="F42" s="17" t="s">
        <v>1459</v>
      </c>
      <c r="G42" s="7">
        <v>2023</v>
      </c>
      <c r="H42" s="14">
        <v>0</v>
      </c>
      <c r="I42" s="17" t="s">
        <v>1460</v>
      </c>
      <c r="J42" s="7">
        <v>2023</v>
      </c>
      <c r="K42" s="14">
        <v>0</v>
      </c>
      <c r="L42" s="17" t="s">
        <v>1460</v>
      </c>
      <c r="M42" s="7">
        <v>2023</v>
      </c>
      <c r="N42" s="31">
        <f t="shared" si="2"/>
        <v>33.333333333333336</v>
      </c>
      <c r="O42" s="14"/>
      <c r="P42" s="7">
        <v>2023</v>
      </c>
      <c r="Q42" s="14">
        <v>50</v>
      </c>
      <c r="R42" s="17" t="s">
        <v>1461</v>
      </c>
      <c r="S42" s="7">
        <v>2023</v>
      </c>
      <c r="T42" s="14">
        <v>0</v>
      </c>
      <c r="U42" s="17" t="s">
        <v>1462</v>
      </c>
      <c r="V42" s="7">
        <v>2023</v>
      </c>
      <c r="W42" s="14">
        <v>50</v>
      </c>
      <c r="X42" s="17" t="s">
        <v>1463</v>
      </c>
      <c r="Y42" s="7">
        <v>2023</v>
      </c>
      <c r="Z42" s="14">
        <v>0</v>
      </c>
      <c r="AA42" s="17" t="s">
        <v>1464</v>
      </c>
      <c r="AB42" s="7">
        <v>2023</v>
      </c>
      <c r="AC42" s="14">
        <v>50</v>
      </c>
      <c r="AD42" s="17" t="s">
        <v>1465</v>
      </c>
      <c r="AE42" s="7">
        <v>2023</v>
      </c>
      <c r="AF42" s="14">
        <v>33</v>
      </c>
      <c r="AG42" s="14"/>
      <c r="AH42" s="7">
        <v>2023</v>
      </c>
      <c r="AI42" s="21">
        <v>0</v>
      </c>
      <c r="AJ42" s="17" t="s">
        <v>1466</v>
      </c>
      <c r="AK42" s="7">
        <v>2023</v>
      </c>
      <c r="AL42" s="14">
        <v>50</v>
      </c>
      <c r="AM42" s="153" t="s">
        <v>1467</v>
      </c>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 t="shared" ref="B51:B54" si="3">AVERAGE(E51,H51,K51,N51,Q51)</f>
        <v>20</v>
      </c>
      <c r="C51" s="16"/>
      <c r="D51" s="7">
        <v>2020</v>
      </c>
      <c r="E51" s="14">
        <v>0</v>
      </c>
      <c r="F51" s="17"/>
      <c r="G51" s="7">
        <v>2020</v>
      </c>
      <c r="H51" s="14">
        <v>0</v>
      </c>
      <c r="I51" s="17"/>
      <c r="J51" s="7">
        <v>2020</v>
      </c>
      <c r="K51" s="14">
        <v>0</v>
      </c>
      <c r="L51" s="17"/>
      <c r="M51" s="7">
        <v>2020</v>
      </c>
      <c r="N51" s="14">
        <v>0</v>
      </c>
      <c r="O51" s="17"/>
      <c r="P51" s="7">
        <v>2020</v>
      </c>
      <c r="Q51" s="14">
        <v>100</v>
      </c>
      <c r="R51" s="23"/>
    </row>
    <row r="52" spans="1:24" ht="24.75" customHeight="1">
      <c r="A52" s="7">
        <v>2021</v>
      </c>
      <c r="B52" s="15">
        <f t="shared" si="3"/>
        <v>20</v>
      </c>
      <c r="C52" s="15"/>
      <c r="D52" s="7">
        <v>2021</v>
      </c>
      <c r="E52" s="14">
        <v>0</v>
      </c>
      <c r="F52" s="17"/>
      <c r="G52" s="7">
        <v>2021</v>
      </c>
      <c r="H52" s="14">
        <v>0</v>
      </c>
      <c r="I52" s="17"/>
      <c r="J52" s="7">
        <v>2021</v>
      </c>
      <c r="K52" s="14">
        <v>0</v>
      </c>
      <c r="L52" s="17"/>
      <c r="M52" s="7">
        <v>2021</v>
      </c>
      <c r="N52" s="14">
        <v>0</v>
      </c>
      <c r="O52" s="17"/>
      <c r="P52" s="7">
        <v>2021</v>
      </c>
      <c r="Q52" s="14">
        <v>100</v>
      </c>
      <c r="R52" s="23"/>
    </row>
    <row r="53" spans="1:24" ht="24.75" customHeight="1">
      <c r="A53" s="7">
        <v>2022</v>
      </c>
      <c r="B53" s="15">
        <f t="shared" si="3"/>
        <v>20</v>
      </c>
      <c r="C53" s="15"/>
      <c r="D53" s="7">
        <v>2022</v>
      </c>
      <c r="E53" s="14">
        <v>0</v>
      </c>
      <c r="F53" s="17"/>
      <c r="G53" s="7">
        <v>2022</v>
      </c>
      <c r="H53" s="14">
        <v>0</v>
      </c>
      <c r="I53" s="17"/>
      <c r="J53" s="7">
        <v>2022</v>
      </c>
      <c r="K53" s="21">
        <v>0</v>
      </c>
      <c r="L53" s="17"/>
      <c r="M53" s="7">
        <v>2022</v>
      </c>
      <c r="N53" s="14">
        <v>0</v>
      </c>
      <c r="O53" s="17"/>
      <c r="P53" s="7">
        <v>2022</v>
      </c>
      <c r="Q53" s="14">
        <v>100</v>
      </c>
      <c r="R53" s="23"/>
    </row>
    <row r="54" spans="1:24" ht="24.75" customHeight="1">
      <c r="A54" s="7">
        <v>2023</v>
      </c>
      <c r="B54" s="15">
        <f t="shared" si="3"/>
        <v>20</v>
      </c>
      <c r="C54" s="15"/>
      <c r="D54" s="7">
        <v>2023</v>
      </c>
      <c r="E54" s="14">
        <v>0</v>
      </c>
      <c r="F54" s="17"/>
      <c r="G54" s="7">
        <v>2023</v>
      </c>
      <c r="H54" s="14">
        <v>0</v>
      </c>
      <c r="I54" s="17" t="s">
        <v>1468</v>
      </c>
      <c r="J54" s="7">
        <v>2023</v>
      </c>
      <c r="K54" s="14">
        <v>0</v>
      </c>
      <c r="L54" s="17"/>
      <c r="M54" s="7">
        <v>2023</v>
      </c>
      <c r="N54" s="14">
        <v>0</v>
      </c>
      <c r="O54" s="17" t="s">
        <v>1469</v>
      </c>
      <c r="P54" s="7">
        <v>2023</v>
      </c>
      <c r="Q54" s="14">
        <v>100</v>
      </c>
      <c r="R54" s="23" t="s">
        <v>1470</v>
      </c>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 t="shared" ref="B63:B66" si="4">AVERAGE(E63,((H63+K63)/2),((N63+Q63+T63)/3),W63)</f>
        <v>45.833333333333336</v>
      </c>
      <c r="C63" s="16"/>
      <c r="D63" s="7">
        <v>2020</v>
      </c>
      <c r="E63" s="21">
        <v>50</v>
      </c>
      <c r="F63" s="17"/>
      <c r="G63" s="7">
        <v>2020</v>
      </c>
      <c r="H63" s="14">
        <v>0</v>
      </c>
      <c r="I63" s="17"/>
      <c r="J63" s="7">
        <v>2020</v>
      </c>
      <c r="K63" s="14">
        <v>0</v>
      </c>
      <c r="L63" s="17"/>
      <c r="M63" s="7">
        <v>2020</v>
      </c>
      <c r="N63" s="14">
        <v>50</v>
      </c>
      <c r="O63" s="17"/>
      <c r="P63" s="7">
        <v>2020</v>
      </c>
      <c r="Q63" s="14">
        <v>50</v>
      </c>
      <c r="R63" s="17"/>
      <c r="S63" s="7">
        <v>2020</v>
      </c>
      <c r="T63" s="14">
        <v>0</v>
      </c>
      <c r="U63" s="17"/>
      <c r="V63" s="7">
        <v>2020</v>
      </c>
      <c r="W63" s="14">
        <v>100</v>
      </c>
      <c r="X63" s="23"/>
    </row>
    <row r="64" spans="1:24" ht="24.75" customHeight="1">
      <c r="A64" s="7">
        <v>2021</v>
      </c>
      <c r="B64" s="15">
        <f t="shared" si="4"/>
        <v>45.833333333333336</v>
      </c>
      <c r="C64" s="15"/>
      <c r="D64" s="7">
        <v>2021</v>
      </c>
      <c r="E64" s="21">
        <v>50</v>
      </c>
      <c r="F64" s="17"/>
      <c r="G64" s="7">
        <v>2021</v>
      </c>
      <c r="H64" s="14">
        <v>0</v>
      </c>
      <c r="I64" s="17"/>
      <c r="J64" s="7">
        <v>2021</v>
      </c>
      <c r="K64" s="14">
        <v>0</v>
      </c>
      <c r="L64" s="17"/>
      <c r="M64" s="7">
        <v>2021</v>
      </c>
      <c r="N64" s="14">
        <v>50</v>
      </c>
      <c r="O64" s="17"/>
      <c r="P64" s="7">
        <v>2021</v>
      </c>
      <c r="Q64" s="14">
        <v>50</v>
      </c>
      <c r="R64" s="17"/>
      <c r="S64" s="7">
        <v>2021</v>
      </c>
      <c r="T64" s="14">
        <v>0</v>
      </c>
      <c r="U64" s="17"/>
      <c r="V64" s="7">
        <v>2021</v>
      </c>
      <c r="W64" s="14">
        <v>100</v>
      </c>
      <c r="X64" s="23"/>
    </row>
    <row r="65" spans="1:33" ht="24.75" customHeight="1">
      <c r="A65" s="7">
        <v>2022</v>
      </c>
      <c r="B65" s="15">
        <f t="shared" si="4"/>
        <v>45.833333333333336</v>
      </c>
      <c r="C65" s="15"/>
      <c r="D65" s="7">
        <v>2022</v>
      </c>
      <c r="E65" s="21">
        <v>50</v>
      </c>
      <c r="F65" s="17"/>
      <c r="G65" s="7">
        <v>2022</v>
      </c>
      <c r="H65" s="14">
        <v>0</v>
      </c>
      <c r="I65" s="17"/>
      <c r="J65" s="7">
        <v>2022</v>
      </c>
      <c r="K65" s="14">
        <v>0</v>
      </c>
      <c r="L65" s="17"/>
      <c r="M65" s="7">
        <v>2022</v>
      </c>
      <c r="N65" s="14">
        <v>50</v>
      </c>
      <c r="O65" s="17"/>
      <c r="P65" s="7">
        <v>2022</v>
      </c>
      <c r="Q65" s="14">
        <v>50</v>
      </c>
      <c r="R65" s="17"/>
      <c r="S65" s="7">
        <v>2022</v>
      </c>
      <c r="T65" s="14">
        <v>0</v>
      </c>
      <c r="U65" s="17"/>
      <c r="V65" s="7">
        <v>2022</v>
      </c>
      <c r="W65" s="14">
        <v>100</v>
      </c>
      <c r="X65" s="23"/>
    </row>
    <row r="66" spans="1:33" ht="24.75" customHeight="1">
      <c r="A66" s="7">
        <v>2023</v>
      </c>
      <c r="B66" s="15">
        <f t="shared" si="4"/>
        <v>45.833333333333336</v>
      </c>
      <c r="C66" s="15"/>
      <c r="D66" s="7">
        <v>2023</v>
      </c>
      <c r="E66" s="21">
        <v>50</v>
      </c>
      <c r="F66" s="17" t="s">
        <v>1471</v>
      </c>
      <c r="G66" s="7">
        <v>2023</v>
      </c>
      <c r="H66" s="14">
        <v>0</v>
      </c>
      <c r="I66" s="17" t="s">
        <v>1472</v>
      </c>
      <c r="J66" s="7">
        <v>2023</v>
      </c>
      <c r="K66" s="14">
        <v>0</v>
      </c>
      <c r="L66" s="17" t="s">
        <v>1473</v>
      </c>
      <c r="M66" s="7">
        <v>2023</v>
      </c>
      <c r="N66" s="14">
        <v>50</v>
      </c>
      <c r="O66" s="17" t="s">
        <v>1474</v>
      </c>
      <c r="P66" s="7">
        <v>2023</v>
      </c>
      <c r="Q66" s="14">
        <v>50</v>
      </c>
      <c r="R66" s="17"/>
      <c r="S66" s="7">
        <v>2023</v>
      </c>
      <c r="T66" s="14">
        <v>0</v>
      </c>
      <c r="U66" s="17" t="s">
        <v>1475</v>
      </c>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5">AVERAGE(E75,H75,K75,Z75)</f>
        <v>23.875</v>
      </c>
      <c r="C75" s="15"/>
      <c r="D75" s="7">
        <v>2020</v>
      </c>
      <c r="E75" s="14">
        <v>0</v>
      </c>
      <c r="F75" s="17"/>
      <c r="G75" s="7">
        <v>2020</v>
      </c>
      <c r="H75" s="14">
        <v>33</v>
      </c>
      <c r="I75" s="17" t="s">
        <v>1476</v>
      </c>
      <c r="J75" s="7">
        <v>2020</v>
      </c>
      <c r="K75" s="31">
        <f t="shared" ref="K75:K78" si="6">AVERAGE(N75,Q75,T75,W75)</f>
        <v>12.5</v>
      </c>
      <c r="L75" s="14"/>
      <c r="M75" s="7">
        <v>2020</v>
      </c>
      <c r="N75" s="21">
        <v>0</v>
      </c>
      <c r="O75" s="17"/>
      <c r="P75" s="7">
        <v>2020</v>
      </c>
      <c r="Q75" s="21">
        <v>0</v>
      </c>
      <c r="R75" s="17"/>
      <c r="S75" s="7">
        <v>2020</v>
      </c>
      <c r="T75" s="21">
        <v>50</v>
      </c>
      <c r="U75" s="17"/>
      <c r="V75" s="7">
        <v>2020</v>
      </c>
      <c r="W75" s="21">
        <v>0</v>
      </c>
      <c r="X75" s="17"/>
      <c r="Y75" s="7">
        <v>2020</v>
      </c>
      <c r="Z75" s="14">
        <v>50</v>
      </c>
      <c r="AA75" s="23"/>
    </row>
    <row r="76" spans="1:33" ht="24.75" customHeight="1">
      <c r="A76" s="7">
        <v>2021</v>
      </c>
      <c r="B76" s="15">
        <f t="shared" si="5"/>
        <v>23.875</v>
      </c>
      <c r="C76" s="15"/>
      <c r="D76" s="7">
        <v>2021</v>
      </c>
      <c r="E76" s="14">
        <v>0</v>
      </c>
      <c r="F76" s="17"/>
      <c r="G76" s="7">
        <v>2021</v>
      </c>
      <c r="H76" s="14">
        <v>33</v>
      </c>
      <c r="I76" s="17"/>
      <c r="J76" s="7">
        <v>2021</v>
      </c>
      <c r="K76" s="31">
        <f t="shared" si="6"/>
        <v>12.5</v>
      </c>
      <c r="L76" s="14"/>
      <c r="M76" s="7">
        <v>2021</v>
      </c>
      <c r="N76" s="21">
        <v>0</v>
      </c>
      <c r="O76" s="17"/>
      <c r="P76" s="7">
        <v>2021</v>
      </c>
      <c r="Q76" s="21">
        <v>0</v>
      </c>
      <c r="R76" s="17"/>
      <c r="S76" s="7">
        <v>2021</v>
      </c>
      <c r="T76" s="21">
        <v>50</v>
      </c>
      <c r="U76" s="17"/>
      <c r="V76" s="7">
        <v>2021</v>
      </c>
      <c r="W76" s="21">
        <v>0</v>
      </c>
      <c r="X76" s="17"/>
      <c r="Y76" s="7">
        <v>2021</v>
      </c>
      <c r="Z76" s="14">
        <v>50</v>
      </c>
      <c r="AA76" s="23"/>
    </row>
    <row r="77" spans="1:33" ht="24.75" customHeight="1">
      <c r="A77" s="7">
        <v>2022</v>
      </c>
      <c r="B77" s="15">
        <f t="shared" si="5"/>
        <v>23.875</v>
      </c>
      <c r="C77" s="15"/>
      <c r="D77" s="7">
        <v>2022</v>
      </c>
      <c r="E77" s="14">
        <v>0</v>
      </c>
      <c r="F77" s="17"/>
      <c r="G77" s="7">
        <v>2022</v>
      </c>
      <c r="H77" s="14">
        <v>33</v>
      </c>
      <c r="I77" s="17"/>
      <c r="J77" s="7">
        <v>2022</v>
      </c>
      <c r="K77" s="31">
        <f t="shared" si="6"/>
        <v>12.5</v>
      </c>
      <c r="L77" s="14"/>
      <c r="M77" s="7">
        <v>2022</v>
      </c>
      <c r="N77" s="21">
        <v>0</v>
      </c>
      <c r="O77" s="17"/>
      <c r="P77" s="7">
        <v>2022</v>
      </c>
      <c r="Q77" s="21">
        <v>0</v>
      </c>
      <c r="R77" s="17"/>
      <c r="S77" s="7">
        <v>2022</v>
      </c>
      <c r="T77" s="21">
        <v>50</v>
      </c>
      <c r="U77" s="17"/>
      <c r="V77" s="7">
        <v>2022</v>
      </c>
      <c r="W77" s="21">
        <v>0</v>
      </c>
      <c r="X77" s="17"/>
      <c r="Y77" s="7">
        <v>2022</v>
      </c>
      <c r="Z77" s="14">
        <v>50</v>
      </c>
      <c r="AA77" s="23"/>
    </row>
    <row r="78" spans="1:33" ht="24.75" customHeight="1">
      <c r="A78" s="7">
        <v>2023</v>
      </c>
      <c r="B78" s="15">
        <f t="shared" si="5"/>
        <v>23.875</v>
      </c>
      <c r="C78" s="15"/>
      <c r="D78" s="7">
        <v>2023</v>
      </c>
      <c r="E78" s="14">
        <v>0</v>
      </c>
      <c r="F78" s="17" t="s">
        <v>1477</v>
      </c>
      <c r="G78" s="7">
        <v>2023</v>
      </c>
      <c r="H78" s="14">
        <v>33</v>
      </c>
      <c r="I78" s="17"/>
      <c r="J78" s="7">
        <v>2023</v>
      </c>
      <c r="K78" s="31">
        <f t="shared" si="6"/>
        <v>12.5</v>
      </c>
      <c r="L78" s="14"/>
      <c r="M78" s="7">
        <v>2023</v>
      </c>
      <c r="N78" s="21">
        <v>0</v>
      </c>
      <c r="O78" s="17" t="s">
        <v>1478</v>
      </c>
      <c r="P78" s="7">
        <v>2023</v>
      </c>
      <c r="Q78" s="21">
        <v>0</v>
      </c>
      <c r="R78" s="17" t="s">
        <v>1478</v>
      </c>
      <c r="S78" s="7">
        <v>2023</v>
      </c>
      <c r="T78" s="21">
        <v>50</v>
      </c>
      <c r="U78" s="17" t="s">
        <v>1479</v>
      </c>
      <c r="V78" s="7">
        <v>2023</v>
      </c>
      <c r="W78" s="21">
        <v>0</v>
      </c>
      <c r="X78" s="17" t="s">
        <v>1480</v>
      </c>
      <c r="Y78" s="7">
        <v>2023</v>
      </c>
      <c r="Z78" s="14">
        <v>50</v>
      </c>
      <c r="AA78" s="23" t="s">
        <v>1481</v>
      </c>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66.666666666666671</v>
      </c>
      <c r="C87" s="15"/>
      <c r="D87" s="7">
        <v>2020</v>
      </c>
      <c r="E87" s="21">
        <v>50</v>
      </c>
      <c r="F87" s="17"/>
      <c r="G87" s="7">
        <v>2020</v>
      </c>
      <c r="H87" s="31">
        <f t="shared" ref="H87:H90" si="7">AVERAGE(K87,N87,Q87,T87)</f>
        <v>50</v>
      </c>
      <c r="I87" s="14"/>
      <c r="J87" s="7">
        <v>2020</v>
      </c>
      <c r="K87" s="14">
        <v>50</v>
      </c>
      <c r="L87" s="17"/>
      <c r="M87" s="7">
        <v>2020</v>
      </c>
      <c r="N87" s="14">
        <v>50</v>
      </c>
      <c r="O87" s="17"/>
      <c r="P87" s="7">
        <v>2020</v>
      </c>
      <c r="Q87" s="21">
        <v>50</v>
      </c>
      <c r="R87" s="17"/>
      <c r="S87" s="7">
        <v>2020</v>
      </c>
      <c r="T87" s="14">
        <v>50</v>
      </c>
      <c r="U87" s="17"/>
      <c r="V87" s="7">
        <v>2020</v>
      </c>
      <c r="W87" s="14">
        <v>100</v>
      </c>
      <c r="X87" s="17"/>
      <c r="Y87" s="7">
        <v>2020</v>
      </c>
      <c r="Z87" s="14">
        <v>100</v>
      </c>
      <c r="AA87" s="17"/>
      <c r="AB87" s="7">
        <v>2020</v>
      </c>
      <c r="AC87" s="14">
        <v>100</v>
      </c>
      <c r="AD87" s="17"/>
      <c r="AE87" s="7">
        <v>2020</v>
      </c>
      <c r="AF87" s="14">
        <v>0</v>
      </c>
      <c r="AG87" s="23"/>
    </row>
    <row r="88" spans="1:51" ht="24.75" customHeight="1">
      <c r="A88" s="7">
        <v>2021</v>
      </c>
      <c r="B88" s="15">
        <f>AVERAGE(E88,H88, W88,((Z88+AC88+AF88)/3))</f>
        <v>66.666666666666671</v>
      </c>
      <c r="C88" s="15"/>
      <c r="D88" s="7">
        <v>2021</v>
      </c>
      <c r="E88" s="21">
        <v>50</v>
      </c>
      <c r="F88" s="17"/>
      <c r="G88" s="7">
        <v>2021</v>
      </c>
      <c r="H88" s="31">
        <f t="shared" si="7"/>
        <v>50</v>
      </c>
      <c r="I88" s="14"/>
      <c r="J88" s="7">
        <v>2021</v>
      </c>
      <c r="K88" s="14">
        <v>50</v>
      </c>
      <c r="L88" s="17"/>
      <c r="M88" s="7">
        <v>2021</v>
      </c>
      <c r="N88" s="14">
        <v>50</v>
      </c>
      <c r="O88" s="17"/>
      <c r="P88" s="7">
        <v>2021</v>
      </c>
      <c r="Q88" s="21">
        <v>50</v>
      </c>
      <c r="R88" s="17"/>
      <c r="S88" s="7">
        <v>2021</v>
      </c>
      <c r="T88" s="14">
        <v>50</v>
      </c>
      <c r="U88" s="17"/>
      <c r="V88" s="7">
        <v>2021</v>
      </c>
      <c r="W88" s="14">
        <v>100</v>
      </c>
      <c r="X88" s="17"/>
      <c r="Y88" s="7">
        <v>2021</v>
      </c>
      <c r="Z88" s="14">
        <v>100</v>
      </c>
      <c r="AA88" s="17"/>
      <c r="AB88" s="7">
        <v>2021</v>
      </c>
      <c r="AC88" s="14">
        <v>100</v>
      </c>
      <c r="AD88" s="17"/>
      <c r="AE88" s="7">
        <v>2021</v>
      </c>
      <c r="AF88" s="14">
        <v>0</v>
      </c>
      <c r="AG88" s="23"/>
    </row>
    <row r="89" spans="1:51" ht="24.75" customHeight="1">
      <c r="A89" s="7">
        <v>2022</v>
      </c>
      <c r="B89" s="15">
        <f>AVERAGE(E89,H89, W89,((Z89+AC89+AF89)/3))</f>
        <v>66.666666666666671</v>
      </c>
      <c r="C89" s="15"/>
      <c r="D89" s="7">
        <v>2022</v>
      </c>
      <c r="E89" s="21">
        <v>50</v>
      </c>
      <c r="F89" s="17"/>
      <c r="G89" s="7">
        <v>2022</v>
      </c>
      <c r="H89" s="31">
        <f t="shared" si="7"/>
        <v>50</v>
      </c>
      <c r="I89" s="14"/>
      <c r="J89" s="7">
        <v>2022</v>
      </c>
      <c r="K89" s="14">
        <v>50</v>
      </c>
      <c r="L89" s="17"/>
      <c r="M89" s="7">
        <v>2022</v>
      </c>
      <c r="N89" s="14">
        <v>50</v>
      </c>
      <c r="O89" s="17"/>
      <c r="P89" s="7">
        <v>2022</v>
      </c>
      <c r="Q89" s="21">
        <v>50</v>
      </c>
      <c r="R89" s="17"/>
      <c r="S89" s="7">
        <v>2022</v>
      </c>
      <c r="T89" s="14">
        <v>50</v>
      </c>
      <c r="U89" s="153" t="s">
        <v>1482</v>
      </c>
      <c r="V89" s="7">
        <v>2022</v>
      </c>
      <c r="W89" s="14">
        <v>100</v>
      </c>
      <c r="X89" s="17"/>
      <c r="Y89" s="7">
        <v>2022</v>
      </c>
      <c r="Z89" s="14">
        <v>100</v>
      </c>
      <c r="AA89" s="17"/>
      <c r="AB89" s="7">
        <v>2022</v>
      </c>
      <c r="AC89" s="14">
        <v>100</v>
      </c>
      <c r="AD89" s="17"/>
      <c r="AE89" s="7">
        <v>2022</v>
      </c>
      <c r="AF89" s="14">
        <v>0</v>
      </c>
      <c r="AG89" s="23"/>
    </row>
    <row r="90" spans="1:51" ht="24.75" customHeight="1">
      <c r="A90" s="7">
        <v>2023</v>
      </c>
      <c r="B90" s="15">
        <f>AVERAGE(E90,H90, W90,((Z90+AC90+AF90)/3))</f>
        <v>66.666666666666671</v>
      </c>
      <c r="C90" s="15"/>
      <c r="D90" s="7">
        <v>2023</v>
      </c>
      <c r="E90" s="21">
        <v>50</v>
      </c>
      <c r="F90" s="17" t="s">
        <v>1483</v>
      </c>
      <c r="G90" s="7">
        <v>2023</v>
      </c>
      <c r="H90" s="31">
        <f t="shared" si="7"/>
        <v>50</v>
      </c>
      <c r="I90" s="14"/>
      <c r="J90" s="7">
        <v>2023</v>
      </c>
      <c r="K90" s="14">
        <v>50</v>
      </c>
      <c r="L90" s="17" t="s">
        <v>1484</v>
      </c>
      <c r="M90" s="7">
        <v>2023</v>
      </c>
      <c r="N90" s="14">
        <v>50</v>
      </c>
      <c r="O90" s="17" t="s">
        <v>1485</v>
      </c>
      <c r="P90" s="7">
        <v>2023</v>
      </c>
      <c r="Q90" s="21">
        <v>50</v>
      </c>
      <c r="R90" s="17" t="s">
        <v>1486</v>
      </c>
      <c r="S90" s="7">
        <v>2023</v>
      </c>
      <c r="T90" s="14">
        <v>50</v>
      </c>
      <c r="U90" s="17"/>
      <c r="V90" s="7">
        <v>2023</v>
      </c>
      <c r="W90" s="14">
        <v>100</v>
      </c>
      <c r="X90" s="17" t="s">
        <v>1487</v>
      </c>
      <c r="Y90" s="7">
        <v>2023</v>
      </c>
      <c r="Z90" s="14">
        <v>100</v>
      </c>
      <c r="AA90" s="17" t="s">
        <v>1488</v>
      </c>
      <c r="AB90" s="7">
        <v>2023</v>
      </c>
      <c r="AC90" s="14">
        <v>100</v>
      </c>
      <c r="AD90" s="17" t="s">
        <v>1489</v>
      </c>
      <c r="AE90" s="7">
        <v>2023</v>
      </c>
      <c r="AF90" s="14">
        <v>0</v>
      </c>
      <c r="AG90" s="23"/>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25.041666666666668</v>
      </c>
      <c r="C99" s="43"/>
      <c r="D99" s="27">
        <v>2020</v>
      </c>
      <c r="E99" s="14">
        <v>50</v>
      </c>
      <c r="F99" s="23"/>
      <c r="G99" s="7">
        <v>2020</v>
      </c>
      <c r="H99" s="44">
        <v>50</v>
      </c>
      <c r="I99" s="23"/>
      <c r="J99" s="27">
        <v>2020</v>
      </c>
      <c r="K99" s="74">
        <v>100</v>
      </c>
      <c r="L99" s="23"/>
      <c r="M99" s="7">
        <v>2020</v>
      </c>
      <c r="N99" s="21">
        <v>50</v>
      </c>
      <c r="O99" s="23"/>
      <c r="P99" s="27">
        <v>2020</v>
      </c>
      <c r="Q99" s="14">
        <v>0</v>
      </c>
      <c r="R99" s="23"/>
      <c r="S99" s="7">
        <v>2020</v>
      </c>
      <c r="T99" s="21">
        <v>0</v>
      </c>
      <c r="U99" s="23"/>
      <c r="V99" s="7">
        <v>2020</v>
      </c>
      <c r="W99" s="14">
        <v>67</v>
      </c>
      <c r="X99" s="23"/>
      <c r="Y99" s="7">
        <v>2020</v>
      </c>
      <c r="Z99" s="14">
        <v>0</v>
      </c>
      <c r="AA99" s="23"/>
      <c r="AB99" s="7">
        <v>2020</v>
      </c>
      <c r="AC99" s="21">
        <v>50</v>
      </c>
      <c r="AD99" s="23"/>
      <c r="AE99" s="7">
        <v>2020</v>
      </c>
      <c r="AF99" s="14">
        <v>0</v>
      </c>
      <c r="AG99" s="23"/>
      <c r="AH99" s="7">
        <v>2020</v>
      </c>
      <c r="AI99" s="21">
        <v>0</v>
      </c>
      <c r="AJ99" s="23"/>
      <c r="AK99" s="7">
        <v>2020</v>
      </c>
      <c r="AL99" s="21">
        <v>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25.041666666666668</v>
      </c>
      <c r="C100" s="49"/>
      <c r="D100" s="27">
        <v>2021</v>
      </c>
      <c r="E100" s="14">
        <v>50</v>
      </c>
      <c r="F100" s="23"/>
      <c r="G100" s="7">
        <v>2021</v>
      </c>
      <c r="H100" s="44">
        <v>50</v>
      </c>
      <c r="I100" s="23"/>
      <c r="J100" s="27">
        <v>2021</v>
      </c>
      <c r="K100" s="74">
        <v>100</v>
      </c>
      <c r="L100" s="23"/>
      <c r="M100" s="7">
        <v>2021</v>
      </c>
      <c r="N100" s="21">
        <v>50</v>
      </c>
      <c r="O100" s="23"/>
      <c r="P100" s="27">
        <v>2021</v>
      </c>
      <c r="Q100" s="14">
        <v>0</v>
      </c>
      <c r="R100" s="23"/>
      <c r="S100" s="7">
        <v>2021</v>
      </c>
      <c r="T100" s="21">
        <v>0</v>
      </c>
      <c r="U100" s="23"/>
      <c r="V100" s="7">
        <v>2021</v>
      </c>
      <c r="W100" s="14">
        <v>67</v>
      </c>
      <c r="X100" s="23"/>
      <c r="Y100" s="7">
        <v>2021</v>
      </c>
      <c r="Z100" s="14">
        <v>0</v>
      </c>
      <c r="AA100" s="23"/>
      <c r="AB100" s="7">
        <v>2021</v>
      </c>
      <c r="AC100" s="21">
        <v>50</v>
      </c>
      <c r="AD100" s="23"/>
      <c r="AE100" s="7">
        <v>2021</v>
      </c>
      <c r="AF100" s="14">
        <v>0</v>
      </c>
      <c r="AG100" s="23"/>
      <c r="AH100" s="7">
        <v>2021</v>
      </c>
      <c r="AI100" s="21">
        <v>0</v>
      </c>
      <c r="AJ100" s="23"/>
      <c r="AK100" s="7">
        <v>2021</v>
      </c>
      <c r="AL100" s="21">
        <v>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25.041666666666668</v>
      </c>
      <c r="C101" s="49"/>
      <c r="D101" s="27">
        <v>2022</v>
      </c>
      <c r="E101" s="14">
        <v>50</v>
      </c>
      <c r="F101" s="23" t="s">
        <v>1490</v>
      </c>
      <c r="G101" s="27">
        <v>2022</v>
      </c>
      <c r="H101" s="44">
        <v>50</v>
      </c>
      <c r="I101" s="23"/>
      <c r="J101" s="27">
        <v>2022</v>
      </c>
      <c r="K101" s="74">
        <v>100</v>
      </c>
      <c r="L101" s="23"/>
      <c r="M101" s="27">
        <v>2022</v>
      </c>
      <c r="N101" s="21">
        <v>50</v>
      </c>
      <c r="O101" s="23"/>
      <c r="P101" s="27">
        <v>2022</v>
      </c>
      <c r="Q101" s="14">
        <v>0</v>
      </c>
      <c r="R101" s="23"/>
      <c r="S101" s="27">
        <v>2022</v>
      </c>
      <c r="T101" s="21">
        <v>0</v>
      </c>
      <c r="U101" s="23"/>
      <c r="V101" s="27">
        <v>2022</v>
      </c>
      <c r="W101" s="14">
        <v>67</v>
      </c>
      <c r="X101" s="23"/>
      <c r="Y101" s="27">
        <v>2022</v>
      </c>
      <c r="Z101" s="14">
        <v>0</v>
      </c>
      <c r="AA101" s="23"/>
      <c r="AB101" s="27">
        <v>2022</v>
      </c>
      <c r="AC101" s="21">
        <v>50</v>
      </c>
      <c r="AD101" s="23"/>
      <c r="AE101" s="27">
        <v>2022</v>
      </c>
      <c r="AF101" s="14">
        <v>0</v>
      </c>
      <c r="AG101" s="23"/>
      <c r="AH101" s="27">
        <v>2022</v>
      </c>
      <c r="AI101" s="21">
        <v>0</v>
      </c>
      <c r="AJ101" s="23"/>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25.041666666666668</v>
      </c>
      <c r="C102" s="49"/>
      <c r="D102" s="27">
        <v>2023</v>
      </c>
      <c r="E102" s="14">
        <v>50</v>
      </c>
      <c r="F102" s="23" t="s">
        <v>1491</v>
      </c>
      <c r="G102" s="27">
        <v>2023</v>
      </c>
      <c r="H102" s="44">
        <v>50</v>
      </c>
      <c r="I102" s="23" t="s">
        <v>1492</v>
      </c>
      <c r="J102" s="27">
        <v>2023</v>
      </c>
      <c r="K102" s="74">
        <v>100</v>
      </c>
      <c r="L102" s="153" t="s">
        <v>1493</v>
      </c>
      <c r="M102" s="27">
        <v>2023</v>
      </c>
      <c r="N102" s="21">
        <v>50</v>
      </c>
      <c r="O102" s="199" t="s">
        <v>1494</v>
      </c>
      <c r="P102" s="27">
        <v>2023</v>
      </c>
      <c r="Q102" s="14">
        <v>0</v>
      </c>
      <c r="R102" s="153" t="s">
        <v>1495</v>
      </c>
      <c r="S102" s="27">
        <v>2023</v>
      </c>
      <c r="T102" s="21">
        <v>0</v>
      </c>
      <c r="U102" s="153" t="s">
        <v>1496</v>
      </c>
      <c r="V102" s="27">
        <v>2023</v>
      </c>
      <c r="W102" s="14">
        <v>67</v>
      </c>
      <c r="X102" s="153" t="s">
        <v>1497</v>
      </c>
      <c r="Y102" s="27">
        <v>2023</v>
      </c>
      <c r="Z102" s="14">
        <v>0</v>
      </c>
      <c r="AA102" s="23"/>
      <c r="AB102" s="27">
        <v>2023</v>
      </c>
      <c r="AC102" s="21">
        <v>50</v>
      </c>
      <c r="AD102" s="153" t="s">
        <v>1498</v>
      </c>
      <c r="AE102" s="27">
        <v>2023</v>
      </c>
      <c r="AF102" s="14">
        <v>0</v>
      </c>
      <c r="AG102" s="153" t="s">
        <v>1499</v>
      </c>
      <c r="AH102" s="27">
        <v>2023</v>
      </c>
      <c r="AI102" s="21">
        <v>0</v>
      </c>
      <c r="AJ102" s="23"/>
      <c r="AK102" s="27">
        <v>2023</v>
      </c>
      <c r="AL102" s="21">
        <v>0</v>
      </c>
      <c r="AM102" s="23"/>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AAF3-D3EF-4BFC-8A81-62062F175AA1}">
  <sheetPr>
    <pageSetUpPr fitToPage="1"/>
  </sheetPr>
  <dimension ref="A1:CC111"/>
  <sheetViews>
    <sheetView topLeftCell="L9" zoomScale="61" zoomScaleNormal="61" workbookViewId="0">
      <selection activeCell="AG32" sqref="AG32"/>
    </sheetView>
  </sheetViews>
  <sheetFormatPr defaultColWidth="8.81640625" defaultRowHeight="15" customHeight="1"/>
  <cols>
    <col min="1" max="1" width="17.453125" style="1" customWidth="1"/>
    <col min="2" max="2" width="13.45312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81640625" style="1"/>
  </cols>
  <sheetData>
    <row r="1" spans="1:81" ht="26.4" customHeight="1">
      <c r="A1" s="323" t="s">
        <v>0</v>
      </c>
      <c r="B1" s="323"/>
      <c r="C1" s="323"/>
      <c r="D1" s="323"/>
    </row>
    <row r="2" spans="1:81" ht="45.65" customHeight="1">
      <c r="A2" s="2" t="s">
        <v>1</v>
      </c>
      <c r="B2" s="2" t="s">
        <v>2</v>
      </c>
      <c r="C2" s="2" t="s">
        <v>3</v>
      </c>
      <c r="D2" s="2" t="s">
        <v>4</v>
      </c>
    </row>
    <row r="3" spans="1:81" ht="15" customHeight="1">
      <c r="A3" s="3">
        <v>2020</v>
      </c>
      <c r="B3" s="16">
        <f>AVERAGE(B16,B29,B42,B55,B68,B81,B94,B107)</f>
        <v>48.367063492063487</v>
      </c>
      <c r="C3" s="16">
        <f>AVERAGE(B16,B29,B42,B55,B68,B81,B94)</f>
        <v>47.229024943310655</v>
      </c>
      <c r="D3" s="16">
        <f>AVERAGE(B16,B29,B55,B68,B81,B94)</f>
        <v>48.370370370370374</v>
      </c>
    </row>
    <row r="4" spans="1:81" ht="15" customHeight="1">
      <c r="A4" s="3">
        <v>2021</v>
      </c>
      <c r="B4" s="16">
        <f t="shared" ref="B4:B7" si="0">AVERAGE(B17,B30,B43,B56,B69,B82,B95,B108)</f>
        <v>48.367063492063487</v>
      </c>
      <c r="C4" s="16">
        <f t="shared" ref="C4:C7" si="1">AVERAGE(B17,B30,B43,B56,B69,B82,B95)</f>
        <v>47.229024943310655</v>
      </c>
      <c r="D4" s="16">
        <f t="shared" ref="D4:D7" si="2">AVERAGE(B17,B30,B56,B69,B82,B95)</f>
        <v>48.370370370370374</v>
      </c>
    </row>
    <row r="5" spans="1:81" ht="15" customHeight="1">
      <c r="A5" s="3">
        <v>2022</v>
      </c>
      <c r="B5" s="16">
        <f t="shared" si="0"/>
        <v>48.367063492063487</v>
      </c>
      <c r="C5" s="16">
        <f t="shared" si="1"/>
        <v>47.229024943310655</v>
      </c>
      <c r="D5" s="16">
        <f t="shared" si="2"/>
        <v>48.370370370370374</v>
      </c>
    </row>
    <row r="6" spans="1:81" ht="15" customHeight="1">
      <c r="A6" s="3">
        <v>2023</v>
      </c>
      <c r="B6" s="16">
        <f t="shared" si="0"/>
        <v>48.367063492063487</v>
      </c>
      <c r="C6" s="16">
        <f t="shared" si="1"/>
        <v>47.229024943310655</v>
      </c>
      <c r="D6" s="16">
        <f t="shared" si="2"/>
        <v>48.370370370370374</v>
      </c>
    </row>
    <row r="7" spans="1:81" ht="15" customHeight="1">
      <c r="A7" s="3">
        <v>2024</v>
      </c>
      <c r="B7" s="16">
        <f t="shared" si="0"/>
        <v>48.367063492063487</v>
      </c>
      <c r="C7" s="16">
        <f t="shared" si="1"/>
        <v>47.229024943310655</v>
      </c>
      <c r="D7" s="16">
        <f t="shared" si="2"/>
        <v>48.370370370370374</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3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3.4"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55" customHeight="1">
      <c r="A16" s="7">
        <v>2020</v>
      </c>
      <c r="B16" s="15">
        <f>AVERAGE(E16, H16,K16,N16,Q16,T16,W16,Z16,AC16)</f>
        <v>48.111111111111114</v>
      </c>
      <c r="C16" s="16"/>
      <c r="D16" s="7">
        <v>2020</v>
      </c>
      <c r="E16" s="33">
        <v>50</v>
      </c>
      <c r="F16" s="23" t="s">
        <v>1500</v>
      </c>
      <c r="G16" s="7">
        <v>2020</v>
      </c>
      <c r="H16" s="14">
        <v>100</v>
      </c>
      <c r="I16" s="17"/>
      <c r="J16" s="7">
        <v>2020</v>
      </c>
      <c r="K16" s="14">
        <v>100</v>
      </c>
      <c r="L16" s="17"/>
      <c r="M16" s="7">
        <v>2020</v>
      </c>
      <c r="N16" s="14">
        <v>0</v>
      </c>
      <c r="O16" s="17"/>
      <c r="P16" s="7">
        <v>2020</v>
      </c>
      <c r="Q16" s="14">
        <v>33</v>
      </c>
      <c r="R16" s="17"/>
      <c r="S16" s="7">
        <v>2020</v>
      </c>
      <c r="T16" s="80">
        <v>100</v>
      </c>
      <c r="U16" s="17"/>
      <c r="V16" s="7">
        <v>2020</v>
      </c>
      <c r="W16" s="14">
        <v>50</v>
      </c>
      <c r="X16" s="17"/>
      <c r="Y16" s="7">
        <v>2020</v>
      </c>
      <c r="Z16" s="14">
        <v>0</v>
      </c>
      <c r="AA16" s="17"/>
      <c r="AB16" s="7">
        <v>2020</v>
      </c>
      <c r="AC16" s="21">
        <v>0</v>
      </c>
      <c r="AD16" s="23"/>
    </row>
    <row r="17" spans="1:51" ht="24.75" customHeight="1">
      <c r="A17" s="7">
        <v>2021</v>
      </c>
      <c r="B17" s="15">
        <f t="shared" ref="B17:B20" si="3">AVERAGE(E17, H17,K17,N17,Q17,T17,W17,Z17,AC17)</f>
        <v>48.111111111111114</v>
      </c>
      <c r="C17" s="16"/>
      <c r="D17" s="7">
        <v>2021</v>
      </c>
      <c r="E17" s="33">
        <v>50</v>
      </c>
      <c r="F17" s="17"/>
      <c r="G17" s="7">
        <v>2021</v>
      </c>
      <c r="H17" s="14">
        <v>100</v>
      </c>
      <c r="I17" s="17"/>
      <c r="J17" s="7">
        <v>2021</v>
      </c>
      <c r="K17" s="14">
        <v>100</v>
      </c>
      <c r="L17" s="17"/>
      <c r="M17" s="7">
        <v>2021</v>
      </c>
      <c r="N17" s="14">
        <v>0</v>
      </c>
      <c r="O17" s="17"/>
      <c r="P17" s="7">
        <v>2021</v>
      </c>
      <c r="Q17" s="14">
        <v>33</v>
      </c>
      <c r="R17" s="17"/>
      <c r="S17" s="7">
        <v>2021</v>
      </c>
      <c r="T17" s="80">
        <v>100</v>
      </c>
      <c r="U17" s="17"/>
      <c r="V17" s="7">
        <v>2021</v>
      </c>
      <c r="W17" s="14">
        <v>50</v>
      </c>
      <c r="X17" s="17"/>
      <c r="Y17" s="7">
        <v>2021</v>
      </c>
      <c r="Z17" s="14">
        <v>0</v>
      </c>
      <c r="AA17" s="17" t="s">
        <v>1501</v>
      </c>
      <c r="AB17" s="7">
        <v>2021</v>
      </c>
      <c r="AC17" s="21">
        <v>0</v>
      </c>
      <c r="AD17" s="23"/>
    </row>
    <row r="18" spans="1:51" ht="24.75" customHeight="1">
      <c r="A18" s="7">
        <v>2022</v>
      </c>
      <c r="B18" s="15">
        <f t="shared" si="3"/>
        <v>48.111111111111114</v>
      </c>
      <c r="C18" s="16"/>
      <c r="D18" s="7">
        <v>2022</v>
      </c>
      <c r="E18" s="33">
        <v>50</v>
      </c>
      <c r="F18" s="17"/>
      <c r="G18" s="7">
        <v>2022</v>
      </c>
      <c r="H18" s="14">
        <v>100</v>
      </c>
      <c r="I18" s="17"/>
      <c r="J18" s="7">
        <v>2022</v>
      </c>
      <c r="K18" s="14">
        <v>100</v>
      </c>
      <c r="L18" s="17"/>
      <c r="M18" s="7">
        <v>2022</v>
      </c>
      <c r="N18" s="14">
        <v>0</v>
      </c>
      <c r="O18" s="17"/>
      <c r="P18" s="7">
        <v>2022</v>
      </c>
      <c r="Q18" s="14">
        <v>33</v>
      </c>
      <c r="R18" s="17"/>
      <c r="S18" s="7">
        <v>2022</v>
      </c>
      <c r="T18" s="80">
        <v>100</v>
      </c>
      <c r="U18" s="17"/>
      <c r="V18" s="7">
        <v>2022</v>
      </c>
      <c r="W18" s="14">
        <v>50</v>
      </c>
      <c r="X18" s="17"/>
      <c r="Y18" s="7">
        <v>2022</v>
      </c>
      <c r="Z18" s="14">
        <v>0</v>
      </c>
      <c r="AA18" s="23" t="s">
        <v>1502</v>
      </c>
      <c r="AB18" s="7">
        <v>2022</v>
      </c>
      <c r="AC18" s="21">
        <v>0</v>
      </c>
      <c r="AD18" s="23"/>
    </row>
    <row r="19" spans="1:51" ht="24.75" customHeight="1">
      <c r="A19" s="7">
        <v>2023</v>
      </c>
      <c r="B19" s="15">
        <f t="shared" si="3"/>
        <v>48.111111111111114</v>
      </c>
      <c r="C19" s="16"/>
      <c r="D19" s="7">
        <v>2023</v>
      </c>
      <c r="E19" s="33">
        <v>50</v>
      </c>
      <c r="F19" s="17"/>
      <c r="G19" s="7">
        <v>2023</v>
      </c>
      <c r="H19" s="14">
        <v>100</v>
      </c>
      <c r="I19" s="17"/>
      <c r="J19" s="7">
        <v>2023</v>
      </c>
      <c r="K19" s="14">
        <v>100</v>
      </c>
      <c r="L19" s="17"/>
      <c r="M19" s="7">
        <v>2023</v>
      </c>
      <c r="N19" s="14">
        <v>0</v>
      </c>
      <c r="O19" s="17"/>
      <c r="P19" s="7">
        <v>2023</v>
      </c>
      <c r="Q19" s="14">
        <v>33</v>
      </c>
      <c r="R19" s="17"/>
      <c r="S19" s="7">
        <v>2023</v>
      </c>
      <c r="T19" s="80">
        <v>100</v>
      </c>
      <c r="U19" s="17"/>
      <c r="V19" s="7">
        <v>2023</v>
      </c>
      <c r="W19" s="14">
        <v>50</v>
      </c>
      <c r="X19" s="17"/>
      <c r="Y19" s="7">
        <v>2023</v>
      </c>
      <c r="Z19" s="14">
        <v>0</v>
      </c>
      <c r="AA19" s="17"/>
      <c r="AB19" s="7">
        <v>2023</v>
      </c>
      <c r="AC19" s="21">
        <v>0</v>
      </c>
      <c r="AD19" s="23"/>
    </row>
    <row r="20" spans="1:51" ht="24.75" customHeight="1">
      <c r="A20" s="7">
        <v>2024</v>
      </c>
      <c r="B20" s="15">
        <f t="shared" si="3"/>
        <v>48.111111111111114</v>
      </c>
      <c r="C20" s="16"/>
      <c r="D20" s="7">
        <v>2024</v>
      </c>
      <c r="E20" s="33">
        <v>50</v>
      </c>
      <c r="F20" s="17"/>
      <c r="G20" s="7">
        <v>2024</v>
      </c>
      <c r="H20" s="14">
        <v>100</v>
      </c>
      <c r="I20" s="17"/>
      <c r="J20" s="7">
        <v>2024</v>
      </c>
      <c r="K20" s="14">
        <v>100</v>
      </c>
      <c r="L20" s="17"/>
      <c r="M20" s="7">
        <v>2024</v>
      </c>
      <c r="N20" s="14">
        <v>0</v>
      </c>
      <c r="O20" s="17"/>
      <c r="P20" s="7">
        <v>2024</v>
      </c>
      <c r="Q20" s="14">
        <v>33</v>
      </c>
      <c r="R20" s="17"/>
      <c r="S20" s="7">
        <v>2024</v>
      </c>
      <c r="T20" s="80">
        <v>100</v>
      </c>
      <c r="U20" s="17"/>
      <c r="V20" s="7">
        <v>2024</v>
      </c>
      <c r="W20" s="14">
        <v>50</v>
      </c>
      <c r="X20" s="17"/>
      <c r="Y20" s="7">
        <v>2024</v>
      </c>
      <c r="Z20" s="14">
        <v>0</v>
      </c>
      <c r="AA20" s="17"/>
      <c r="AB20" s="7">
        <v>2024</v>
      </c>
      <c r="AC20" s="21">
        <v>0</v>
      </c>
      <c r="AD20" s="23"/>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325"/>
      <c r="L26" s="325"/>
      <c r="M26" s="27" t="s">
        <v>30</v>
      </c>
      <c r="N26" s="325" t="s">
        <v>96</v>
      </c>
      <c r="O26" s="325"/>
      <c r="P26" s="27" t="s">
        <v>30</v>
      </c>
      <c r="Q26" s="325" t="s">
        <v>97</v>
      </c>
      <c r="R26" s="325"/>
      <c r="S26" s="27" t="s">
        <v>30</v>
      </c>
      <c r="T26" s="325" t="s">
        <v>616</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429</v>
      </c>
      <c r="L27" s="325"/>
      <c r="M27" s="27" t="s">
        <v>41</v>
      </c>
      <c r="N27" s="325" t="s">
        <v>109</v>
      </c>
      <c r="O27" s="325"/>
      <c r="P27" s="27" t="s">
        <v>41</v>
      </c>
      <c r="Q27" s="325" t="s">
        <v>110</v>
      </c>
      <c r="R27" s="325"/>
      <c r="S27" s="27" t="s">
        <v>41</v>
      </c>
      <c r="T27" s="329" t="s">
        <v>429</v>
      </c>
      <c r="U27" s="325"/>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34" customHeight="1">
      <c r="A29" s="7">
        <v>2020</v>
      </c>
      <c r="B29" s="15">
        <f>AVERAGE(E29,H29,K29,T29,AF29,AO29,AU29,AX29,AR29)</f>
        <v>36.277777777777779</v>
      </c>
      <c r="C29" s="16"/>
      <c r="D29" s="7">
        <v>2020</v>
      </c>
      <c r="E29" s="21">
        <v>0</v>
      </c>
      <c r="F29" s="23" t="s">
        <v>1503</v>
      </c>
      <c r="G29" s="7">
        <v>2020</v>
      </c>
      <c r="H29" s="14">
        <v>0</v>
      </c>
      <c r="I29" s="17"/>
      <c r="J29" s="7">
        <v>2020</v>
      </c>
      <c r="K29" s="14">
        <v>100</v>
      </c>
      <c r="L29" s="17"/>
      <c r="M29" s="7">
        <v>2020</v>
      </c>
      <c r="N29" s="14">
        <v>100</v>
      </c>
      <c r="O29" s="17"/>
      <c r="P29" s="7">
        <v>2020</v>
      </c>
      <c r="Q29" s="14">
        <v>100</v>
      </c>
      <c r="R29" s="17"/>
      <c r="S29" s="7">
        <v>2020</v>
      </c>
      <c r="T29" s="200">
        <v>60</v>
      </c>
      <c r="U29" s="201"/>
      <c r="V29" s="7">
        <v>2020</v>
      </c>
      <c r="W29" s="202">
        <v>0</v>
      </c>
      <c r="X29" s="203" t="s">
        <v>1504</v>
      </c>
      <c r="Y29" s="7">
        <v>2020</v>
      </c>
      <c r="Z29" s="14">
        <v>0</v>
      </c>
      <c r="AA29" s="378" t="s">
        <v>1505</v>
      </c>
      <c r="AB29" s="7">
        <v>2020</v>
      </c>
      <c r="AC29" s="200">
        <v>100</v>
      </c>
      <c r="AD29" s="17"/>
      <c r="AE29" s="7">
        <v>2020</v>
      </c>
      <c r="AF29" s="31">
        <f>0.67*AI29+0.33*AL29</f>
        <v>16.5</v>
      </c>
      <c r="AG29" s="17"/>
      <c r="AH29" s="7">
        <v>2020</v>
      </c>
      <c r="AI29" s="14">
        <v>0</v>
      </c>
      <c r="AJ29" s="17"/>
      <c r="AK29" s="7">
        <v>2020</v>
      </c>
      <c r="AL29" s="14">
        <v>50</v>
      </c>
      <c r="AM29" s="23" t="s">
        <v>1506</v>
      </c>
      <c r="AN29" s="7">
        <v>2020</v>
      </c>
      <c r="AO29" s="14">
        <v>50</v>
      </c>
      <c r="AP29" s="153" t="s">
        <v>1507</v>
      </c>
      <c r="AQ29" s="7">
        <v>2020</v>
      </c>
      <c r="AR29" s="14">
        <v>0</v>
      </c>
      <c r="AS29" s="153" t="s">
        <v>1508</v>
      </c>
      <c r="AT29" s="7">
        <v>2020</v>
      </c>
      <c r="AU29" s="14">
        <v>50</v>
      </c>
      <c r="AV29" s="17" t="s">
        <v>1509</v>
      </c>
      <c r="AW29" s="7">
        <v>2020</v>
      </c>
      <c r="AX29" s="14">
        <v>50</v>
      </c>
      <c r="AY29" s="153" t="s">
        <v>1510</v>
      </c>
    </row>
    <row r="30" spans="1:51" ht="24.75" customHeight="1">
      <c r="A30" s="7">
        <v>2021</v>
      </c>
      <c r="B30" s="15">
        <f>AVERAGE(E30,H30,K30,T30,AF30,AO30,AU30,AX30,AR30)</f>
        <v>36.277777777777779</v>
      </c>
      <c r="C30" s="15"/>
      <c r="D30" s="7">
        <v>2021</v>
      </c>
      <c r="E30" s="21">
        <v>0</v>
      </c>
      <c r="F30" s="17"/>
      <c r="G30" s="7">
        <v>2021</v>
      </c>
      <c r="H30" s="14">
        <v>0</v>
      </c>
      <c r="I30" s="17"/>
      <c r="J30" s="7">
        <v>2021</v>
      </c>
      <c r="K30" s="14">
        <v>100</v>
      </c>
      <c r="L30" s="17"/>
      <c r="M30" s="7">
        <v>2021</v>
      </c>
      <c r="N30" s="14">
        <v>100</v>
      </c>
      <c r="O30" s="17"/>
      <c r="P30" s="7">
        <v>2021</v>
      </c>
      <c r="Q30" s="14">
        <v>100</v>
      </c>
      <c r="R30" s="17"/>
      <c r="S30" s="7">
        <v>2021</v>
      </c>
      <c r="T30" s="200">
        <v>60</v>
      </c>
      <c r="U30" s="201"/>
      <c r="V30" s="7">
        <v>2021</v>
      </c>
      <c r="W30" s="202">
        <v>0</v>
      </c>
      <c r="X30" s="200"/>
      <c r="Y30" s="7">
        <v>2021</v>
      </c>
      <c r="Z30" s="14">
        <v>0</v>
      </c>
      <c r="AA30" s="379"/>
      <c r="AB30" s="7">
        <v>2021</v>
      </c>
      <c r="AC30" s="200">
        <v>100</v>
      </c>
      <c r="AD30" s="17"/>
      <c r="AE30" s="7">
        <v>2021</v>
      </c>
      <c r="AF30" s="31">
        <f t="shared" ref="AF30:AF33" si="4">0.67*AI30+0.33*AL30</f>
        <v>16.5</v>
      </c>
      <c r="AG30" s="17"/>
      <c r="AH30" s="7">
        <v>2021</v>
      </c>
      <c r="AI30" s="14">
        <v>0</v>
      </c>
      <c r="AJ30" s="17"/>
      <c r="AK30" s="7">
        <v>2021</v>
      </c>
      <c r="AL30" s="14">
        <v>50</v>
      </c>
      <c r="AM30" s="17"/>
      <c r="AN30" s="7">
        <v>2021</v>
      </c>
      <c r="AO30" s="14">
        <v>50</v>
      </c>
      <c r="AP30" s="17"/>
      <c r="AQ30" s="7">
        <v>2021</v>
      </c>
      <c r="AR30" s="14">
        <v>0</v>
      </c>
      <c r="AS30" s="17"/>
      <c r="AT30" s="7">
        <v>2021</v>
      </c>
      <c r="AU30" s="14">
        <v>50</v>
      </c>
      <c r="AV30" s="17"/>
      <c r="AW30" s="7">
        <v>2021</v>
      </c>
      <c r="AX30" s="14">
        <v>50</v>
      </c>
      <c r="AY30" s="23"/>
    </row>
    <row r="31" spans="1:51" ht="24.75" customHeight="1">
      <c r="A31" s="7">
        <v>2022</v>
      </c>
      <c r="B31" s="15">
        <f>AVERAGE(E31,H31,K31,T31,AF31,AO31,AU31,AX31,AR31)</f>
        <v>36.277777777777779</v>
      </c>
      <c r="C31" s="15"/>
      <c r="D31" s="7">
        <v>2022</v>
      </c>
      <c r="E31" s="21">
        <v>0</v>
      </c>
      <c r="F31" s="17"/>
      <c r="G31" s="7">
        <v>2022</v>
      </c>
      <c r="H31" s="14">
        <v>0</v>
      </c>
      <c r="I31" s="17"/>
      <c r="J31" s="7">
        <v>2022</v>
      </c>
      <c r="K31" s="14">
        <v>100</v>
      </c>
      <c r="L31" s="17"/>
      <c r="M31" s="7">
        <v>2022</v>
      </c>
      <c r="N31" s="14">
        <v>100</v>
      </c>
      <c r="O31" s="17"/>
      <c r="P31" s="7">
        <v>2022</v>
      </c>
      <c r="Q31" s="14">
        <v>100</v>
      </c>
      <c r="R31" s="17"/>
      <c r="S31" s="7">
        <v>2022</v>
      </c>
      <c r="T31" s="200">
        <v>60</v>
      </c>
      <c r="U31" s="201"/>
      <c r="V31" s="7">
        <v>2022</v>
      </c>
      <c r="W31" s="202">
        <v>0</v>
      </c>
      <c r="X31" s="201"/>
      <c r="Y31" s="7">
        <v>2022</v>
      </c>
      <c r="Z31" s="14">
        <v>0</v>
      </c>
      <c r="AA31" s="379"/>
      <c r="AB31" s="7">
        <v>2022</v>
      </c>
      <c r="AC31" s="200">
        <v>100</v>
      </c>
      <c r="AD31" s="17"/>
      <c r="AE31" s="7">
        <v>2022</v>
      </c>
      <c r="AF31" s="31">
        <f t="shared" si="4"/>
        <v>16.5</v>
      </c>
      <c r="AG31" s="17"/>
      <c r="AH31" s="7">
        <v>2022</v>
      </c>
      <c r="AI31" s="14">
        <v>0</v>
      </c>
      <c r="AJ31" s="17"/>
      <c r="AK31" s="7">
        <v>2022</v>
      </c>
      <c r="AL31" s="14">
        <v>50</v>
      </c>
      <c r="AM31" s="17"/>
      <c r="AN31" s="7">
        <v>2022</v>
      </c>
      <c r="AO31" s="14">
        <v>50</v>
      </c>
      <c r="AP31" s="17"/>
      <c r="AQ31" s="7">
        <v>2022</v>
      </c>
      <c r="AR31" s="14">
        <v>0</v>
      </c>
      <c r="AS31" s="17"/>
      <c r="AT31" s="7">
        <v>2022</v>
      </c>
      <c r="AU31" s="14">
        <v>50</v>
      </c>
      <c r="AV31" s="17"/>
      <c r="AW31" s="7">
        <v>2022</v>
      </c>
      <c r="AX31" s="14">
        <v>50</v>
      </c>
      <c r="AY31" s="23"/>
    </row>
    <row r="32" spans="1:51" ht="24.75" customHeight="1">
      <c r="A32" s="7">
        <v>2023</v>
      </c>
      <c r="B32" s="15">
        <f>AVERAGE(E32,H32,K32,T32,AF32,AO32,AU32,AX32,AR32)</f>
        <v>36.277777777777779</v>
      </c>
      <c r="C32" s="15"/>
      <c r="D32" s="7">
        <v>2023</v>
      </c>
      <c r="E32" s="21">
        <v>0</v>
      </c>
      <c r="F32" s="17"/>
      <c r="G32" s="7">
        <v>2023</v>
      </c>
      <c r="H32" s="14">
        <v>0</v>
      </c>
      <c r="I32" s="17"/>
      <c r="J32" s="7">
        <v>2023</v>
      </c>
      <c r="K32" s="14">
        <v>100</v>
      </c>
      <c r="L32" s="17"/>
      <c r="M32" s="7">
        <v>2023</v>
      </c>
      <c r="N32" s="14">
        <v>100</v>
      </c>
      <c r="O32" s="17"/>
      <c r="P32" s="7">
        <v>2023</v>
      </c>
      <c r="Q32" s="14">
        <v>100</v>
      </c>
      <c r="R32" s="17"/>
      <c r="S32" s="7">
        <v>2023</v>
      </c>
      <c r="T32" s="200">
        <v>60</v>
      </c>
      <c r="U32" s="201"/>
      <c r="V32" s="7">
        <v>2023</v>
      </c>
      <c r="W32" s="202">
        <v>0</v>
      </c>
      <c r="X32" s="201"/>
      <c r="Y32" s="7">
        <v>2023</v>
      </c>
      <c r="Z32" s="14">
        <v>0</v>
      </c>
      <c r="AA32" s="379"/>
      <c r="AB32" s="7">
        <v>2023</v>
      </c>
      <c r="AC32" s="200">
        <v>100</v>
      </c>
      <c r="AD32" s="17"/>
      <c r="AE32" s="7">
        <v>2023</v>
      </c>
      <c r="AF32" s="31">
        <f t="shared" si="4"/>
        <v>16.5</v>
      </c>
      <c r="AG32" s="17"/>
      <c r="AH32" s="7">
        <v>2023</v>
      </c>
      <c r="AI32" s="14">
        <v>0</v>
      </c>
      <c r="AJ32" s="17"/>
      <c r="AK32" s="7">
        <v>2023</v>
      </c>
      <c r="AL32" s="14">
        <v>50</v>
      </c>
      <c r="AM32" s="17"/>
      <c r="AN32" s="7">
        <v>2023</v>
      </c>
      <c r="AO32" s="14">
        <v>50</v>
      </c>
      <c r="AP32" s="17"/>
      <c r="AQ32" s="7">
        <v>2023</v>
      </c>
      <c r="AR32" s="14">
        <v>0</v>
      </c>
      <c r="AS32" s="17"/>
      <c r="AT32" s="7">
        <v>2023</v>
      </c>
      <c r="AU32" s="14">
        <v>50</v>
      </c>
      <c r="AV32" s="17"/>
      <c r="AW32" s="7">
        <v>2023</v>
      </c>
      <c r="AX32" s="14">
        <v>50</v>
      </c>
      <c r="AY32" s="23"/>
    </row>
    <row r="33" spans="1:51" ht="24.75" customHeight="1">
      <c r="A33" s="7">
        <v>2024</v>
      </c>
      <c r="B33" s="15">
        <f>AVERAGE(E33,H33,K33,T33,AF33,AO33,AU33,AX33,AR33)</f>
        <v>36.277777777777779</v>
      </c>
      <c r="C33" s="15"/>
      <c r="D33" s="7">
        <v>2024</v>
      </c>
      <c r="E33" s="21">
        <v>0</v>
      </c>
      <c r="F33" s="17"/>
      <c r="G33" s="7">
        <v>2024</v>
      </c>
      <c r="H33" s="14">
        <v>0</v>
      </c>
      <c r="I33" s="17"/>
      <c r="J33" s="7">
        <v>2024</v>
      </c>
      <c r="K33" s="14">
        <v>100</v>
      </c>
      <c r="L33" s="17"/>
      <c r="M33" s="7">
        <v>2024</v>
      </c>
      <c r="N33" s="14">
        <v>100</v>
      </c>
      <c r="O33" s="17"/>
      <c r="P33" s="7">
        <v>2024</v>
      </c>
      <c r="Q33" s="14">
        <v>100</v>
      </c>
      <c r="R33" s="17"/>
      <c r="S33" s="7">
        <v>2024</v>
      </c>
      <c r="T33" s="200">
        <v>60</v>
      </c>
      <c r="U33" s="201"/>
      <c r="V33" s="7">
        <v>2024</v>
      </c>
      <c r="W33" s="202">
        <v>0</v>
      </c>
      <c r="X33" s="201"/>
      <c r="Y33" s="7">
        <v>2024</v>
      </c>
      <c r="Z33" s="14">
        <v>0</v>
      </c>
      <c r="AA33" s="380"/>
      <c r="AB33" s="7">
        <v>2024</v>
      </c>
      <c r="AC33" s="200">
        <v>100</v>
      </c>
      <c r="AD33" s="17"/>
      <c r="AE33" s="7">
        <v>2024</v>
      </c>
      <c r="AF33" s="31">
        <f t="shared" si="4"/>
        <v>16.5</v>
      </c>
      <c r="AG33" s="17"/>
      <c r="AH33" s="7">
        <v>2024</v>
      </c>
      <c r="AI33" s="14">
        <v>0</v>
      </c>
      <c r="AJ33" s="17"/>
      <c r="AK33" s="7">
        <v>2024</v>
      </c>
      <c r="AL33" s="14">
        <v>50</v>
      </c>
      <c r="AM33" s="17"/>
      <c r="AN33" s="7">
        <v>2024</v>
      </c>
      <c r="AO33" s="14">
        <v>50</v>
      </c>
      <c r="AP33" s="17"/>
      <c r="AQ33" s="7">
        <v>2024</v>
      </c>
      <c r="AR33" s="14">
        <v>0</v>
      </c>
      <c r="AS33" s="17"/>
      <c r="AT33" s="7">
        <v>2024</v>
      </c>
      <c r="AU33" s="14">
        <v>50</v>
      </c>
      <c r="AV33" s="17"/>
      <c r="AW33" s="7">
        <v>2024</v>
      </c>
      <c r="AX33" s="14">
        <v>50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297" t="s">
        <v>172</v>
      </c>
      <c r="AG39" s="298"/>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205">
        <f>AVERAGE(E42,H42,K42,N42,Z42,AC42,AF42)</f>
        <v>40.380952380952372</v>
      </c>
      <c r="C42" s="16"/>
      <c r="D42" s="7">
        <v>2020</v>
      </c>
      <c r="E42" s="33">
        <v>33</v>
      </c>
      <c r="F42" s="17"/>
      <c r="G42" s="7">
        <v>2020</v>
      </c>
      <c r="H42" s="14">
        <v>0</v>
      </c>
      <c r="I42" s="17"/>
      <c r="J42" s="7">
        <v>2020</v>
      </c>
      <c r="K42" s="14">
        <v>100</v>
      </c>
      <c r="L42" s="81" t="s">
        <v>1511</v>
      </c>
      <c r="M42" s="7">
        <v>2020</v>
      </c>
      <c r="N42" s="31">
        <f>AVERAGE(Q42,T42,W42)</f>
        <v>16.666666666666668</v>
      </c>
      <c r="O42" s="14"/>
      <c r="P42" s="7">
        <v>2020</v>
      </c>
      <c r="Q42" s="14">
        <v>50</v>
      </c>
      <c r="R42" s="17"/>
      <c r="S42" s="7">
        <v>2020</v>
      </c>
      <c r="T42" s="14">
        <v>0</v>
      </c>
      <c r="U42" s="81" t="s">
        <v>1512</v>
      </c>
      <c r="V42" s="7">
        <v>2020</v>
      </c>
      <c r="W42" s="33">
        <v>0</v>
      </c>
      <c r="X42" s="17"/>
      <c r="Y42" s="7">
        <v>2020</v>
      </c>
      <c r="Z42" s="14">
        <v>50</v>
      </c>
      <c r="AA42" s="17"/>
      <c r="AB42" s="7">
        <v>2020</v>
      </c>
      <c r="AC42" s="14">
        <v>50</v>
      </c>
      <c r="AD42" s="17"/>
      <c r="AE42" s="7">
        <v>2020</v>
      </c>
      <c r="AF42" s="33">
        <v>33</v>
      </c>
      <c r="AG42" s="14"/>
      <c r="AH42" s="7">
        <v>2020</v>
      </c>
      <c r="AI42" s="21">
        <v>0</v>
      </c>
      <c r="AJ42" s="17"/>
      <c r="AK42" s="7">
        <v>2020</v>
      </c>
      <c r="AL42" s="14">
        <v>50</v>
      </c>
      <c r="AM42" s="23"/>
    </row>
    <row r="43" spans="1:51" ht="24.75" customHeight="1">
      <c r="A43" s="7">
        <v>2021</v>
      </c>
      <c r="B43" s="205">
        <f>AVERAGE(E43,H43,K43,N43,Z43,AC43,AF43)</f>
        <v>40.380952380952372</v>
      </c>
      <c r="C43" s="16"/>
      <c r="D43" s="7">
        <v>2021</v>
      </c>
      <c r="E43" s="33">
        <v>33</v>
      </c>
      <c r="F43" s="17"/>
      <c r="G43" s="7">
        <v>2021</v>
      </c>
      <c r="H43" s="14">
        <v>0</v>
      </c>
      <c r="I43" s="17"/>
      <c r="J43" s="7">
        <v>2021</v>
      </c>
      <c r="K43" s="14">
        <v>100</v>
      </c>
      <c r="L43" s="17"/>
      <c r="M43" s="7">
        <v>2021</v>
      </c>
      <c r="N43" s="31">
        <f t="shared" ref="N43:N46" si="5">AVERAGE(Q43,T43,W43)</f>
        <v>16.666666666666668</v>
      </c>
      <c r="O43" s="14"/>
      <c r="P43" s="7">
        <v>2021</v>
      </c>
      <c r="Q43" s="14">
        <v>50</v>
      </c>
      <c r="R43" s="17"/>
      <c r="S43" s="7">
        <v>2021</v>
      </c>
      <c r="T43" s="14">
        <v>0</v>
      </c>
      <c r="U43" s="17"/>
      <c r="V43" s="7">
        <v>2021</v>
      </c>
      <c r="W43" s="33">
        <v>0</v>
      </c>
      <c r="X43" s="17"/>
      <c r="Y43" s="7">
        <v>2021</v>
      </c>
      <c r="Z43" s="14">
        <v>50</v>
      </c>
      <c r="AA43" s="17"/>
      <c r="AB43" s="7">
        <v>2021</v>
      </c>
      <c r="AC43" s="14">
        <v>50</v>
      </c>
      <c r="AD43" s="17" t="s">
        <v>1513</v>
      </c>
      <c r="AE43" s="7">
        <v>2021</v>
      </c>
      <c r="AF43" s="33">
        <v>33</v>
      </c>
      <c r="AG43" s="14"/>
      <c r="AH43" s="7">
        <v>2021</v>
      </c>
      <c r="AI43" s="21">
        <v>0</v>
      </c>
      <c r="AJ43" s="17"/>
      <c r="AK43" s="7">
        <v>2021</v>
      </c>
      <c r="AL43" s="14">
        <v>50</v>
      </c>
      <c r="AM43" s="23"/>
    </row>
    <row r="44" spans="1:51" ht="24.75" customHeight="1">
      <c r="A44" s="7">
        <v>2022</v>
      </c>
      <c r="B44" s="205">
        <f>AVERAGE(E44,H44,K44,N44,Z44,AC44,AF44)</f>
        <v>40.380952380952372</v>
      </c>
      <c r="C44" s="16"/>
      <c r="D44" s="7">
        <v>2022</v>
      </c>
      <c r="E44" s="33">
        <v>33</v>
      </c>
      <c r="F44" s="17"/>
      <c r="G44" s="7">
        <v>2022</v>
      </c>
      <c r="H44" s="14">
        <v>0</v>
      </c>
      <c r="I44" s="17"/>
      <c r="J44" s="7">
        <v>2022</v>
      </c>
      <c r="K44" s="14">
        <v>100</v>
      </c>
      <c r="L44" s="17"/>
      <c r="M44" s="7">
        <v>2022</v>
      </c>
      <c r="N44" s="31">
        <f t="shared" si="5"/>
        <v>16.666666666666668</v>
      </c>
      <c r="O44" s="14"/>
      <c r="P44" s="7">
        <v>2022</v>
      </c>
      <c r="Q44" s="14">
        <v>50</v>
      </c>
      <c r="R44" s="17"/>
      <c r="S44" s="7">
        <v>2022</v>
      </c>
      <c r="T44" s="14">
        <v>0</v>
      </c>
      <c r="U44" s="17"/>
      <c r="V44" s="7">
        <v>2022</v>
      </c>
      <c r="W44" s="33">
        <v>0</v>
      </c>
      <c r="X44" s="17"/>
      <c r="Y44" s="7">
        <v>2022</v>
      </c>
      <c r="Z44" s="14">
        <v>50</v>
      </c>
      <c r="AA44" s="17"/>
      <c r="AB44" s="7">
        <v>2022</v>
      </c>
      <c r="AC44" s="14">
        <v>50</v>
      </c>
      <c r="AD44" s="17"/>
      <c r="AE44" s="7">
        <v>2022</v>
      </c>
      <c r="AF44" s="33">
        <v>33</v>
      </c>
      <c r="AG44" s="14"/>
      <c r="AH44" s="7">
        <v>2022</v>
      </c>
      <c r="AI44" s="21">
        <v>0</v>
      </c>
      <c r="AJ44" s="17"/>
      <c r="AK44" s="7">
        <v>2022</v>
      </c>
      <c r="AL44" s="14">
        <v>50</v>
      </c>
      <c r="AM44" s="23"/>
    </row>
    <row r="45" spans="1:51" ht="24.75" customHeight="1">
      <c r="A45" s="7">
        <v>2023</v>
      </c>
      <c r="B45" s="205">
        <f>AVERAGE(E45,H45,K45,N45,Z45,AC45,AF45)</f>
        <v>40.380952380952372</v>
      </c>
      <c r="C45" s="16"/>
      <c r="D45" s="7">
        <v>2023</v>
      </c>
      <c r="E45" s="33">
        <v>33</v>
      </c>
      <c r="F45" s="17"/>
      <c r="G45" s="7">
        <v>2023</v>
      </c>
      <c r="H45" s="14">
        <v>0</v>
      </c>
      <c r="I45" s="17"/>
      <c r="J45" s="7">
        <v>2023</v>
      </c>
      <c r="K45" s="14">
        <v>100</v>
      </c>
      <c r="L45" s="17"/>
      <c r="M45" s="7">
        <v>2023</v>
      </c>
      <c r="N45" s="31">
        <f t="shared" si="5"/>
        <v>16.666666666666668</v>
      </c>
      <c r="O45" s="14"/>
      <c r="P45" s="7">
        <v>2023</v>
      </c>
      <c r="Q45" s="14">
        <v>50</v>
      </c>
      <c r="R45" s="17"/>
      <c r="S45" s="7">
        <v>2023</v>
      </c>
      <c r="T45" s="14">
        <v>0</v>
      </c>
      <c r="U45" s="17"/>
      <c r="V45" s="7">
        <v>2023</v>
      </c>
      <c r="W45" s="33">
        <v>0</v>
      </c>
      <c r="X45" s="17"/>
      <c r="Y45" s="7">
        <v>2023</v>
      </c>
      <c r="Z45" s="14">
        <v>50</v>
      </c>
      <c r="AA45" s="17"/>
      <c r="AB45" s="7">
        <v>2023</v>
      </c>
      <c r="AC45" s="14">
        <v>50</v>
      </c>
      <c r="AD45" s="17"/>
      <c r="AE45" s="7">
        <v>2023</v>
      </c>
      <c r="AF45" s="33">
        <v>33</v>
      </c>
      <c r="AG45" s="14"/>
      <c r="AH45" s="7">
        <v>2023</v>
      </c>
      <c r="AI45" s="21">
        <v>0</v>
      </c>
      <c r="AJ45" s="17"/>
      <c r="AK45" s="7">
        <v>2023</v>
      </c>
      <c r="AL45" s="14">
        <v>50</v>
      </c>
      <c r="AM45" s="23"/>
    </row>
    <row r="46" spans="1:51" ht="24.75" customHeight="1">
      <c r="A46" s="7">
        <v>2024</v>
      </c>
      <c r="B46" s="205">
        <f>AVERAGE(E46,H46,K46,N46,Z46,AC46,AF46)</f>
        <v>40.380952380952372</v>
      </c>
      <c r="C46" s="16"/>
      <c r="D46" s="7">
        <v>2024</v>
      </c>
      <c r="E46" s="33">
        <v>33</v>
      </c>
      <c r="F46" s="17"/>
      <c r="G46" s="7">
        <v>2024</v>
      </c>
      <c r="H46" s="14">
        <v>0</v>
      </c>
      <c r="I46" s="17"/>
      <c r="J46" s="7">
        <v>2024</v>
      </c>
      <c r="K46" s="14">
        <v>100</v>
      </c>
      <c r="L46" s="17"/>
      <c r="M46" s="7">
        <v>2024</v>
      </c>
      <c r="N46" s="31">
        <f t="shared" si="5"/>
        <v>16.666666666666668</v>
      </c>
      <c r="O46" s="14"/>
      <c r="P46" s="7">
        <v>2024</v>
      </c>
      <c r="Q46" s="14">
        <v>50</v>
      </c>
      <c r="R46" s="17"/>
      <c r="S46" s="7">
        <v>2024</v>
      </c>
      <c r="T46" s="14">
        <v>0</v>
      </c>
      <c r="U46" s="17"/>
      <c r="V46" s="7">
        <v>2024</v>
      </c>
      <c r="W46" s="33">
        <v>0</v>
      </c>
      <c r="X46" s="17"/>
      <c r="Y46" s="7">
        <v>2024</v>
      </c>
      <c r="Z46" s="14">
        <v>50</v>
      </c>
      <c r="AA46" s="17"/>
      <c r="AB46" s="7">
        <v>2024</v>
      </c>
      <c r="AC46" s="14">
        <v>50</v>
      </c>
      <c r="AD46" s="17"/>
      <c r="AE46" s="7">
        <v>2024</v>
      </c>
      <c r="AF46" s="33">
        <v>33</v>
      </c>
      <c r="AG46" s="14"/>
      <c r="AH46" s="7">
        <v>2024</v>
      </c>
      <c r="AI46" s="21">
        <v>0</v>
      </c>
      <c r="AJ46" s="17"/>
      <c r="AK46" s="7">
        <v>2024</v>
      </c>
      <c r="AL46" s="14">
        <v>50</v>
      </c>
      <c r="AM46" s="23"/>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35</v>
      </c>
      <c r="C55" s="16"/>
      <c r="D55" s="7">
        <v>2020</v>
      </c>
      <c r="E55" s="14">
        <v>0</v>
      </c>
      <c r="F55" s="17"/>
      <c r="G55" s="7">
        <v>2020</v>
      </c>
      <c r="H55" s="14">
        <v>100</v>
      </c>
      <c r="I55" s="17"/>
      <c r="J55" s="7">
        <v>2020</v>
      </c>
      <c r="K55" s="33">
        <v>25</v>
      </c>
      <c r="L55" s="23" t="s">
        <v>1514</v>
      </c>
      <c r="M55" s="7">
        <v>2020</v>
      </c>
      <c r="N55" s="14">
        <v>50</v>
      </c>
      <c r="O55" s="17"/>
      <c r="P55" s="7">
        <v>2020</v>
      </c>
      <c r="Q55" s="14">
        <v>0</v>
      </c>
      <c r="R55" s="23"/>
    </row>
    <row r="56" spans="1:24" ht="24.75" customHeight="1">
      <c r="A56" s="7">
        <v>2021</v>
      </c>
      <c r="B56" s="15">
        <f t="shared" si="6"/>
        <v>35</v>
      </c>
      <c r="C56" s="15"/>
      <c r="D56" s="7">
        <v>2021</v>
      </c>
      <c r="E56" s="14">
        <v>0</v>
      </c>
      <c r="F56" s="17"/>
      <c r="G56" s="7">
        <v>2021</v>
      </c>
      <c r="H56" s="14">
        <v>100</v>
      </c>
      <c r="I56" s="17"/>
      <c r="J56" s="7">
        <v>2021</v>
      </c>
      <c r="K56" s="33">
        <v>25</v>
      </c>
      <c r="L56" s="17"/>
      <c r="M56" s="7">
        <v>2021</v>
      </c>
      <c r="N56" s="14">
        <v>50</v>
      </c>
      <c r="O56" s="17"/>
      <c r="P56" s="7">
        <v>2021</v>
      </c>
      <c r="Q56" s="14">
        <v>0</v>
      </c>
      <c r="R56" s="23"/>
    </row>
    <row r="57" spans="1:24" ht="24.75" customHeight="1">
      <c r="A57" s="7">
        <v>2022</v>
      </c>
      <c r="B57" s="15">
        <f t="shared" si="6"/>
        <v>35</v>
      </c>
      <c r="C57" s="15"/>
      <c r="D57" s="7">
        <v>2022</v>
      </c>
      <c r="E57" s="14">
        <v>0</v>
      </c>
      <c r="F57" s="17"/>
      <c r="G57" s="7">
        <v>2022</v>
      </c>
      <c r="H57" s="14">
        <v>100</v>
      </c>
      <c r="I57" s="17"/>
      <c r="J57" s="7">
        <v>2022</v>
      </c>
      <c r="K57" s="33">
        <v>25</v>
      </c>
      <c r="L57" s="17"/>
      <c r="M57" s="7">
        <v>2022</v>
      </c>
      <c r="N57" s="14">
        <v>50</v>
      </c>
      <c r="O57" s="17"/>
      <c r="P57" s="7">
        <v>2022</v>
      </c>
      <c r="Q57" s="14">
        <v>0</v>
      </c>
      <c r="R57" s="23"/>
    </row>
    <row r="58" spans="1:24" ht="24.75" customHeight="1">
      <c r="A58" s="7">
        <v>2023</v>
      </c>
      <c r="B58" s="15">
        <f t="shared" si="6"/>
        <v>35</v>
      </c>
      <c r="C58" s="15"/>
      <c r="D58" s="7">
        <v>2023</v>
      </c>
      <c r="E58" s="14">
        <v>0</v>
      </c>
      <c r="F58" s="17"/>
      <c r="G58" s="7">
        <v>2023</v>
      </c>
      <c r="H58" s="14">
        <v>100</v>
      </c>
      <c r="I58" s="17"/>
      <c r="J58" s="7">
        <v>2023</v>
      </c>
      <c r="K58" s="33">
        <v>25</v>
      </c>
      <c r="L58" s="17"/>
      <c r="M58" s="7">
        <v>2023</v>
      </c>
      <c r="N58" s="14">
        <v>50</v>
      </c>
      <c r="O58" s="17"/>
      <c r="P58" s="7">
        <v>2023</v>
      </c>
      <c r="Q58" s="14">
        <v>0</v>
      </c>
      <c r="R58" s="23"/>
    </row>
    <row r="59" spans="1:24" ht="24.75" customHeight="1">
      <c r="A59" s="7">
        <v>2024</v>
      </c>
      <c r="B59" s="15">
        <f t="shared" si="6"/>
        <v>35</v>
      </c>
      <c r="C59" s="15"/>
      <c r="D59" s="7">
        <v>2024</v>
      </c>
      <c r="E59" s="14">
        <v>0</v>
      </c>
      <c r="F59" s="17"/>
      <c r="G59" s="7">
        <v>2024</v>
      </c>
      <c r="H59" s="14">
        <v>100</v>
      </c>
      <c r="I59" s="17"/>
      <c r="J59" s="7">
        <v>2024</v>
      </c>
      <c r="K59" s="33">
        <v>25</v>
      </c>
      <c r="L59" s="17"/>
      <c r="M59" s="7">
        <v>2024</v>
      </c>
      <c r="N59" s="14">
        <v>50</v>
      </c>
      <c r="O59" s="17"/>
      <c r="P59" s="7">
        <v>2024</v>
      </c>
      <c r="Q59" s="14">
        <v>0</v>
      </c>
      <c r="R59" s="23"/>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45.833333333333336</v>
      </c>
      <c r="C68" s="16"/>
      <c r="D68" s="7">
        <v>2020</v>
      </c>
      <c r="E68" s="21">
        <v>50</v>
      </c>
      <c r="F68" s="17"/>
      <c r="G68" s="7">
        <v>2020</v>
      </c>
      <c r="H68" s="14">
        <v>0</v>
      </c>
      <c r="I68" s="17"/>
      <c r="J68" s="7">
        <v>2020</v>
      </c>
      <c r="K68" s="14">
        <v>0</v>
      </c>
      <c r="L68" s="17"/>
      <c r="M68" s="7">
        <v>2020</v>
      </c>
      <c r="N68" s="14">
        <v>50</v>
      </c>
      <c r="O68" s="17"/>
      <c r="P68" s="7">
        <v>2020</v>
      </c>
      <c r="Q68" s="14">
        <v>50</v>
      </c>
      <c r="R68" s="17"/>
      <c r="S68" s="7">
        <v>2020</v>
      </c>
      <c r="T68" s="14">
        <v>0</v>
      </c>
      <c r="U68" s="17"/>
      <c r="V68" s="7">
        <v>2020</v>
      </c>
      <c r="W68" s="14">
        <v>100</v>
      </c>
      <c r="X68" s="23"/>
    </row>
    <row r="69" spans="1:27" ht="24.75" customHeight="1">
      <c r="A69" s="7">
        <v>2021</v>
      </c>
      <c r="B69" s="15">
        <f t="shared" si="7"/>
        <v>45.833333333333336</v>
      </c>
      <c r="C69" s="15"/>
      <c r="D69" s="7">
        <v>2021</v>
      </c>
      <c r="E69" s="21">
        <v>50</v>
      </c>
      <c r="F69" s="17"/>
      <c r="G69" s="7">
        <v>2021</v>
      </c>
      <c r="H69" s="14">
        <v>0</v>
      </c>
      <c r="I69" s="17"/>
      <c r="J69" s="7">
        <v>2021</v>
      </c>
      <c r="K69" s="14">
        <v>0</v>
      </c>
      <c r="L69" s="17"/>
      <c r="M69" s="7">
        <v>2021</v>
      </c>
      <c r="N69" s="14">
        <v>50</v>
      </c>
      <c r="O69" s="17"/>
      <c r="P69" s="7">
        <v>2021</v>
      </c>
      <c r="Q69" s="14">
        <v>50</v>
      </c>
      <c r="R69" s="17"/>
      <c r="S69" s="7">
        <v>2021</v>
      </c>
      <c r="T69" s="14">
        <v>0</v>
      </c>
      <c r="U69" s="17"/>
      <c r="V69" s="7">
        <v>2021</v>
      </c>
      <c r="W69" s="14">
        <v>100</v>
      </c>
      <c r="X69" s="23"/>
    </row>
    <row r="70" spans="1:27" ht="24.75" customHeight="1">
      <c r="A70" s="7">
        <v>2022</v>
      </c>
      <c r="B70" s="15">
        <f t="shared" si="7"/>
        <v>45.833333333333336</v>
      </c>
      <c r="C70" s="15"/>
      <c r="D70" s="7">
        <v>2022</v>
      </c>
      <c r="E70" s="21">
        <v>50</v>
      </c>
      <c r="F70" s="17"/>
      <c r="G70" s="7">
        <v>2022</v>
      </c>
      <c r="H70" s="14">
        <v>0</v>
      </c>
      <c r="I70" s="17"/>
      <c r="J70" s="7">
        <v>2022</v>
      </c>
      <c r="K70" s="14">
        <v>0</v>
      </c>
      <c r="L70" s="17"/>
      <c r="M70" s="7">
        <v>2022</v>
      </c>
      <c r="N70" s="14">
        <v>50</v>
      </c>
      <c r="O70" s="17"/>
      <c r="P70" s="7">
        <v>2022</v>
      </c>
      <c r="Q70" s="14">
        <v>50</v>
      </c>
      <c r="R70" s="17"/>
      <c r="S70" s="7">
        <v>2022</v>
      </c>
      <c r="T70" s="14">
        <v>0</v>
      </c>
      <c r="U70" s="17"/>
      <c r="V70" s="7">
        <v>2022</v>
      </c>
      <c r="W70" s="14">
        <v>100</v>
      </c>
      <c r="X70" s="23"/>
    </row>
    <row r="71" spans="1:27" ht="24.75" customHeight="1">
      <c r="A71" s="7">
        <v>2023</v>
      </c>
      <c r="B71" s="15">
        <f t="shared" si="7"/>
        <v>45.833333333333336</v>
      </c>
      <c r="C71" s="15"/>
      <c r="D71" s="7">
        <v>2023</v>
      </c>
      <c r="E71" s="21">
        <v>50</v>
      </c>
      <c r="F71" s="17"/>
      <c r="G71" s="7">
        <v>2023</v>
      </c>
      <c r="H71" s="14">
        <v>0</v>
      </c>
      <c r="I71" s="17"/>
      <c r="J71" s="7">
        <v>2023</v>
      </c>
      <c r="K71" s="14">
        <v>0</v>
      </c>
      <c r="L71" s="17"/>
      <c r="M71" s="7">
        <v>2023</v>
      </c>
      <c r="N71" s="14">
        <v>50</v>
      </c>
      <c r="O71" s="17"/>
      <c r="P71" s="7">
        <v>2023</v>
      </c>
      <c r="Q71" s="14">
        <v>50</v>
      </c>
      <c r="R71" s="17"/>
      <c r="S71" s="7">
        <v>2023</v>
      </c>
      <c r="T71" s="14">
        <v>0</v>
      </c>
      <c r="U71" s="17"/>
      <c r="V71" s="7">
        <v>2023</v>
      </c>
      <c r="W71" s="14">
        <v>100</v>
      </c>
      <c r="X71" s="23"/>
    </row>
    <row r="72" spans="1:27" ht="24.75" customHeight="1">
      <c r="A72" s="7">
        <v>2024</v>
      </c>
      <c r="B72" s="15">
        <f t="shared" si="7"/>
        <v>45.833333333333336</v>
      </c>
      <c r="C72" s="15"/>
      <c r="D72" s="7">
        <v>2024</v>
      </c>
      <c r="E72" s="21">
        <v>50</v>
      </c>
      <c r="F72" s="17"/>
      <c r="G72" s="7">
        <v>2024</v>
      </c>
      <c r="H72" s="14">
        <v>0</v>
      </c>
      <c r="I72" s="17"/>
      <c r="J72" s="7">
        <v>2024</v>
      </c>
      <c r="K72" s="14">
        <v>0</v>
      </c>
      <c r="L72" s="17"/>
      <c r="M72" s="7">
        <v>2024</v>
      </c>
      <c r="N72" s="14">
        <v>50</v>
      </c>
      <c r="O72" s="17"/>
      <c r="P72" s="7">
        <v>2024</v>
      </c>
      <c r="Q72" s="14">
        <v>50</v>
      </c>
      <c r="R72" s="17"/>
      <c r="S72" s="7">
        <v>2024</v>
      </c>
      <c r="T72" s="14">
        <v>0</v>
      </c>
      <c r="U72" s="17"/>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62.5</v>
      </c>
      <c r="C81" s="15"/>
      <c r="D81" s="7">
        <v>2020</v>
      </c>
      <c r="E81" s="14">
        <v>100</v>
      </c>
      <c r="F81" s="157" t="s">
        <v>1515</v>
      </c>
      <c r="G81" s="7">
        <v>2020</v>
      </c>
      <c r="H81" s="14">
        <v>0</v>
      </c>
      <c r="I81" s="17"/>
      <c r="J81" s="7">
        <v>2020</v>
      </c>
      <c r="K81" s="31">
        <f t="shared" ref="K81:K85" si="9">AVERAGE(N81,Q81,T81,W81)</f>
        <v>50</v>
      </c>
      <c r="L81" s="14"/>
      <c r="M81" s="7">
        <v>2020</v>
      </c>
      <c r="N81" s="21">
        <v>0</v>
      </c>
      <c r="O81" s="17"/>
      <c r="P81" s="7">
        <v>2020</v>
      </c>
      <c r="Q81" s="21">
        <v>100</v>
      </c>
      <c r="R81" s="17"/>
      <c r="S81" s="7">
        <v>2020</v>
      </c>
      <c r="T81" s="21">
        <v>100</v>
      </c>
      <c r="U81" s="17"/>
      <c r="V81" s="7">
        <v>2020</v>
      </c>
      <c r="W81" s="21">
        <v>0</v>
      </c>
      <c r="X81" s="17"/>
      <c r="Y81" s="7">
        <v>2020</v>
      </c>
      <c r="Z81" s="14">
        <v>100</v>
      </c>
      <c r="AA81" s="23"/>
    </row>
    <row r="82" spans="1:33" ht="24.75" customHeight="1">
      <c r="A82" s="7">
        <v>2021</v>
      </c>
      <c r="B82" s="15">
        <f t="shared" si="8"/>
        <v>62.5</v>
      </c>
      <c r="C82" s="15"/>
      <c r="D82" s="7">
        <v>2021</v>
      </c>
      <c r="E82" s="14">
        <v>100</v>
      </c>
      <c r="F82" s="17"/>
      <c r="G82" s="7">
        <v>2021</v>
      </c>
      <c r="H82" s="14">
        <v>0</v>
      </c>
      <c r="I82" s="17"/>
      <c r="J82" s="7">
        <v>2021</v>
      </c>
      <c r="K82" s="31">
        <f t="shared" si="9"/>
        <v>50</v>
      </c>
      <c r="L82" s="14"/>
      <c r="M82" s="7">
        <v>2021</v>
      </c>
      <c r="N82" s="21">
        <v>0</v>
      </c>
      <c r="O82" s="17"/>
      <c r="P82" s="7">
        <v>2021</v>
      </c>
      <c r="Q82" s="21">
        <v>100</v>
      </c>
      <c r="R82" s="17"/>
      <c r="S82" s="7">
        <v>2021</v>
      </c>
      <c r="T82" s="21">
        <v>100</v>
      </c>
      <c r="U82" s="17"/>
      <c r="V82" s="7">
        <v>2021</v>
      </c>
      <c r="W82" s="21">
        <v>0</v>
      </c>
      <c r="X82" s="17"/>
      <c r="Y82" s="7">
        <v>2021</v>
      </c>
      <c r="Z82" s="14">
        <v>100</v>
      </c>
      <c r="AA82" s="23"/>
    </row>
    <row r="83" spans="1:33" ht="24.75" customHeight="1">
      <c r="A83" s="7">
        <v>2022</v>
      </c>
      <c r="B83" s="15">
        <f t="shared" si="8"/>
        <v>62.5</v>
      </c>
      <c r="C83" s="15"/>
      <c r="D83" s="7">
        <v>2022</v>
      </c>
      <c r="E83" s="14">
        <v>100</v>
      </c>
      <c r="F83" s="17"/>
      <c r="G83" s="7">
        <v>2022</v>
      </c>
      <c r="H83" s="14">
        <v>0</v>
      </c>
      <c r="I83" s="17"/>
      <c r="J83" s="7">
        <v>2022</v>
      </c>
      <c r="K83" s="31">
        <f t="shared" si="9"/>
        <v>50</v>
      </c>
      <c r="L83" s="14"/>
      <c r="M83" s="7">
        <v>2022</v>
      </c>
      <c r="N83" s="21">
        <v>0</v>
      </c>
      <c r="O83" s="17"/>
      <c r="P83" s="7">
        <v>2022</v>
      </c>
      <c r="Q83" s="21">
        <v>100</v>
      </c>
      <c r="R83" s="17"/>
      <c r="S83" s="7">
        <v>2022</v>
      </c>
      <c r="T83" s="21">
        <v>100</v>
      </c>
      <c r="U83" s="17"/>
      <c r="V83" s="7">
        <v>2022</v>
      </c>
      <c r="W83" s="21">
        <v>0</v>
      </c>
      <c r="X83" s="17"/>
      <c r="Y83" s="7">
        <v>2022</v>
      </c>
      <c r="Z83" s="14">
        <v>100</v>
      </c>
      <c r="AA83" s="23"/>
    </row>
    <row r="84" spans="1:33" ht="24.75" customHeight="1">
      <c r="A84" s="7">
        <v>2023</v>
      </c>
      <c r="B84" s="15">
        <f t="shared" si="8"/>
        <v>62.5</v>
      </c>
      <c r="C84" s="15"/>
      <c r="D84" s="7">
        <v>2023</v>
      </c>
      <c r="E84" s="14">
        <v>100</v>
      </c>
      <c r="F84" s="17"/>
      <c r="G84" s="7">
        <v>2023</v>
      </c>
      <c r="H84" s="14">
        <v>0</v>
      </c>
      <c r="I84" s="17"/>
      <c r="J84" s="7">
        <v>2023</v>
      </c>
      <c r="K84" s="31">
        <f t="shared" si="9"/>
        <v>50</v>
      </c>
      <c r="L84" s="14"/>
      <c r="M84" s="7">
        <v>2023</v>
      </c>
      <c r="N84" s="21">
        <v>0</v>
      </c>
      <c r="O84" s="17"/>
      <c r="P84" s="7">
        <v>2023</v>
      </c>
      <c r="Q84" s="21">
        <v>100</v>
      </c>
      <c r="R84" s="17"/>
      <c r="S84" s="7">
        <v>2023</v>
      </c>
      <c r="T84" s="21">
        <v>100</v>
      </c>
      <c r="U84" s="17"/>
      <c r="V84" s="7">
        <v>2023</v>
      </c>
      <c r="W84" s="21">
        <v>0</v>
      </c>
      <c r="X84" s="17"/>
      <c r="Y84" s="7">
        <v>2023</v>
      </c>
      <c r="Z84" s="14">
        <v>100</v>
      </c>
      <c r="AA84" s="23"/>
    </row>
    <row r="85" spans="1:33" ht="24.75" customHeight="1">
      <c r="A85" s="7">
        <v>2024</v>
      </c>
      <c r="B85" s="15">
        <f t="shared" si="8"/>
        <v>62.5</v>
      </c>
      <c r="C85" s="15"/>
      <c r="D85" s="7">
        <v>2024</v>
      </c>
      <c r="E85" s="14">
        <v>100</v>
      </c>
      <c r="F85" s="17"/>
      <c r="G85" s="7">
        <v>2024</v>
      </c>
      <c r="H85" s="14">
        <v>0</v>
      </c>
      <c r="I85" s="17"/>
      <c r="J85" s="7">
        <v>2024</v>
      </c>
      <c r="K85" s="31">
        <f t="shared" si="9"/>
        <v>50</v>
      </c>
      <c r="L85" s="14"/>
      <c r="M85" s="7">
        <v>2024</v>
      </c>
      <c r="N85" s="21">
        <v>0</v>
      </c>
      <c r="O85" s="17"/>
      <c r="P85" s="7">
        <v>2024</v>
      </c>
      <c r="Q85" s="21">
        <v>100</v>
      </c>
      <c r="R85" s="17"/>
      <c r="S85" s="7">
        <v>2024</v>
      </c>
      <c r="T85" s="21">
        <v>100</v>
      </c>
      <c r="U85" s="17"/>
      <c r="V85" s="7">
        <v>2024</v>
      </c>
      <c r="W85" s="21">
        <v>0</v>
      </c>
      <c r="X85" s="17"/>
      <c r="Y85" s="7">
        <v>2024</v>
      </c>
      <c r="Z85" s="14">
        <v>100</v>
      </c>
      <c r="AA85" s="23"/>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62.5</v>
      </c>
      <c r="C94" s="15"/>
      <c r="D94" s="7">
        <v>2020</v>
      </c>
      <c r="E94" s="21">
        <v>50</v>
      </c>
      <c r="F94" s="17"/>
      <c r="G94" s="7">
        <v>2020</v>
      </c>
      <c r="H94" s="206">
        <f t="shared" ref="H94:H98" si="10">AVERAGE(K94,N94,Q94,T94)</f>
        <v>50</v>
      </c>
      <c r="I94" s="200"/>
      <c r="J94" s="7">
        <v>2020</v>
      </c>
      <c r="K94" s="14">
        <v>50</v>
      </c>
      <c r="L94" s="17"/>
      <c r="M94" s="7">
        <v>2020</v>
      </c>
      <c r="N94" s="200">
        <v>50</v>
      </c>
      <c r="O94" s="201"/>
      <c r="P94" s="7">
        <v>2020</v>
      </c>
      <c r="Q94" s="207">
        <v>50</v>
      </c>
      <c r="R94" s="201"/>
      <c r="S94" s="7">
        <v>2020</v>
      </c>
      <c r="T94" s="207">
        <v>50</v>
      </c>
      <c r="U94" s="201"/>
      <c r="V94" s="7">
        <v>2020</v>
      </c>
      <c r="W94" s="14">
        <v>100</v>
      </c>
      <c r="X94" s="17"/>
      <c r="Y94" s="7">
        <v>2020</v>
      </c>
      <c r="Z94" s="14">
        <v>50</v>
      </c>
      <c r="AA94" s="17"/>
      <c r="AB94" s="7">
        <v>2020</v>
      </c>
      <c r="AC94" s="14">
        <v>100</v>
      </c>
      <c r="AD94" s="17"/>
      <c r="AE94" s="7">
        <v>2020</v>
      </c>
      <c r="AF94" s="14">
        <v>0</v>
      </c>
      <c r="AG94" s="23"/>
    </row>
    <row r="95" spans="1:33" ht="24.75" customHeight="1">
      <c r="A95" s="7">
        <v>2021</v>
      </c>
      <c r="B95" s="15">
        <f>AVERAGE(E95,H95, W95,((Z95+AC95+AF95)/3))</f>
        <v>62.5</v>
      </c>
      <c r="C95" s="15"/>
      <c r="D95" s="7">
        <v>2021</v>
      </c>
      <c r="E95" s="21">
        <v>50</v>
      </c>
      <c r="F95" s="17" t="s">
        <v>1516</v>
      </c>
      <c r="G95" s="7">
        <v>2021</v>
      </c>
      <c r="H95" s="206">
        <f t="shared" si="10"/>
        <v>50</v>
      </c>
      <c r="I95" s="200"/>
      <c r="J95" s="7">
        <v>2021</v>
      </c>
      <c r="K95" s="14">
        <v>50</v>
      </c>
      <c r="L95" s="17" t="s">
        <v>1517</v>
      </c>
      <c r="M95" s="7">
        <v>2021</v>
      </c>
      <c r="N95" s="200">
        <v>50</v>
      </c>
      <c r="O95" s="201"/>
      <c r="P95" s="7">
        <v>2021</v>
      </c>
      <c r="Q95" s="207">
        <v>50</v>
      </c>
      <c r="R95" s="201"/>
      <c r="S95" s="7">
        <v>2021</v>
      </c>
      <c r="T95" s="207">
        <v>50</v>
      </c>
      <c r="U95" s="201"/>
      <c r="V95" s="7">
        <v>2021</v>
      </c>
      <c r="W95" s="14">
        <v>100</v>
      </c>
      <c r="X95" s="17"/>
      <c r="Y95" s="7">
        <v>2021</v>
      </c>
      <c r="Z95" s="14">
        <v>50</v>
      </c>
      <c r="AA95" s="17"/>
      <c r="AB95" s="7">
        <v>2021</v>
      </c>
      <c r="AC95" s="14">
        <v>100</v>
      </c>
      <c r="AD95" s="17"/>
      <c r="AE95" s="7">
        <v>2021</v>
      </c>
      <c r="AF95" s="14">
        <v>0</v>
      </c>
      <c r="AG95" s="23"/>
    </row>
    <row r="96" spans="1:33" ht="24.75" customHeight="1">
      <c r="A96" s="7">
        <v>2022</v>
      </c>
      <c r="B96" s="15">
        <f>AVERAGE(E96,H96, W96,((Z96+AC96+AF96)/3))</f>
        <v>62.5</v>
      </c>
      <c r="C96" s="15"/>
      <c r="D96" s="7">
        <v>2022</v>
      </c>
      <c r="E96" s="21">
        <v>50</v>
      </c>
      <c r="F96" s="17"/>
      <c r="G96" s="7">
        <v>2022</v>
      </c>
      <c r="H96" s="206">
        <f t="shared" si="10"/>
        <v>50</v>
      </c>
      <c r="I96" s="200"/>
      <c r="J96" s="7">
        <v>2022</v>
      </c>
      <c r="K96" s="14">
        <v>50</v>
      </c>
      <c r="L96" s="17"/>
      <c r="M96" s="7">
        <v>2022</v>
      </c>
      <c r="N96" s="200">
        <v>50</v>
      </c>
      <c r="O96" s="201"/>
      <c r="P96" s="7">
        <v>2022</v>
      </c>
      <c r="Q96" s="207">
        <v>50</v>
      </c>
      <c r="R96" s="201"/>
      <c r="S96" s="7">
        <v>2022</v>
      </c>
      <c r="T96" s="207">
        <v>50</v>
      </c>
      <c r="U96" s="201"/>
      <c r="V96" s="7">
        <v>2022</v>
      </c>
      <c r="W96" s="14">
        <v>100</v>
      </c>
      <c r="X96" s="17"/>
      <c r="Y96" s="7">
        <v>2022</v>
      </c>
      <c r="Z96" s="14">
        <v>50</v>
      </c>
      <c r="AA96" s="17"/>
      <c r="AB96" s="7">
        <v>2022</v>
      </c>
      <c r="AC96" s="14">
        <v>100</v>
      </c>
      <c r="AD96" s="17"/>
      <c r="AE96" s="7">
        <v>2022</v>
      </c>
      <c r="AF96" s="14">
        <v>0</v>
      </c>
      <c r="AG96" s="23"/>
    </row>
    <row r="97" spans="1:51" ht="24.75" customHeight="1">
      <c r="A97" s="7">
        <v>2023</v>
      </c>
      <c r="B97" s="15">
        <f>AVERAGE(E97,H97, W97,((Z97+AC97+AF97)/3))</f>
        <v>62.5</v>
      </c>
      <c r="C97" s="15"/>
      <c r="D97" s="7">
        <v>2023</v>
      </c>
      <c r="E97" s="21">
        <v>50</v>
      </c>
      <c r="F97" s="17"/>
      <c r="G97" s="7">
        <v>2023</v>
      </c>
      <c r="H97" s="206">
        <f t="shared" si="10"/>
        <v>50</v>
      </c>
      <c r="I97" s="200"/>
      <c r="J97" s="7">
        <v>2023</v>
      </c>
      <c r="K97" s="14">
        <v>50</v>
      </c>
      <c r="L97" s="17"/>
      <c r="M97" s="7">
        <v>2023</v>
      </c>
      <c r="N97" s="200">
        <v>50</v>
      </c>
      <c r="O97" s="201"/>
      <c r="P97" s="7">
        <v>2023</v>
      </c>
      <c r="Q97" s="207">
        <v>50</v>
      </c>
      <c r="R97" s="201"/>
      <c r="S97" s="7">
        <v>2023</v>
      </c>
      <c r="T97" s="207">
        <v>50</v>
      </c>
      <c r="U97" s="201"/>
      <c r="V97" s="7">
        <v>2023</v>
      </c>
      <c r="W97" s="14">
        <v>100</v>
      </c>
      <c r="X97" s="17"/>
      <c r="Y97" s="7">
        <v>2023</v>
      </c>
      <c r="Z97" s="14">
        <v>50</v>
      </c>
      <c r="AA97" s="17"/>
      <c r="AB97" s="7">
        <v>2023</v>
      </c>
      <c r="AC97" s="14">
        <v>100</v>
      </c>
      <c r="AD97" s="17"/>
      <c r="AE97" s="7">
        <v>2023</v>
      </c>
      <c r="AF97" s="14">
        <v>0</v>
      </c>
      <c r="AG97" s="23"/>
    </row>
    <row r="98" spans="1:51" ht="24.75" customHeight="1">
      <c r="A98" s="7">
        <v>2024</v>
      </c>
      <c r="B98" s="15">
        <f>AVERAGE(E98,H98, W98,((Z98+AC98+AF98)/3))</f>
        <v>62.5</v>
      </c>
      <c r="C98" s="15"/>
      <c r="D98" s="7">
        <v>2024</v>
      </c>
      <c r="E98" s="21">
        <v>50</v>
      </c>
      <c r="F98" s="17"/>
      <c r="G98" s="7">
        <v>2024</v>
      </c>
      <c r="H98" s="206">
        <f t="shared" si="10"/>
        <v>50</v>
      </c>
      <c r="I98" s="200"/>
      <c r="J98" s="7">
        <v>2024</v>
      </c>
      <c r="K98" s="14">
        <v>50</v>
      </c>
      <c r="L98" s="17"/>
      <c r="M98" s="7">
        <v>2024</v>
      </c>
      <c r="N98" s="200">
        <v>50</v>
      </c>
      <c r="O98" s="201"/>
      <c r="P98" s="7">
        <v>2024</v>
      </c>
      <c r="Q98" s="207">
        <v>50</v>
      </c>
      <c r="R98" s="201"/>
      <c r="S98" s="7">
        <v>2024</v>
      </c>
      <c r="T98" s="207">
        <v>50</v>
      </c>
      <c r="U98" s="201"/>
      <c r="V98" s="7">
        <v>2024</v>
      </c>
      <c r="W98" s="14">
        <v>100</v>
      </c>
      <c r="X98" s="17"/>
      <c r="Y98" s="7">
        <v>2024</v>
      </c>
      <c r="Z98" s="14">
        <v>50</v>
      </c>
      <c r="AA98" s="17"/>
      <c r="AB98" s="7">
        <v>2024</v>
      </c>
      <c r="AC98" s="14">
        <v>100</v>
      </c>
      <c r="AD98" s="17"/>
      <c r="AE98" s="7">
        <v>2024</v>
      </c>
      <c r="AF98" s="14">
        <v>0</v>
      </c>
      <c r="AG98" s="23"/>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56.333333333333336</v>
      </c>
      <c r="C107" s="43"/>
      <c r="D107" s="27">
        <v>2020</v>
      </c>
      <c r="E107" s="14">
        <v>50</v>
      </c>
      <c r="F107" s="23"/>
      <c r="G107" s="7">
        <v>2020</v>
      </c>
      <c r="H107" s="44">
        <v>50</v>
      </c>
      <c r="I107" s="23"/>
      <c r="J107" s="27">
        <v>2020</v>
      </c>
      <c r="K107" s="74">
        <v>50</v>
      </c>
      <c r="L107" s="23"/>
      <c r="M107" s="7">
        <v>2020</v>
      </c>
      <c r="N107" s="21">
        <v>0</v>
      </c>
      <c r="O107" s="23"/>
      <c r="P107" s="27">
        <v>2020</v>
      </c>
      <c r="Q107" s="14">
        <v>50</v>
      </c>
      <c r="R107" s="23"/>
      <c r="S107" s="7">
        <v>2020</v>
      </c>
      <c r="T107" s="21">
        <v>0</v>
      </c>
      <c r="U107" s="23"/>
      <c r="V107" s="7">
        <v>2020</v>
      </c>
      <c r="W107" s="14">
        <v>67</v>
      </c>
      <c r="X107" s="23"/>
      <c r="Y107" s="7">
        <v>2020</v>
      </c>
      <c r="Z107" s="14">
        <v>67</v>
      </c>
      <c r="AA107" s="23"/>
      <c r="AB107" s="7">
        <v>2020</v>
      </c>
      <c r="AC107" s="21">
        <v>50</v>
      </c>
      <c r="AD107" s="23"/>
      <c r="AE107" s="7">
        <v>2020</v>
      </c>
      <c r="AF107" s="14">
        <v>50</v>
      </c>
      <c r="AG107" s="23"/>
      <c r="AH107" s="7">
        <v>2020</v>
      </c>
      <c r="AI107" s="21">
        <v>100</v>
      </c>
      <c r="AJ107" s="23"/>
      <c r="AK107" s="7">
        <v>2020</v>
      </c>
      <c r="AL107" s="21">
        <v>50</v>
      </c>
      <c r="AM107" s="23"/>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56.333333333333336</v>
      </c>
      <c r="C108" s="49"/>
      <c r="D108" s="27">
        <v>2021</v>
      </c>
      <c r="E108" s="14">
        <v>50</v>
      </c>
      <c r="F108" s="23"/>
      <c r="G108" s="7">
        <v>2021</v>
      </c>
      <c r="H108" s="44">
        <v>50</v>
      </c>
      <c r="I108" s="23"/>
      <c r="J108" s="27">
        <v>2021</v>
      </c>
      <c r="K108" s="74">
        <v>50</v>
      </c>
      <c r="L108" s="23"/>
      <c r="M108" s="7">
        <v>2021</v>
      </c>
      <c r="N108" s="21">
        <v>0</v>
      </c>
      <c r="O108" s="23"/>
      <c r="P108" s="27">
        <v>2021</v>
      </c>
      <c r="Q108" s="14">
        <v>50</v>
      </c>
      <c r="R108" s="23"/>
      <c r="S108" s="7">
        <v>2021</v>
      </c>
      <c r="T108" s="21">
        <v>0</v>
      </c>
      <c r="U108" s="23"/>
      <c r="V108" s="7">
        <v>2021</v>
      </c>
      <c r="W108" s="14">
        <v>67</v>
      </c>
      <c r="X108" s="23"/>
      <c r="Y108" s="7">
        <v>2021</v>
      </c>
      <c r="Z108" s="14">
        <v>67</v>
      </c>
      <c r="AA108" s="23"/>
      <c r="AB108" s="7">
        <v>2021</v>
      </c>
      <c r="AC108" s="21">
        <v>50</v>
      </c>
      <c r="AD108" s="23"/>
      <c r="AE108" s="7">
        <v>2021</v>
      </c>
      <c r="AF108" s="14">
        <v>50</v>
      </c>
      <c r="AG108" s="23"/>
      <c r="AH108" s="7">
        <v>2021</v>
      </c>
      <c r="AI108" s="21">
        <v>100</v>
      </c>
      <c r="AJ108" s="23"/>
      <c r="AK108" s="7">
        <v>2021</v>
      </c>
      <c r="AL108" s="21">
        <v>50</v>
      </c>
      <c r="AM108" s="23"/>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56.333333333333336</v>
      </c>
      <c r="C109" s="49"/>
      <c r="D109" s="27">
        <v>2022</v>
      </c>
      <c r="E109" s="14">
        <v>50</v>
      </c>
      <c r="F109" s="23"/>
      <c r="G109" s="27">
        <v>2022</v>
      </c>
      <c r="H109" s="44">
        <v>50</v>
      </c>
      <c r="I109" s="23"/>
      <c r="J109" s="27">
        <v>2022</v>
      </c>
      <c r="K109" s="74">
        <v>50</v>
      </c>
      <c r="L109" s="23"/>
      <c r="M109" s="27">
        <v>2022</v>
      </c>
      <c r="N109" s="21">
        <v>0</v>
      </c>
      <c r="O109" s="23"/>
      <c r="P109" s="27">
        <v>2022</v>
      </c>
      <c r="Q109" s="14">
        <v>50</v>
      </c>
      <c r="R109" s="23"/>
      <c r="S109" s="27">
        <v>2022</v>
      </c>
      <c r="T109" s="21">
        <v>0</v>
      </c>
      <c r="U109" s="23"/>
      <c r="V109" s="27">
        <v>2022</v>
      </c>
      <c r="W109" s="14">
        <v>67</v>
      </c>
      <c r="X109" s="23"/>
      <c r="Y109" s="27">
        <v>2022</v>
      </c>
      <c r="Z109" s="14">
        <v>67</v>
      </c>
      <c r="AA109" s="23"/>
      <c r="AB109" s="27">
        <v>2022</v>
      </c>
      <c r="AC109" s="21">
        <v>50</v>
      </c>
      <c r="AD109" s="23"/>
      <c r="AE109" s="27">
        <v>2022</v>
      </c>
      <c r="AF109" s="14">
        <v>50</v>
      </c>
      <c r="AG109" s="23"/>
      <c r="AH109" s="27">
        <v>2022</v>
      </c>
      <c r="AI109" s="21">
        <v>100</v>
      </c>
      <c r="AJ109" s="23"/>
      <c r="AK109" s="27">
        <v>2022</v>
      </c>
      <c r="AL109" s="21">
        <v>50</v>
      </c>
      <c r="AM109" s="23"/>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56.333333333333336</v>
      </c>
      <c r="C110" s="49"/>
      <c r="D110" s="27">
        <v>2023</v>
      </c>
      <c r="E110" s="14">
        <v>50</v>
      </c>
      <c r="F110" s="23"/>
      <c r="G110" s="27">
        <v>2023</v>
      </c>
      <c r="H110" s="44">
        <v>50</v>
      </c>
      <c r="I110" s="23"/>
      <c r="J110" s="27">
        <v>2023</v>
      </c>
      <c r="K110" s="74">
        <v>50</v>
      </c>
      <c r="L110" s="23"/>
      <c r="M110" s="27">
        <v>2023</v>
      </c>
      <c r="N110" s="21">
        <v>0</v>
      </c>
      <c r="O110" s="23"/>
      <c r="P110" s="27">
        <v>2023</v>
      </c>
      <c r="Q110" s="14">
        <v>50</v>
      </c>
      <c r="R110" s="23"/>
      <c r="S110" s="27">
        <v>2023</v>
      </c>
      <c r="T110" s="21">
        <v>0</v>
      </c>
      <c r="U110" s="23"/>
      <c r="V110" s="27">
        <v>2023</v>
      </c>
      <c r="W110" s="14">
        <v>67</v>
      </c>
      <c r="X110" s="23"/>
      <c r="Y110" s="27">
        <v>2023</v>
      </c>
      <c r="Z110" s="14">
        <v>67</v>
      </c>
      <c r="AA110" s="23"/>
      <c r="AB110" s="27">
        <v>2023</v>
      </c>
      <c r="AC110" s="21">
        <v>50</v>
      </c>
      <c r="AD110" s="23"/>
      <c r="AE110" s="27">
        <v>2023</v>
      </c>
      <c r="AF110" s="14">
        <v>50</v>
      </c>
      <c r="AG110" s="23"/>
      <c r="AH110" s="27">
        <v>2023</v>
      </c>
      <c r="AI110" s="21">
        <v>100</v>
      </c>
      <c r="AJ110" s="23"/>
      <c r="AK110" s="27">
        <v>2023</v>
      </c>
      <c r="AL110" s="21">
        <v>50</v>
      </c>
      <c r="AM110" s="23"/>
    </row>
    <row r="111" spans="1:51" ht="22.5" customHeight="1">
      <c r="A111" s="27">
        <v>2024</v>
      </c>
      <c r="B111" s="42">
        <f>AVERAGE((E111+K111+Q111)/3+(H111+N111+T111)/3+W111+Z111+AC111+AF111+AI111+AL111)/8</f>
        <v>56.333333333333336</v>
      </c>
      <c r="C111" s="49"/>
      <c r="D111" s="27">
        <v>2024</v>
      </c>
      <c r="E111" s="14">
        <v>50</v>
      </c>
      <c r="F111" s="23"/>
      <c r="G111" s="27">
        <v>2024</v>
      </c>
      <c r="H111" s="44">
        <v>50</v>
      </c>
      <c r="I111" s="23"/>
      <c r="J111" s="27">
        <v>2024</v>
      </c>
      <c r="K111" s="74">
        <v>50</v>
      </c>
      <c r="L111" s="23"/>
      <c r="M111" s="27">
        <v>2024</v>
      </c>
      <c r="N111" s="21">
        <v>0</v>
      </c>
      <c r="O111" s="23"/>
      <c r="P111" s="27">
        <v>2024</v>
      </c>
      <c r="Q111" s="14">
        <v>50</v>
      </c>
      <c r="R111" s="23"/>
      <c r="S111" s="27">
        <v>2024</v>
      </c>
      <c r="T111" s="21">
        <v>0</v>
      </c>
      <c r="U111" s="23"/>
      <c r="V111" s="27">
        <v>2024</v>
      </c>
      <c r="W111" s="14">
        <v>67</v>
      </c>
      <c r="X111" s="23"/>
      <c r="Y111" s="27">
        <v>2024</v>
      </c>
      <c r="Z111" s="14">
        <v>67</v>
      </c>
      <c r="AA111" s="23"/>
      <c r="AB111" s="27">
        <v>2024</v>
      </c>
      <c r="AC111" s="21">
        <v>50</v>
      </c>
      <c r="AD111" s="23"/>
      <c r="AE111" s="27">
        <v>2024</v>
      </c>
      <c r="AF111" s="14">
        <v>50</v>
      </c>
      <c r="AG111" s="23"/>
      <c r="AH111" s="27">
        <v>2024</v>
      </c>
      <c r="AI111" s="21">
        <v>100</v>
      </c>
      <c r="AJ111" s="23"/>
      <c r="AK111" s="27">
        <v>2024</v>
      </c>
      <c r="AL111" s="21">
        <v>50</v>
      </c>
      <c r="AM111" s="23"/>
    </row>
  </sheetData>
  <mergeCells count="425">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R26:AS26"/>
    <mergeCell ref="AU26:AV26"/>
    <mergeCell ref="AX26:AY26"/>
    <mergeCell ref="Q26:R26"/>
    <mergeCell ref="T26:U26"/>
    <mergeCell ref="W26:X26"/>
    <mergeCell ref="Z26:AA26"/>
    <mergeCell ref="AC26:AD26"/>
    <mergeCell ref="AF26:AG26"/>
    <mergeCell ref="B27:C27"/>
    <mergeCell ref="E27:F27"/>
    <mergeCell ref="H27:I27"/>
    <mergeCell ref="K27:L27"/>
    <mergeCell ref="N27:O27"/>
    <mergeCell ref="Q27:R27"/>
    <mergeCell ref="AI26:AJ26"/>
    <mergeCell ref="AL26:AM26"/>
    <mergeCell ref="AO26:AP26"/>
    <mergeCell ref="AL27:AM27"/>
    <mergeCell ref="AO27:AP27"/>
    <mergeCell ref="AR27:AS27"/>
    <mergeCell ref="AU27:AV27"/>
    <mergeCell ref="AX27:AY27"/>
    <mergeCell ref="AA29:AA33"/>
    <mergeCell ref="T27:U27"/>
    <mergeCell ref="W27:X27"/>
    <mergeCell ref="Z27:AA27"/>
    <mergeCell ref="AC27:AD27"/>
    <mergeCell ref="AF27:AG27"/>
    <mergeCell ref="AI27:AJ27"/>
    <mergeCell ref="AI36:AJ36"/>
    <mergeCell ref="AL36:AM36"/>
    <mergeCell ref="B35:AM35"/>
    <mergeCell ref="B36:C36"/>
    <mergeCell ref="E36:F36"/>
    <mergeCell ref="H36:I36"/>
    <mergeCell ref="K36:L36"/>
    <mergeCell ref="N36:O36"/>
    <mergeCell ref="Q36:R36"/>
    <mergeCell ref="T36:U36"/>
    <mergeCell ref="W36:X36"/>
    <mergeCell ref="Z36:AA36"/>
    <mergeCell ref="B38:C38"/>
    <mergeCell ref="E38:F38"/>
    <mergeCell ref="H38:I38"/>
    <mergeCell ref="K38:L38"/>
    <mergeCell ref="N38:O38"/>
    <mergeCell ref="Q38:R38"/>
    <mergeCell ref="T38:U38"/>
    <mergeCell ref="AC36:AD36"/>
    <mergeCell ref="AF36:AG36"/>
    <mergeCell ref="W38:X38"/>
    <mergeCell ref="Z38:AA38"/>
    <mergeCell ref="AC38:AD38"/>
    <mergeCell ref="AF38:AG38"/>
    <mergeCell ref="H37:I37"/>
    <mergeCell ref="K37:L37"/>
    <mergeCell ref="N37:O37"/>
    <mergeCell ref="Q37:R37"/>
    <mergeCell ref="T37:U37"/>
    <mergeCell ref="W37:X37"/>
    <mergeCell ref="AI38:AJ38"/>
    <mergeCell ref="AL38:AM38"/>
    <mergeCell ref="AC37:AD37"/>
    <mergeCell ref="AI37:AJ37"/>
    <mergeCell ref="AL37:AM37"/>
    <mergeCell ref="AL39:AM39"/>
    <mergeCell ref="B40:C40"/>
    <mergeCell ref="E40:F40"/>
    <mergeCell ref="H40:I40"/>
    <mergeCell ref="K40:L40"/>
    <mergeCell ref="N40:O40"/>
    <mergeCell ref="Q40:R40"/>
    <mergeCell ref="T40:U40"/>
    <mergeCell ref="W40:X40"/>
    <mergeCell ref="Z40:AA40"/>
    <mergeCell ref="T39:U39"/>
    <mergeCell ref="W39:X39"/>
    <mergeCell ref="Z39:AA39"/>
    <mergeCell ref="AC39:AD39"/>
    <mergeCell ref="AF39:AG39"/>
    <mergeCell ref="AI39:AJ39"/>
    <mergeCell ref="B39:C39"/>
    <mergeCell ref="E39:F39"/>
    <mergeCell ref="H39:I39"/>
    <mergeCell ref="K39:L39"/>
    <mergeCell ref="N39:O39"/>
    <mergeCell ref="Q39:R39"/>
    <mergeCell ref="AC40:AD40"/>
    <mergeCell ref="AF40:AG40"/>
    <mergeCell ref="AI40:AJ40"/>
    <mergeCell ref="AL40:AM40"/>
    <mergeCell ref="B48:R48"/>
    <mergeCell ref="B49:C49"/>
    <mergeCell ref="E49:F49"/>
    <mergeCell ref="H49:I49"/>
    <mergeCell ref="K49:L49"/>
    <mergeCell ref="N49:O49"/>
    <mergeCell ref="Q49:R49"/>
    <mergeCell ref="H50:I50"/>
    <mergeCell ref="K50:L50"/>
    <mergeCell ref="N50:O50"/>
    <mergeCell ref="Q50:R50"/>
    <mergeCell ref="B51:C51"/>
    <mergeCell ref="E51:F51"/>
    <mergeCell ref="H51:I51"/>
    <mergeCell ref="K51:L51"/>
    <mergeCell ref="N51:O51"/>
    <mergeCell ref="B53:C53"/>
    <mergeCell ref="E53:F53"/>
    <mergeCell ref="H53:I53"/>
    <mergeCell ref="K53:L53"/>
    <mergeCell ref="N53:O53"/>
    <mergeCell ref="Q53:R53"/>
    <mergeCell ref="Q51:R51"/>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71" fitToWidth="4" orientation="landscape"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3BD8-DD45-4E79-BECC-1E2FFCCDEA4C}">
  <dimension ref="A1:CC102"/>
  <sheetViews>
    <sheetView topLeftCell="A18" zoomScale="84" zoomScaleNormal="84" workbookViewId="0">
      <selection activeCell="AA29" sqref="AA29"/>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4.75" customHeight="1">
      <c r="A1" s="323" t="s">
        <v>0</v>
      </c>
      <c r="B1" s="323"/>
      <c r="C1" s="323"/>
      <c r="D1" s="323"/>
    </row>
    <row r="2" spans="1:81" ht="41.4" customHeight="1">
      <c r="A2" s="2" t="s">
        <v>1</v>
      </c>
      <c r="B2" s="2" t="s">
        <v>2</v>
      </c>
      <c r="C2" s="2" t="s">
        <v>3</v>
      </c>
      <c r="D2" s="2" t="s">
        <v>4</v>
      </c>
    </row>
    <row r="3" spans="1:81" ht="15" customHeight="1">
      <c r="A3" s="3">
        <v>2020</v>
      </c>
      <c r="B3" s="256">
        <f>AVERAGE(B15,B27,B39,B51,B63,B75,B87,B99)</f>
        <v>57.491815476190482</v>
      </c>
      <c r="C3" s="256">
        <f>AVERAGE(B15,B27,B39,B51,B63,B75,B87)</f>
        <v>56.466836734693878</v>
      </c>
      <c r="D3" s="256">
        <f>AVERAGE(B15,B27,B51,B63,B75,B87)</f>
        <v>56.354166666666664</v>
      </c>
    </row>
    <row r="4" spans="1:81" ht="15" customHeight="1">
      <c r="A4" s="3">
        <v>2021</v>
      </c>
      <c r="B4" s="256">
        <f>AVERAGE(B16,B28,B40,B52,B64,B76,B88,B100)</f>
        <v>57.491815476190482</v>
      </c>
      <c r="C4" s="256">
        <f t="shared" ref="C4:C6" si="0">AVERAGE(B16,B28,B40,B52,B64,B76,B88)</f>
        <v>56.466836734693878</v>
      </c>
      <c r="D4" s="256">
        <f t="shared" ref="D4:D6" si="1">AVERAGE(B16,B28,B52,B64,B76,B88)</f>
        <v>56.354166666666664</v>
      </c>
    </row>
    <row r="5" spans="1:81" ht="15" customHeight="1">
      <c r="A5" s="3">
        <v>2022</v>
      </c>
      <c r="B5" s="256">
        <f>AVERAGE(B17,B29,B41,B53,B65,B77,B89,B101)</f>
        <v>56.962301587301596</v>
      </c>
      <c r="C5" s="256">
        <f t="shared" si="0"/>
        <v>55.861678004535158</v>
      </c>
      <c r="D5" s="256">
        <f t="shared" si="1"/>
        <v>55.648148148148152</v>
      </c>
    </row>
    <row r="6" spans="1:81" ht="15" customHeight="1">
      <c r="A6" s="3">
        <v>2023</v>
      </c>
      <c r="B6" s="256">
        <f>AVERAGE(B18,B30,B42,B54,B66,B78,B90,B102)</f>
        <v>56.962301587301596</v>
      </c>
      <c r="C6" s="256">
        <f t="shared" si="0"/>
        <v>55.861678004535158</v>
      </c>
      <c r="D6" s="256">
        <f t="shared" si="1"/>
        <v>55.648148148148152</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8" si="2">AVERAGE(E15, H15,K15,N15,Q15,T15,W15,Z15,AC15)</f>
        <v>64.777777777777771</v>
      </c>
      <c r="C15" s="16"/>
      <c r="D15" s="7">
        <v>2020</v>
      </c>
      <c r="E15" s="14">
        <v>50</v>
      </c>
      <c r="F15" s="17" t="s">
        <v>1518</v>
      </c>
      <c r="G15" s="7">
        <v>2020</v>
      </c>
      <c r="H15" s="14">
        <v>100</v>
      </c>
      <c r="I15" s="17"/>
      <c r="J15" s="7">
        <v>2020</v>
      </c>
      <c r="K15" s="14">
        <v>50</v>
      </c>
      <c r="L15" s="17"/>
      <c r="M15" s="7">
        <v>2020</v>
      </c>
      <c r="N15" s="14">
        <v>100</v>
      </c>
      <c r="O15" s="17"/>
      <c r="P15" s="7">
        <v>2020</v>
      </c>
      <c r="Q15" s="14">
        <v>33</v>
      </c>
      <c r="R15" s="17"/>
      <c r="S15" s="7">
        <v>2020</v>
      </c>
      <c r="T15" s="80">
        <v>100</v>
      </c>
      <c r="U15" s="17"/>
      <c r="V15" s="7">
        <v>2020</v>
      </c>
      <c r="W15" s="14">
        <v>0</v>
      </c>
      <c r="X15" s="17"/>
      <c r="Y15" s="7">
        <v>2020</v>
      </c>
      <c r="Z15" s="14">
        <v>50</v>
      </c>
      <c r="AB15" s="7">
        <v>2020</v>
      </c>
      <c r="AC15" s="21">
        <v>100</v>
      </c>
      <c r="AD15" s="23" t="s">
        <v>1519</v>
      </c>
    </row>
    <row r="16" spans="1:81" ht="24.75" customHeight="1">
      <c r="A16" s="7">
        <v>2021</v>
      </c>
      <c r="B16" s="15">
        <f t="shared" si="2"/>
        <v>64.777777777777771</v>
      </c>
      <c r="C16" s="16"/>
      <c r="D16" s="7">
        <v>2021</v>
      </c>
      <c r="E16" s="14">
        <v>50</v>
      </c>
      <c r="F16" s="17"/>
      <c r="G16" s="7">
        <v>2021</v>
      </c>
      <c r="H16" s="14">
        <v>100</v>
      </c>
      <c r="I16" s="17"/>
      <c r="J16" s="7">
        <v>2021</v>
      </c>
      <c r="K16" s="14">
        <v>50</v>
      </c>
      <c r="L16" s="17"/>
      <c r="M16" s="7">
        <v>2021</v>
      </c>
      <c r="N16" s="14">
        <v>100</v>
      </c>
      <c r="O16" s="17"/>
      <c r="P16" s="7">
        <v>2021</v>
      </c>
      <c r="Q16" s="14">
        <v>33</v>
      </c>
      <c r="R16" s="17"/>
      <c r="S16" s="7">
        <v>2021</v>
      </c>
      <c r="T16" s="80">
        <v>100</v>
      </c>
      <c r="U16" s="17"/>
      <c r="V16" s="7">
        <v>2021</v>
      </c>
      <c r="W16" s="14">
        <v>0</v>
      </c>
      <c r="X16" s="17"/>
      <c r="Y16" s="7">
        <v>2021</v>
      </c>
      <c r="Z16" s="14">
        <v>50</v>
      </c>
      <c r="AA16" s="81" t="s">
        <v>1520</v>
      </c>
      <c r="AB16" s="7">
        <v>2021</v>
      </c>
      <c r="AC16" s="21">
        <v>100</v>
      </c>
      <c r="AD16" s="23"/>
    </row>
    <row r="17" spans="1:51" ht="24.75" customHeight="1">
      <c r="A17" s="7">
        <v>2022</v>
      </c>
      <c r="B17" s="15">
        <f>AVERAGE(E17, H17,K17,N17,Q17,T17,W17,Z17,AC17)</f>
        <v>64.777777777777771</v>
      </c>
      <c r="C17" s="16"/>
      <c r="D17" s="7">
        <v>2022</v>
      </c>
      <c r="E17" s="14">
        <v>50</v>
      </c>
      <c r="F17" s="17"/>
      <c r="G17" s="7">
        <v>2022</v>
      </c>
      <c r="H17" s="14">
        <v>100</v>
      </c>
      <c r="I17" s="17"/>
      <c r="J17" s="7">
        <v>2022</v>
      </c>
      <c r="K17" s="14">
        <v>50</v>
      </c>
      <c r="L17" s="17"/>
      <c r="M17" s="7">
        <v>2022</v>
      </c>
      <c r="N17" s="14">
        <v>100</v>
      </c>
      <c r="O17" s="17"/>
      <c r="P17" s="7">
        <v>2022</v>
      </c>
      <c r="Q17" s="14">
        <v>33</v>
      </c>
      <c r="R17" s="17"/>
      <c r="S17" s="7">
        <v>2022</v>
      </c>
      <c r="T17" s="80">
        <v>100</v>
      </c>
      <c r="U17" s="17"/>
      <c r="V17" s="7">
        <v>2022</v>
      </c>
      <c r="W17" s="14">
        <v>0</v>
      </c>
      <c r="X17" s="17"/>
      <c r="Y17" s="7">
        <v>2022</v>
      </c>
      <c r="Z17" s="14">
        <v>50</v>
      </c>
      <c r="AA17" s="17"/>
      <c r="AB17" s="7">
        <v>2022</v>
      </c>
      <c r="AC17" s="21">
        <v>100</v>
      </c>
      <c r="AD17" s="23"/>
    </row>
    <row r="18" spans="1:51" ht="24.75" customHeight="1">
      <c r="A18" s="7">
        <v>2023</v>
      </c>
      <c r="B18" s="15">
        <f t="shared" si="2"/>
        <v>64.777777777777771</v>
      </c>
      <c r="C18" s="16"/>
      <c r="D18" s="7">
        <v>2023</v>
      </c>
      <c r="E18" s="14">
        <v>50</v>
      </c>
      <c r="F18" s="17"/>
      <c r="G18" s="7">
        <v>2023</v>
      </c>
      <c r="H18" s="14">
        <v>100</v>
      </c>
      <c r="I18" s="17"/>
      <c r="J18" s="7">
        <v>2023</v>
      </c>
      <c r="K18" s="14">
        <v>50</v>
      </c>
      <c r="L18" s="17"/>
      <c r="M18" s="7">
        <v>2023</v>
      </c>
      <c r="N18" s="14">
        <v>100</v>
      </c>
      <c r="O18" s="17"/>
      <c r="P18" s="7">
        <v>2023</v>
      </c>
      <c r="Q18" s="14">
        <v>33</v>
      </c>
      <c r="R18" s="17"/>
      <c r="S18" s="7">
        <v>2023</v>
      </c>
      <c r="T18" s="80">
        <v>100</v>
      </c>
      <c r="U18" s="17"/>
      <c r="V18" s="7">
        <v>2023</v>
      </c>
      <c r="W18" s="14">
        <v>0</v>
      </c>
      <c r="X18" s="17"/>
      <c r="Y18" s="7">
        <v>2023</v>
      </c>
      <c r="Z18" s="14">
        <v>50</v>
      </c>
      <c r="AA18" s="17"/>
      <c r="AB18" s="7">
        <v>2023</v>
      </c>
      <c r="AC18" s="21">
        <v>100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t="s">
        <v>427</v>
      </c>
      <c r="L24" s="325"/>
      <c r="M24" s="27" t="s">
        <v>30</v>
      </c>
      <c r="N24" s="325" t="s">
        <v>96</v>
      </c>
      <c r="O24" s="325"/>
      <c r="P24" s="27" t="s">
        <v>30</v>
      </c>
      <c r="Q24" s="325" t="s">
        <v>97</v>
      </c>
      <c r="R24" s="325"/>
      <c r="S24" s="27" t="s">
        <v>30</v>
      </c>
      <c r="T24" s="325" t="s">
        <v>616</v>
      </c>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329" t="s">
        <v>429</v>
      </c>
      <c r="L25" s="325"/>
      <c r="M25" s="27" t="s">
        <v>41</v>
      </c>
      <c r="N25" s="325" t="s">
        <v>109</v>
      </c>
      <c r="O25" s="325"/>
      <c r="P25" s="27" t="s">
        <v>41</v>
      </c>
      <c r="Q25" s="325" t="s">
        <v>110</v>
      </c>
      <c r="R25" s="325"/>
      <c r="S25" s="27" t="s">
        <v>41</v>
      </c>
      <c r="T25" s="329" t="s">
        <v>429</v>
      </c>
      <c r="U25" s="325"/>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30.722222222222221</v>
      </c>
      <c r="C27" s="16"/>
      <c r="D27" s="7">
        <v>2020</v>
      </c>
      <c r="E27" s="21">
        <v>50</v>
      </c>
      <c r="F27" s="17"/>
      <c r="G27" s="7">
        <v>2020</v>
      </c>
      <c r="H27" s="14">
        <v>0</v>
      </c>
      <c r="I27" s="17"/>
      <c r="J27" s="7">
        <v>2020</v>
      </c>
      <c r="K27" s="14">
        <v>0</v>
      </c>
      <c r="L27" s="17"/>
      <c r="M27" s="7">
        <v>2020</v>
      </c>
      <c r="N27" s="14">
        <v>0</v>
      </c>
      <c r="O27" s="17"/>
      <c r="P27" s="7">
        <v>2020</v>
      </c>
      <c r="Q27" s="14">
        <v>0</v>
      </c>
      <c r="R27" s="17"/>
      <c r="S27" s="7">
        <v>2020</v>
      </c>
      <c r="T27" s="14">
        <v>10</v>
      </c>
      <c r="U27" s="17"/>
      <c r="V27" s="7">
        <v>2020</v>
      </c>
      <c r="W27" s="14">
        <v>0</v>
      </c>
      <c r="X27" s="17"/>
      <c r="Y27" s="7">
        <v>2020</v>
      </c>
      <c r="Z27" s="14">
        <v>50</v>
      </c>
      <c r="AA27" s="17"/>
      <c r="AB27" s="7">
        <v>2020</v>
      </c>
      <c r="AC27" s="14">
        <v>0</v>
      </c>
      <c r="AD27" s="17"/>
      <c r="AE27" s="7">
        <v>2020</v>
      </c>
      <c r="AF27" s="31">
        <f t="shared" ref="AF27:AF30" si="3">0.67*AI27+0.33*AL27</f>
        <v>66.5</v>
      </c>
      <c r="AG27" s="17"/>
      <c r="AH27" s="7">
        <v>2020</v>
      </c>
      <c r="AI27" s="14">
        <v>50</v>
      </c>
      <c r="AJ27" s="17"/>
      <c r="AK27" s="7">
        <v>2020</v>
      </c>
      <c r="AL27" s="14">
        <v>100</v>
      </c>
      <c r="AM27" s="17"/>
      <c r="AN27" s="7">
        <v>2020</v>
      </c>
      <c r="AO27" s="14">
        <v>100</v>
      </c>
      <c r="AP27" s="17"/>
      <c r="AQ27" s="7">
        <v>2020</v>
      </c>
      <c r="AR27" s="14">
        <v>0</v>
      </c>
      <c r="AS27" s="17"/>
      <c r="AT27" s="7">
        <v>2020</v>
      </c>
      <c r="AU27" s="14">
        <v>50</v>
      </c>
      <c r="AV27" s="17"/>
      <c r="AW27" s="7">
        <v>2020</v>
      </c>
      <c r="AX27" s="14">
        <v>0</v>
      </c>
      <c r="AY27" s="23"/>
    </row>
    <row r="28" spans="1:51" ht="24.75" customHeight="1">
      <c r="A28" s="7">
        <v>2021</v>
      </c>
      <c r="B28" s="15">
        <f>AVERAGE(E28,H28,K28,T28,AF28,AO28,AU28,AX28,AR28)</f>
        <v>30.722222222222221</v>
      </c>
      <c r="C28" s="15"/>
      <c r="D28" s="7">
        <v>2021</v>
      </c>
      <c r="E28" s="21">
        <v>50</v>
      </c>
      <c r="F28" s="17"/>
      <c r="G28" s="7">
        <v>2021</v>
      </c>
      <c r="H28" s="14">
        <v>0</v>
      </c>
      <c r="I28" s="17"/>
      <c r="J28" s="7">
        <v>2021</v>
      </c>
      <c r="K28" s="14">
        <v>0</v>
      </c>
      <c r="L28" s="17"/>
      <c r="M28" s="7">
        <v>2021</v>
      </c>
      <c r="N28" s="14">
        <v>0</v>
      </c>
      <c r="O28" s="17"/>
      <c r="P28" s="7">
        <v>2021</v>
      </c>
      <c r="Q28" s="14">
        <v>0</v>
      </c>
      <c r="R28" s="17"/>
      <c r="S28" s="7">
        <v>2021</v>
      </c>
      <c r="T28" s="14">
        <v>10</v>
      </c>
      <c r="U28" s="17"/>
      <c r="V28" s="7">
        <v>2021</v>
      </c>
      <c r="W28" s="14">
        <v>0</v>
      </c>
      <c r="X28" s="17"/>
      <c r="Y28" s="7">
        <v>2021</v>
      </c>
      <c r="Z28" s="14">
        <v>50</v>
      </c>
      <c r="AA28" s="17"/>
      <c r="AB28" s="7">
        <v>2021</v>
      </c>
      <c r="AC28" s="14">
        <v>0</v>
      </c>
      <c r="AD28" s="17"/>
      <c r="AE28" s="7">
        <v>2021</v>
      </c>
      <c r="AF28" s="31">
        <f t="shared" si="3"/>
        <v>66.5</v>
      </c>
      <c r="AG28" s="17"/>
      <c r="AH28" s="7">
        <v>2021</v>
      </c>
      <c r="AI28" s="14">
        <v>50</v>
      </c>
      <c r="AJ28" s="17"/>
      <c r="AK28" s="7">
        <v>2021</v>
      </c>
      <c r="AL28" s="14">
        <v>100</v>
      </c>
      <c r="AM28" s="17"/>
      <c r="AN28" s="7">
        <v>2021</v>
      </c>
      <c r="AO28" s="14">
        <v>100</v>
      </c>
      <c r="AP28" s="17"/>
      <c r="AQ28" s="7">
        <v>2021</v>
      </c>
      <c r="AR28" s="14">
        <v>0</v>
      </c>
      <c r="AS28" s="17"/>
      <c r="AT28" s="7">
        <v>2021</v>
      </c>
      <c r="AU28" s="14">
        <v>50</v>
      </c>
      <c r="AV28" s="17"/>
      <c r="AW28" s="7">
        <v>2021</v>
      </c>
      <c r="AX28" s="14">
        <v>0</v>
      </c>
      <c r="AY28" s="23"/>
    </row>
    <row r="29" spans="1:51" ht="24.75" customHeight="1">
      <c r="A29" s="7">
        <v>2022</v>
      </c>
      <c r="B29" s="15">
        <f>AVERAGE(E29,H29,K29,T29,AF29,AO29,AU29,AX29,AR29)</f>
        <v>29.611111111111111</v>
      </c>
      <c r="C29" s="15"/>
      <c r="D29" s="7">
        <v>2022</v>
      </c>
      <c r="E29" s="21">
        <v>50</v>
      </c>
      <c r="F29" s="17"/>
      <c r="G29" s="7">
        <v>2022</v>
      </c>
      <c r="H29" s="14">
        <v>0</v>
      </c>
      <c r="I29" s="17"/>
      <c r="J29" s="7">
        <v>2022</v>
      </c>
      <c r="K29" s="14">
        <v>0</v>
      </c>
      <c r="L29" s="17"/>
      <c r="M29" s="7">
        <v>2022</v>
      </c>
      <c r="N29" s="14">
        <v>0</v>
      </c>
      <c r="O29" s="17"/>
      <c r="P29" s="7">
        <v>2022</v>
      </c>
      <c r="Q29" s="14">
        <v>0</v>
      </c>
      <c r="R29" s="17"/>
      <c r="S29" s="7">
        <v>2022</v>
      </c>
      <c r="T29" s="14">
        <v>0</v>
      </c>
      <c r="U29" s="17"/>
      <c r="V29" s="7">
        <v>2022</v>
      </c>
      <c r="W29" s="14">
        <v>0</v>
      </c>
      <c r="X29" s="17"/>
      <c r="Y29" s="7">
        <v>2022</v>
      </c>
      <c r="Z29" s="14">
        <v>0</v>
      </c>
      <c r="AA29" s="17" t="s">
        <v>1521</v>
      </c>
      <c r="AB29" s="7">
        <v>2022</v>
      </c>
      <c r="AC29" s="14">
        <v>0</v>
      </c>
      <c r="AD29" s="17"/>
      <c r="AE29" s="7">
        <v>2022</v>
      </c>
      <c r="AF29" s="31">
        <f t="shared" si="3"/>
        <v>66.5</v>
      </c>
      <c r="AG29" s="17"/>
      <c r="AH29" s="7">
        <v>2022</v>
      </c>
      <c r="AI29" s="14">
        <v>50</v>
      </c>
      <c r="AJ29" s="17"/>
      <c r="AK29" s="7">
        <v>2022</v>
      </c>
      <c r="AL29" s="14">
        <v>100</v>
      </c>
      <c r="AM29" s="17"/>
      <c r="AN29" s="7">
        <v>2022</v>
      </c>
      <c r="AO29" s="14">
        <v>100</v>
      </c>
      <c r="AP29" s="17"/>
      <c r="AQ29" s="7">
        <v>2022</v>
      </c>
      <c r="AR29" s="14">
        <v>0</v>
      </c>
      <c r="AS29" s="17"/>
      <c r="AT29" s="7">
        <v>2022</v>
      </c>
      <c r="AU29" s="14">
        <v>50</v>
      </c>
      <c r="AV29" s="17"/>
      <c r="AW29" s="7">
        <v>2022</v>
      </c>
      <c r="AX29" s="14">
        <v>0</v>
      </c>
      <c r="AY29" s="23"/>
    </row>
    <row r="30" spans="1:51" ht="24.75" customHeight="1">
      <c r="A30" s="7">
        <v>2023</v>
      </c>
      <c r="B30" s="15">
        <f>AVERAGE(E30,H30,K30,T30,AF30,AO30,AU30,AX30,AR30)</f>
        <v>29.611111111111111</v>
      </c>
      <c r="C30" s="15"/>
      <c r="D30" s="7">
        <v>2023</v>
      </c>
      <c r="E30" s="21">
        <v>50</v>
      </c>
      <c r="F30" s="17"/>
      <c r="G30" s="7">
        <v>2023</v>
      </c>
      <c r="H30" s="14">
        <v>0</v>
      </c>
      <c r="I30" s="17"/>
      <c r="J30" s="7">
        <v>2023</v>
      </c>
      <c r="K30" s="14">
        <v>0</v>
      </c>
      <c r="L30" s="17"/>
      <c r="M30" s="7">
        <v>2023</v>
      </c>
      <c r="N30" s="14">
        <v>0</v>
      </c>
      <c r="O30" s="17"/>
      <c r="P30" s="7">
        <v>2023</v>
      </c>
      <c r="Q30" s="14">
        <v>0</v>
      </c>
      <c r="R30" s="17"/>
      <c r="S30" s="7">
        <v>2023</v>
      </c>
      <c r="T30" s="14">
        <v>0</v>
      </c>
      <c r="U30" s="17"/>
      <c r="V30" s="7">
        <v>2023</v>
      </c>
      <c r="W30" s="14">
        <v>0</v>
      </c>
      <c r="X30" s="17"/>
      <c r="Y30" s="7">
        <v>2023</v>
      </c>
      <c r="Z30" s="14">
        <v>0</v>
      </c>
      <c r="AA30" s="17"/>
      <c r="AB30" s="7">
        <v>2023</v>
      </c>
      <c r="AC30" s="14">
        <v>0</v>
      </c>
      <c r="AD30" s="17"/>
      <c r="AE30" s="7">
        <v>2023</v>
      </c>
      <c r="AF30" s="31">
        <f t="shared" si="3"/>
        <v>66.5</v>
      </c>
      <c r="AG30" s="17"/>
      <c r="AH30" s="7">
        <v>2023</v>
      </c>
      <c r="AI30" s="14">
        <v>50</v>
      </c>
      <c r="AJ30" s="17"/>
      <c r="AK30" s="7">
        <v>2023</v>
      </c>
      <c r="AL30" s="14">
        <v>100</v>
      </c>
      <c r="AM30" s="17"/>
      <c r="AN30" s="7">
        <v>2023</v>
      </c>
      <c r="AO30" s="14">
        <v>100</v>
      </c>
      <c r="AP30" s="17"/>
      <c r="AQ30" s="7">
        <v>2023</v>
      </c>
      <c r="AR30" s="14">
        <v>0</v>
      </c>
      <c r="AS30" s="17"/>
      <c r="AT30" s="7">
        <v>2023</v>
      </c>
      <c r="AU30" s="14">
        <v>50</v>
      </c>
      <c r="AV30" s="17"/>
      <c r="AW30" s="7">
        <v>2023</v>
      </c>
      <c r="AX30" s="14">
        <v>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63" t="s">
        <v>172</v>
      </c>
      <c r="AG36" s="364"/>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308" t="s">
        <v>433</v>
      </c>
      <c r="AG37" s="310"/>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57.142857142857146</v>
      </c>
      <c r="C39" s="16"/>
      <c r="D39" s="7">
        <v>2020</v>
      </c>
      <c r="E39" s="14">
        <v>100</v>
      </c>
      <c r="F39" s="17"/>
      <c r="G39" s="7">
        <v>2020</v>
      </c>
      <c r="H39" s="14">
        <v>0</v>
      </c>
      <c r="I39" s="17" t="s">
        <v>1522</v>
      </c>
      <c r="J39" s="7">
        <v>2020</v>
      </c>
      <c r="K39" s="14">
        <v>0</v>
      </c>
      <c r="L39" s="17"/>
      <c r="M39" s="7">
        <v>2020</v>
      </c>
      <c r="N39" s="31">
        <f t="shared" ref="N39:N42" si="4">AVERAGE(Q39,T39,W39)</f>
        <v>50</v>
      </c>
      <c r="O39" s="14"/>
      <c r="P39" s="7">
        <v>2020</v>
      </c>
      <c r="Q39" s="14">
        <v>100</v>
      </c>
      <c r="R39" s="17"/>
      <c r="S39" s="7">
        <v>2020</v>
      </c>
      <c r="T39" s="14">
        <v>50</v>
      </c>
      <c r="U39" s="17"/>
      <c r="V39" s="7">
        <v>2020</v>
      </c>
      <c r="W39" s="14">
        <v>0</v>
      </c>
      <c r="X39" s="17"/>
      <c r="Y39" s="7">
        <v>2020</v>
      </c>
      <c r="Z39" s="14">
        <v>50</v>
      </c>
      <c r="AA39" s="17"/>
      <c r="AB39" s="7">
        <v>2020</v>
      </c>
      <c r="AC39" s="14">
        <v>100</v>
      </c>
      <c r="AD39" s="17"/>
      <c r="AE39" s="7">
        <v>2020</v>
      </c>
      <c r="AF39" s="14">
        <v>100</v>
      </c>
      <c r="AG39" s="14"/>
      <c r="AH39" s="7">
        <v>2020</v>
      </c>
      <c r="AI39" s="21">
        <v>50</v>
      </c>
      <c r="AJ39" s="17"/>
      <c r="AK39" s="7">
        <v>2020</v>
      </c>
      <c r="AL39" s="14">
        <v>100</v>
      </c>
      <c r="AM39" s="23"/>
    </row>
    <row r="40" spans="1:39" ht="24.75" customHeight="1">
      <c r="A40" s="7">
        <v>2021</v>
      </c>
      <c r="B40" s="16">
        <f>AVERAGE(E40,H40,K40,N40,Z40,AC40,AF40)</f>
        <v>57.142857142857146</v>
      </c>
      <c r="C40" s="16"/>
      <c r="D40" s="7">
        <v>2021</v>
      </c>
      <c r="E40" s="14">
        <v>100</v>
      </c>
      <c r="F40" s="17"/>
      <c r="G40" s="7">
        <v>2021</v>
      </c>
      <c r="H40" s="14">
        <v>0</v>
      </c>
      <c r="I40" s="17"/>
      <c r="J40" s="7">
        <v>2021</v>
      </c>
      <c r="K40" s="14">
        <v>0</v>
      </c>
      <c r="L40" s="17"/>
      <c r="M40" s="7">
        <v>2021</v>
      </c>
      <c r="N40" s="31">
        <f t="shared" si="4"/>
        <v>50</v>
      </c>
      <c r="O40" s="14"/>
      <c r="P40" s="7">
        <v>2021</v>
      </c>
      <c r="Q40" s="14">
        <v>100</v>
      </c>
      <c r="R40" s="17"/>
      <c r="S40" s="7">
        <v>2021</v>
      </c>
      <c r="T40" s="14">
        <v>50</v>
      </c>
      <c r="U40" s="17"/>
      <c r="V40" s="7">
        <v>2021</v>
      </c>
      <c r="W40" s="14">
        <v>0</v>
      </c>
      <c r="X40" s="17"/>
      <c r="Y40" s="7">
        <v>2021</v>
      </c>
      <c r="Z40" s="14">
        <v>50</v>
      </c>
      <c r="AA40" s="17"/>
      <c r="AB40" s="7">
        <v>2021</v>
      </c>
      <c r="AC40" s="14">
        <v>100</v>
      </c>
      <c r="AD40" s="17"/>
      <c r="AE40" s="7">
        <v>2021</v>
      </c>
      <c r="AF40" s="14">
        <v>100</v>
      </c>
      <c r="AG40" s="14"/>
      <c r="AH40" s="7">
        <v>2021</v>
      </c>
      <c r="AI40" s="21">
        <v>50</v>
      </c>
      <c r="AJ40" s="17"/>
      <c r="AK40" s="7">
        <v>2021</v>
      </c>
      <c r="AL40" s="14">
        <v>100</v>
      </c>
      <c r="AM40" s="23"/>
    </row>
    <row r="41" spans="1:39" ht="24.75" customHeight="1">
      <c r="A41" s="7">
        <v>2022</v>
      </c>
      <c r="B41" s="16">
        <f>AVERAGE(E41,H41,K41,N41,Z41,AC41,AF41)</f>
        <v>57.142857142857146</v>
      </c>
      <c r="C41" s="16"/>
      <c r="D41" s="7">
        <v>2022</v>
      </c>
      <c r="E41" s="14">
        <v>100</v>
      </c>
      <c r="F41" s="17"/>
      <c r="G41" s="7">
        <v>2022</v>
      </c>
      <c r="H41" s="14">
        <v>0</v>
      </c>
      <c r="I41" s="17"/>
      <c r="J41" s="7">
        <v>2022</v>
      </c>
      <c r="K41" s="14">
        <v>0</v>
      </c>
      <c r="L41" s="17"/>
      <c r="M41" s="7">
        <v>2022</v>
      </c>
      <c r="N41" s="31">
        <f t="shared" si="4"/>
        <v>50</v>
      </c>
      <c r="O41" s="14"/>
      <c r="P41" s="7">
        <v>2022</v>
      </c>
      <c r="Q41" s="14">
        <v>100</v>
      </c>
      <c r="R41" s="17"/>
      <c r="S41" s="7">
        <v>2022</v>
      </c>
      <c r="T41" s="14">
        <v>50</v>
      </c>
      <c r="U41" s="17"/>
      <c r="V41" s="7">
        <v>2022</v>
      </c>
      <c r="W41" s="14">
        <v>0</v>
      </c>
      <c r="X41" s="17"/>
      <c r="Y41" s="7">
        <v>2022</v>
      </c>
      <c r="Z41" s="14">
        <v>50</v>
      </c>
      <c r="AA41" s="17"/>
      <c r="AB41" s="7">
        <v>2022</v>
      </c>
      <c r="AC41" s="14">
        <v>100</v>
      </c>
      <c r="AD41" s="17"/>
      <c r="AE41" s="7">
        <v>2022</v>
      </c>
      <c r="AF41" s="14">
        <v>100</v>
      </c>
      <c r="AG41" s="14"/>
      <c r="AH41" s="7">
        <v>2022</v>
      </c>
      <c r="AI41" s="21">
        <v>50</v>
      </c>
      <c r="AJ41" s="17"/>
      <c r="AK41" s="7">
        <v>2022</v>
      </c>
      <c r="AL41" s="14">
        <v>100</v>
      </c>
      <c r="AM41" s="23"/>
    </row>
    <row r="42" spans="1:39" ht="24.75" customHeight="1">
      <c r="A42" s="7">
        <v>2023</v>
      </c>
      <c r="B42" s="16">
        <f>AVERAGE(E42,H42,K42,N42,Z42,AC42,AF42)</f>
        <v>57.142857142857146</v>
      </c>
      <c r="C42" s="16"/>
      <c r="D42" s="7">
        <v>2023</v>
      </c>
      <c r="E42" s="14">
        <v>100</v>
      </c>
      <c r="F42" s="17"/>
      <c r="G42" s="7">
        <v>2023</v>
      </c>
      <c r="H42" s="14">
        <v>0</v>
      </c>
      <c r="I42" s="17"/>
      <c r="J42" s="7">
        <v>2023</v>
      </c>
      <c r="K42" s="14">
        <v>0</v>
      </c>
      <c r="L42" s="17"/>
      <c r="M42" s="7">
        <v>2023</v>
      </c>
      <c r="N42" s="31">
        <f t="shared" si="4"/>
        <v>50</v>
      </c>
      <c r="O42" s="14"/>
      <c r="P42" s="7">
        <v>2023</v>
      </c>
      <c r="Q42" s="14">
        <v>100</v>
      </c>
      <c r="R42" s="17"/>
      <c r="S42" s="7">
        <v>2023</v>
      </c>
      <c r="T42" s="14">
        <v>50</v>
      </c>
      <c r="U42" s="17"/>
      <c r="V42" s="7">
        <v>2023</v>
      </c>
      <c r="W42" s="14">
        <v>0</v>
      </c>
      <c r="X42" s="17"/>
      <c r="Y42" s="7">
        <v>2023</v>
      </c>
      <c r="Z42" s="14">
        <v>50</v>
      </c>
      <c r="AA42" s="17"/>
      <c r="AB42" s="7">
        <v>2023</v>
      </c>
      <c r="AC42" s="14">
        <v>100</v>
      </c>
      <c r="AD42" s="17"/>
      <c r="AE42" s="7">
        <v>2023</v>
      </c>
      <c r="AF42" s="14">
        <v>100</v>
      </c>
      <c r="AG42" s="14"/>
      <c r="AH42" s="7">
        <v>2023</v>
      </c>
      <c r="AI42" s="21">
        <v>50</v>
      </c>
      <c r="AJ42" s="17"/>
      <c r="AK42" s="7">
        <v>2023</v>
      </c>
      <c r="AL42" s="14">
        <v>100</v>
      </c>
      <c r="AM42" s="23"/>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AVERAGE(E51,H51,K51,N51,Q51)</f>
        <v>50</v>
      </c>
      <c r="C51" s="16"/>
      <c r="D51" s="7">
        <v>2020</v>
      </c>
      <c r="E51" s="14">
        <v>75</v>
      </c>
      <c r="F51" s="17"/>
      <c r="G51" s="7">
        <v>2020</v>
      </c>
      <c r="H51" s="14">
        <v>100</v>
      </c>
      <c r="I51" s="17"/>
      <c r="J51" s="7">
        <v>2020</v>
      </c>
      <c r="K51" s="14">
        <v>25</v>
      </c>
      <c r="L51" s="17"/>
      <c r="M51" s="7">
        <v>2020</v>
      </c>
      <c r="N51" s="14">
        <v>50</v>
      </c>
      <c r="O51" s="17"/>
      <c r="P51" s="7">
        <v>2020</v>
      </c>
      <c r="Q51" s="14">
        <v>0</v>
      </c>
      <c r="R51" s="23"/>
    </row>
    <row r="52" spans="1:24" ht="24.75" customHeight="1">
      <c r="A52" s="7">
        <v>2021</v>
      </c>
      <c r="B52" s="15">
        <f>AVERAGE(E52,H52,K52,N52,Q52)</f>
        <v>50</v>
      </c>
      <c r="C52" s="15"/>
      <c r="D52" s="7">
        <v>2021</v>
      </c>
      <c r="E52" s="14">
        <v>75</v>
      </c>
      <c r="F52" s="17"/>
      <c r="G52" s="7">
        <v>2021</v>
      </c>
      <c r="H52" s="14">
        <v>100</v>
      </c>
      <c r="I52" s="17"/>
      <c r="J52" s="7">
        <v>2021</v>
      </c>
      <c r="K52" s="14">
        <v>25</v>
      </c>
      <c r="L52" s="17"/>
      <c r="M52" s="7">
        <v>2021</v>
      </c>
      <c r="N52" s="14">
        <v>50</v>
      </c>
      <c r="O52" s="17"/>
      <c r="P52" s="7">
        <v>2021</v>
      </c>
      <c r="Q52" s="14">
        <v>0</v>
      </c>
      <c r="R52" s="23"/>
    </row>
    <row r="53" spans="1:24" ht="24.75" customHeight="1">
      <c r="A53" s="7">
        <v>2022</v>
      </c>
      <c r="B53" s="15">
        <f>AVERAGE(E53,H53,K53,N53,Q53)</f>
        <v>50</v>
      </c>
      <c r="C53" s="15"/>
      <c r="D53" s="7">
        <v>2022</v>
      </c>
      <c r="E53" s="14">
        <v>75</v>
      </c>
      <c r="F53" s="17"/>
      <c r="G53" s="7">
        <v>2022</v>
      </c>
      <c r="H53" s="14">
        <v>100</v>
      </c>
      <c r="I53" s="17"/>
      <c r="J53" s="7">
        <v>2022</v>
      </c>
      <c r="K53" s="14">
        <v>25</v>
      </c>
      <c r="L53" s="17"/>
      <c r="M53" s="7">
        <v>2022</v>
      </c>
      <c r="N53" s="14">
        <v>50</v>
      </c>
      <c r="O53" s="17"/>
      <c r="P53" s="7">
        <v>2022</v>
      </c>
      <c r="Q53" s="14">
        <v>0</v>
      </c>
      <c r="R53" s="23"/>
    </row>
    <row r="54" spans="1:24" ht="24.75" customHeight="1">
      <c r="A54" s="7">
        <v>2023</v>
      </c>
      <c r="B54" s="15">
        <f>AVERAGE(E54,H54,K54,N54,Q54)</f>
        <v>50</v>
      </c>
      <c r="C54" s="15"/>
      <c r="D54" s="7">
        <v>2023</v>
      </c>
      <c r="E54" s="14">
        <v>75</v>
      </c>
      <c r="F54" s="17"/>
      <c r="G54" s="7">
        <v>2023</v>
      </c>
      <c r="H54" s="14">
        <v>100</v>
      </c>
      <c r="I54" s="17"/>
      <c r="J54" s="7">
        <v>2023</v>
      </c>
      <c r="K54" s="14">
        <v>25</v>
      </c>
      <c r="L54" s="17"/>
      <c r="M54" s="7">
        <v>2023</v>
      </c>
      <c r="N54" s="14">
        <v>50</v>
      </c>
      <c r="O54" s="17"/>
      <c r="P54" s="7">
        <v>2023</v>
      </c>
      <c r="Q54" s="14">
        <v>0</v>
      </c>
      <c r="R54" s="2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 t="shared" ref="B63:B66" si="5">AVERAGE(E63,((H63+K63)/2),((N63+Q63+T63)/3),W63)</f>
        <v>52.083333333333336</v>
      </c>
      <c r="C63" s="16"/>
      <c r="D63" s="7">
        <v>2020</v>
      </c>
      <c r="E63" s="21">
        <v>50</v>
      </c>
      <c r="F63" s="17"/>
      <c r="G63" s="7">
        <v>2020</v>
      </c>
      <c r="H63" s="14">
        <v>0</v>
      </c>
      <c r="I63" s="17"/>
      <c r="J63" s="7">
        <v>2020</v>
      </c>
      <c r="K63" s="14">
        <v>50</v>
      </c>
      <c r="L63" s="17"/>
      <c r="M63" s="7">
        <v>2020</v>
      </c>
      <c r="N63" s="14">
        <v>50</v>
      </c>
      <c r="O63" s="17"/>
      <c r="P63" s="7">
        <v>2020</v>
      </c>
      <c r="Q63" s="14">
        <v>50</v>
      </c>
      <c r="R63" s="17"/>
      <c r="S63" s="7">
        <v>2020</v>
      </c>
      <c r="T63" s="14">
        <v>0</v>
      </c>
      <c r="U63" s="17"/>
      <c r="V63" s="7">
        <v>2020</v>
      </c>
      <c r="W63" s="14">
        <v>100</v>
      </c>
      <c r="X63" s="23" t="s">
        <v>1523</v>
      </c>
    </row>
    <row r="64" spans="1:24" ht="24.75" customHeight="1">
      <c r="A64" s="7">
        <v>2021</v>
      </c>
      <c r="B64" s="15">
        <f t="shared" si="5"/>
        <v>52.083333333333336</v>
      </c>
      <c r="C64" s="15"/>
      <c r="D64" s="7">
        <v>2021</v>
      </c>
      <c r="E64" s="21">
        <v>50</v>
      </c>
      <c r="F64" s="17"/>
      <c r="G64" s="7">
        <v>2021</v>
      </c>
      <c r="H64" s="14">
        <v>0</v>
      </c>
      <c r="I64" s="17"/>
      <c r="J64" s="7">
        <v>2021</v>
      </c>
      <c r="K64" s="14">
        <v>50</v>
      </c>
      <c r="L64" s="17"/>
      <c r="M64" s="7">
        <v>2021</v>
      </c>
      <c r="N64" s="14">
        <v>50</v>
      </c>
      <c r="O64" s="17"/>
      <c r="P64" s="7">
        <v>2021</v>
      </c>
      <c r="Q64" s="14">
        <v>50</v>
      </c>
      <c r="R64" s="17"/>
      <c r="S64" s="7">
        <v>2021</v>
      </c>
      <c r="T64" s="14">
        <v>0</v>
      </c>
      <c r="U64" s="17"/>
      <c r="V64" s="7">
        <v>2021</v>
      </c>
      <c r="W64" s="14">
        <v>100</v>
      </c>
      <c r="X64" s="23"/>
    </row>
    <row r="65" spans="1:33" ht="24.75" customHeight="1">
      <c r="A65" s="7">
        <v>2022</v>
      </c>
      <c r="B65" s="15">
        <f t="shared" si="5"/>
        <v>52.083333333333336</v>
      </c>
      <c r="C65" s="15"/>
      <c r="D65" s="7">
        <v>2022</v>
      </c>
      <c r="E65" s="21">
        <v>50</v>
      </c>
      <c r="F65" s="17"/>
      <c r="G65" s="7">
        <v>2022</v>
      </c>
      <c r="H65" s="14">
        <v>0</v>
      </c>
      <c r="I65" s="17"/>
      <c r="J65" s="7">
        <v>2022</v>
      </c>
      <c r="K65" s="14">
        <v>50</v>
      </c>
      <c r="L65" s="17"/>
      <c r="M65" s="7">
        <v>2022</v>
      </c>
      <c r="N65" s="14">
        <v>50</v>
      </c>
      <c r="O65" s="17"/>
      <c r="P65" s="7">
        <v>2022</v>
      </c>
      <c r="Q65" s="14">
        <v>50</v>
      </c>
      <c r="R65" s="17"/>
      <c r="S65" s="7">
        <v>2022</v>
      </c>
      <c r="T65" s="14">
        <v>0</v>
      </c>
      <c r="U65" s="17"/>
      <c r="V65" s="7">
        <v>2022</v>
      </c>
      <c r="W65" s="14">
        <v>100</v>
      </c>
      <c r="X65" s="23"/>
    </row>
    <row r="66" spans="1:33" ht="24.75" customHeight="1">
      <c r="A66" s="7">
        <v>2023</v>
      </c>
      <c r="B66" s="15">
        <f t="shared" si="5"/>
        <v>52.083333333333336</v>
      </c>
      <c r="C66" s="15"/>
      <c r="D66" s="7">
        <v>2023</v>
      </c>
      <c r="E66" s="21">
        <v>50</v>
      </c>
      <c r="F66" s="17"/>
      <c r="G66" s="7">
        <v>2023</v>
      </c>
      <c r="H66" s="14">
        <v>0</v>
      </c>
      <c r="I66" s="17"/>
      <c r="J66" s="7">
        <v>2023</v>
      </c>
      <c r="K66" s="14">
        <v>50</v>
      </c>
      <c r="L66" s="17"/>
      <c r="M66" s="7">
        <v>2023</v>
      </c>
      <c r="N66" s="14">
        <v>50</v>
      </c>
      <c r="O66" s="17"/>
      <c r="P66" s="7">
        <v>2023</v>
      </c>
      <c r="Q66" s="14">
        <v>50</v>
      </c>
      <c r="R66" s="17"/>
      <c r="S66" s="7">
        <v>2023</v>
      </c>
      <c r="T66" s="14">
        <v>0</v>
      </c>
      <c r="U66" s="17"/>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6">AVERAGE(E75,H75,K75,Z75)</f>
        <v>55.125</v>
      </c>
      <c r="C75" s="15"/>
      <c r="D75" s="7">
        <v>2020</v>
      </c>
      <c r="E75" s="14">
        <v>100</v>
      </c>
      <c r="F75" s="17">
        <v>100</v>
      </c>
      <c r="G75" s="7">
        <v>2020</v>
      </c>
      <c r="H75" s="14">
        <v>33</v>
      </c>
      <c r="I75" s="17"/>
      <c r="J75" s="7">
        <v>2020</v>
      </c>
      <c r="K75" s="31">
        <f t="shared" ref="K75:K78" si="7">AVERAGE(N75,Q75,T75,W75)</f>
        <v>37.5</v>
      </c>
      <c r="L75" s="14"/>
      <c r="M75" s="7">
        <v>2020</v>
      </c>
      <c r="N75" s="21">
        <v>50</v>
      </c>
      <c r="O75" s="17"/>
      <c r="P75" s="7">
        <v>2020</v>
      </c>
      <c r="Q75" s="21">
        <v>0</v>
      </c>
      <c r="R75" s="17"/>
      <c r="S75" s="7">
        <v>2020</v>
      </c>
      <c r="T75" s="21">
        <v>100</v>
      </c>
      <c r="U75" s="17"/>
      <c r="V75" s="7">
        <v>2020</v>
      </c>
      <c r="W75" s="21">
        <v>0</v>
      </c>
      <c r="X75" s="17"/>
      <c r="Y75" s="7">
        <v>2020</v>
      </c>
      <c r="Z75" s="14">
        <v>50</v>
      </c>
      <c r="AA75" s="23"/>
    </row>
    <row r="76" spans="1:33" ht="24.75" customHeight="1">
      <c r="A76" s="7">
        <v>2021</v>
      </c>
      <c r="B76" s="15">
        <f t="shared" si="6"/>
        <v>55.125</v>
      </c>
      <c r="C76" s="15"/>
      <c r="D76" s="7">
        <v>2021</v>
      </c>
      <c r="E76" s="14">
        <v>100</v>
      </c>
      <c r="F76" s="17">
        <v>100</v>
      </c>
      <c r="G76" s="7">
        <v>2021</v>
      </c>
      <c r="H76" s="14">
        <v>33</v>
      </c>
      <c r="I76" s="17"/>
      <c r="J76" s="7">
        <v>2021</v>
      </c>
      <c r="K76" s="31">
        <f t="shared" si="7"/>
        <v>37.5</v>
      </c>
      <c r="L76" s="14"/>
      <c r="M76" s="7">
        <v>2021</v>
      </c>
      <c r="N76" s="21">
        <v>50</v>
      </c>
      <c r="O76" s="17"/>
      <c r="P76" s="7">
        <v>2021</v>
      </c>
      <c r="Q76" s="21">
        <v>0</v>
      </c>
      <c r="R76" s="17"/>
      <c r="S76" s="7">
        <v>2021</v>
      </c>
      <c r="T76" s="21">
        <v>100</v>
      </c>
      <c r="U76" s="17"/>
      <c r="V76" s="7">
        <v>2021</v>
      </c>
      <c r="W76" s="21">
        <v>0</v>
      </c>
      <c r="X76" s="17"/>
      <c r="Y76" s="7">
        <v>2021</v>
      </c>
      <c r="Z76" s="14">
        <v>50</v>
      </c>
      <c r="AA76" s="23"/>
    </row>
    <row r="77" spans="1:33" ht="24.75" customHeight="1">
      <c r="A77" s="7">
        <v>2022</v>
      </c>
      <c r="B77" s="15">
        <f>AVERAGE(E77,H77,K77,Z77)</f>
        <v>52</v>
      </c>
      <c r="C77" s="15"/>
      <c r="D77" s="7">
        <v>2022</v>
      </c>
      <c r="E77" s="14">
        <v>100</v>
      </c>
      <c r="F77" s="17">
        <v>100</v>
      </c>
      <c r="G77" s="7">
        <v>2022</v>
      </c>
      <c r="H77" s="14">
        <v>33</v>
      </c>
      <c r="I77" s="17"/>
      <c r="J77" s="7">
        <v>2022</v>
      </c>
      <c r="K77" s="31">
        <f t="shared" si="7"/>
        <v>25</v>
      </c>
      <c r="L77" s="14"/>
      <c r="M77" s="7">
        <v>2022</v>
      </c>
      <c r="N77" s="21">
        <v>0</v>
      </c>
      <c r="O77" s="208" t="s">
        <v>1521</v>
      </c>
      <c r="P77" s="7">
        <v>2022</v>
      </c>
      <c r="Q77" s="21">
        <v>0</v>
      </c>
      <c r="R77" s="17"/>
      <c r="S77" s="7">
        <v>2022</v>
      </c>
      <c r="T77" s="21">
        <v>100</v>
      </c>
      <c r="U77" s="17"/>
      <c r="V77" s="7">
        <v>2022</v>
      </c>
      <c r="W77" s="21">
        <v>0</v>
      </c>
      <c r="X77" s="17"/>
      <c r="Y77" s="7">
        <v>2022</v>
      </c>
      <c r="Z77" s="14">
        <v>50</v>
      </c>
      <c r="AA77" s="23"/>
    </row>
    <row r="78" spans="1:33" ht="24.75" customHeight="1">
      <c r="A78" s="7">
        <v>2023</v>
      </c>
      <c r="B78" s="15">
        <f t="shared" si="6"/>
        <v>52</v>
      </c>
      <c r="C78" s="15"/>
      <c r="D78" s="7">
        <v>2023</v>
      </c>
      <c r="E78" s="14">
        <v>100</v>
      </c>
      <c r="F78" s="17">
        <v>100</v>
      </c>
      <c r="G78" s="7">
        <v>2023</v>
      </c>
      <c r="H78" s="14">
        <v>33</v>
      </c>
      <c r="I78" s="17"/>
      <c r="J78" s="7">
        <v>2023</v>
      </c>
      <c r="K78" s="31">
        <f t="shared" si="7"/>
        <v>25</v>
      </c>
      <c r="L78" s="14"/>
      <c r="M78" s="7">
        <v>2023</v>
      </c>
      <c r="N78" s="21">
        <v>0</v>
      </c>
      <c r="O78" s="209"/>
      <c r="P78" s="7">
        <v>2023</v>
      </c>
      <c r="Q78" s="21">
        <v>0</v>
      </c>
      <c r="R78" s="17"/>
      <c r="S78" s="7">
        <v>2023</v>
      </c>
      <c r="T78" s="21">
        <v>100</v>
      </c>
      <c r="U78" s="17"/>
      <c r="V78" s="7">
        <v>2023</v>
      </c>
      <c r="W78" s="21">
        <v>0</v>
      </c>
      <c r="X78" s="17"/>
      <c r="Y78" s="7">
        <v>2023</v>
      </c>
      <c r="Z78" s="14">
        <v>50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85.416666666666671</v>
      </c>
      <c r="C87" s="15"/>
      <c r="D87" s="7">
        <v>2020</v>
      </c>
      <c r="E87" s="21">
        <v>100</v>
      </c>
      <c r="F87" s="17"/>
      <c r="G87" s="7">
        <v>2020</v>
      </c>
      <c r="H87" s="31">
        <f t="shared" ref="H87:H90" si="8">AVERAGE(K87,N87,Q87,T87)</f>
        <v>75</v>
      </c>
      <c r="I87" s="14"/>
      <c r="J87" s="7">
        <v>2020</v>
      </c>
      <c r="K87" s="14">
        <v>100</v>
      </c>
      <c r="L87" s="17"/>
      <c r="M87" s="7">
        <v>2020</v>
      </c>
      <c r="N87" s="14">
        <v>100</v>
      </c>
      <c r="O87" s="17"/>
      <c r="P87" s="7">
        <v>2020</v>
      </c>
      <c r="Q87" s="21">
        <v>0</v>
      </c>
      <c r="R87" s="17"/>
      <c r="S87" s="7">
        <v>2020</v>
      </c>
      <c r="T87" s="14">
        <v>100</v>
      </c>
      <c r="U87" s="17"/>
      <c r="V87" s="7">
        <v>2020</v>
      </c>
      <c r="W87" s="14">
        <v>100</v>
      </c>
      <c r="X87" s="17"/>
      <c r="Y87" s="7">
        <v>2020</v>
      </c>
      <c r="Z87" s="14">
        <v>100</v>
      </c>
      <c r="AA87" s="17"/>
      <c r="AB87" s="7">
        <v>2020</v>
      </c>
      <c r="AC87" s="14">
        <v>100</v>
      </c>
      <c r="AD87" s="17"/>
      <c r="AE87" s="7">
        <v>2020</v>
      </c>
      <c r="AF87" s="14">
        <v>0</v>
      </c>
      <c r="AG87" s="23"/>
    </row>
    <row r="88" spans="1:51" ht="24.75" customHeight="1">
      <c r="A88" s="7">
        <v>2021</v>
      </c>
      <c r="B88" s="15">
        <f>AVERAGE(E88,H88, W88,((Z88+AC88+AF88)/3))</f>
        <v>85.416666666666671</v>
      </c>
      <c r="C88" s="15"/>
      <c r="D88" s="7">
        <v>2021</v>
      </c>
      <c r="E88" s="21">
        <v>100</v>
      </c>
      <c r="F88" s="17"/>
      <c r="G88" s="7">
        <v>2021</v>
      </c>
      <c r="H88" s="31">
        <f t="shared" si="8"/>
        <v>75</v>
      </c>
      <c r="I88" s="14"/>
      <c r="J88" s="7">
        <v>2021</v>
      </c>
      <c r="K88" s="14">
        <v>100</v>
      </c>
      <c r="L88" s="17"/>
      <c r="M88" s="7">
        <v>2021</v>
      </c>
      <c r="N88" s="14">
        <v>100</v>
      </c>
      <c r="O88" s="17"/>
      <c r="P88" s="7">
        <v>2021</v>
      </c>
      <c r="Q88" s="21">
        <v>0</v>
      </c>
      <c r="R88" s="17"/>
      <c r="S88" s="7">
        <v>2021</v>
      </c>
      <c r="T88" s="14">
        <v>100</v>
      </c>
      <c r="U88" s="17"/>
      <c r="V88" s="7">
        <v>2021</v>
      </c>
      <c r="W88" s="14">
        <v>100</v>
      </c>
      <c r="X88" s="17"/>
      <c r="Y88" s="7">
        <v>2021</v>
      </c>
      <c r="Z88" s="14">
        <v>100</v>
      </c>
      <c r="AA88" s="17"/>
      <c r="AB88" s="7">
        <v>2021</v>
      </c>
      <c r="AC88" s="14">
        <v>100</v>
      </c>
      <c r="AD88" s="17"/>
      <c r="AE88" s="7">
        <v>2021</v>
      </c>
      <c r="AF88" s="14">
        <v>0</v>
      </c>
      <c r="AG88" s="23"/>
    </row>
    <row r="89" spans="1:51" ht="24.75" customHeight="1">
      <c r="A89" s="7">
        <v>2022</v>
      </c>
      <c r="B89" s="15">
        <f>AVERAGE(E89,H89, W89,((Z89+AC89+AF89)/3))</f>
        <v>85.416666666666671</v>
      </c>
      <c r="C89" s="15"/>
      <c r="D89" s="7">
        <v>2022</v>
      </c>
      <c r="E89" s="21">
        <v>100</v>
      </c>
      <c r="F89" s="17"/>
      <c r="G89" s="7">
        <v>2022</v>
      </c>
      <c r="H89" s="31">
        <f t="shared" si="8"/>
        <v>75</v>
      </c>
      <c r="I89" s="14"/>
      <c r="J89" s="7">
        <v>2022</v>
      </c>
      <c r="K89" s="14">
        <v>100</v>
      </c>
      <c r="L89" s="17"/>
      <c r="M89" s="7">
        <v>2022</v>
      </c>
      <c r="N89" s="14">
        <v>100</v>
      </c>
      <c r="O89" s="17"/>
      <c r="P89" s="7">
        <v>2022</v>
      </c>
      <c r="Q89" s="21">
        <v>0</v>
      </c>
      <c r="R89" s="17"/>
      <c r="S89" s="7">
        <v>2022</v>
      </c>
      <c r="T89" s="14">
        <v>100</v>
      </c>
      <c r="U89" s="17"/>
      <c r="V89" s="7">
        <v>2022</v>
      </c>
      <c r="W89" s="14">
        <v>100</v>
      </c>
      <c r="X89" s="17"/>
      <c r="Y89" s="7">
        <v>2022</v>
      </c>
      <c r="Z89" s="14">
        <v>100</v>
      </c>
      <c r="AA89" s="17"/>
      <c r="AB89" s="7">
        <v>2022</v>
      </c>
      <c r="AC89" s="14">
        <v>100</v>
      </c>
      <c r="AD89" s="17"/>
      <c r="AE89" s="7">
        <v>2022</v>
      </c>
      <c r="AF89" s="14">
        <v>0</v>
      </c>
      <c r="AG89" s="23"/>
    </row>
    <row r="90" spans="1:51" ht="24.75" customHeight="1">
      <c r="A90" s="7">
        <v>2023</v>
      </c>
      <c r="B90" s="15">
        <f>AVERAGE(E90,H90, W90,((Z90+AC90+AF90)/3))</f>
        <v>85.416666666666671</v>
      </c>
      <c r="C90" s="15"/>
      <c r="D90" s="7">
        <v>2023</v>
      </c>
      <c r="E90" s="21">
        <v>100</v>
      </c>
      <c r="F90" s="17"/>
      <c r="G90" s="7">
        <v>2023</v>
      </c>
      <c r="H90" s="31">
        <f t="shared" si="8"/>
        <v>75</v>
      </c>
      <c r="I90" s="14"/>
      <c r="J90" s="7">
        <v>2023</v>
      </c>
      <c r="K90" s="14">
        <v>100</v>
      </c>
      <c r="L90" s="17"/>
      <c r="M90" s="7">
        <v>2023</v>
      </c>
      <c r="N90" s="14">
        <v>100</v>
      </c>
      <c r="O90" s="17"/>
      <c r="P90" s="7">
        <v>2023</v>
      </c>
      <c r="Q90" s="21">
        <v>0</v>
      </c>
      <c r="R90" s="17"/>
      <c r="S90" s="7">
        <v>2023</v>
      </c>
      <c r="T90" s="14">
        <v>100</v>
      </c>
      <c r="U90" s="17"/>
      <c r="V90" s="7">
        <v>2023</v>
      </c>
      <c r="W90" s="14">
        <v>100</v>
      </c>
      <c r="X90" s="17"/>
      <c r="Y90" s="7">
        <v>2023</v>
      </c>
      <c r="Z90" s="14">
        <v>100</v>
      </c>
      <c r="AA90" s="17"/>
      <c r="AB90" s="7">
        <v>2023</v>
      </c>
      <c r="AC90" s="14">
        <v>100</v>
      </c>
      <c r="AD90" s="17"/>
      <c r="AE90" s="7">
        <v>2023</v>
      </c>
      <c r="AF90" s="14">
        <v>0</v>
      </c>
      <c r="AG90" s="23"/>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64.666666666666671</v>
      </c>
      <c r="C99" s="43"/>
      <c r="D99" s="27">
        <v>2020</v>
      </c>
      <c r="E99" s="14">
        <v>100</v>
      </c>
      <c r="F99" s="23"/>
      <c r="G99" s="7">
        <v>2020</v>
      </c>
      <c r="H99" s="44">
        <v>100</v>
      </c>
      <c r="I99" s="23"/>
      <c r="J99" s="27">
        <v>2020</v>
      </c>
      <c r="K99" s="74">
        <v>50</v>
      </c>
      <c r="L99" s="23"/>
      <c r="M99" s="7">
        <v>2020</v>
      </c>
      <c r="N99" s="21">
        <v>50</v>
      </c>
      <c r="O99" s="23"/>
      <c r="P99" s="27">
        <v>2020</v>
      </c>
      <c r="Q99" s="14">
        <v>50</v>
      </c>
      <c r="R99" s="23"/>
      <c r="S99" s="7">
        <v>2020</v>
      </c>
      <c r="T99" s="21">
        <v>50</v>
      </c>
      <c r="U99" s="23"/>
      <c r="V99" s="7">
        <v>2020</v>
      </c>
      <c r="W99" s="14">
        <v>67</v>
      </c>
      <c r="X99" s="23"/>
      <c r="Y99" s="7">
        <v>2020</v>
      </c>
      <c r="Z99" s="14">
        <v>67</v>
      </c>
      <c r="AA99" s="23"/>
      <c r="AB99" s="7">
        <v>2020</v>
      </c>
      <c r="AC99" s="21">
        <v>50</v>
      </c>
      <c r="AD99" s="23"/>
      <c r="AE99" s="7">
        <v>2020</v>
      </c>
      <c r="AF99" s="14">
        <v>50</v>
      </c>
      <c r="AG99" s="23"/>
      <c r="AH99" s="7">
        <v>2020</v>
      </c>
      <c r="AI99" s="21">
        <v>100</v>
      </c>
      <c r="AJ99" s="23"/>
      <c r="AK99" s="7">
        <v>2020</v>
      </c>
      <c r="AL99" s="21">
        <v>50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64.666666666666671</v>
      </c>
      <c r="C100" s="49"/>
      <c r="D100" s="27">
        <v>2021</v>
      </c>
      <c r="E100" s="14">
        <v>100</v>
      </c>
      <c r="F100" s="23"/>
      <c r="G100" s="7">
        <v>2021</v>
      </c>
      <c r="H100" s="44">
        <v>100</v>
      </c>
      <c r="I100" s="23"/>
      <c r="J100" s="27">
        <v>2021</v>
      </c>
      <c r="K100" s="74">
        <v>50</v>
      </c>
      <c r="L100" s="23"/>
      <c r="M100" s="7">
        <v>2021</v>
      </c>
      <c r="N100" s="21">
        <v>50</v>
      </c>
      <c r="O100" s="23"/>
      <c r="P100" s="27">
        <v>2021</v>
      </c>
      <c r="Q100" s="14">
        <v>50</v>
      </c>
      <c r="R100" s="23"/>
      <c r="S100" s="7">
        <v>2021</v>
      </c>
      <c r="T100" s="21">
        <v>50</v>
      </c>
      <c r="U100" s="23"/>
      <c r="V100" s="7">
        <v>2021</v>
      </c>
      <c r="W100" s="14">
        <v>67</v>
      </c>
      <c r="X100" s="23"/>
      <c r="Y100" s="7">
        <v>2021</v>
      </c>
      <c r="Z100" s="14">
        <v>67</v>
      </c>
      <c r="AA100" s="23"/>
      <c r="AB100" s="7">
        <v>2021</v>
      </c>
      <c r="AC100" s="21">
        <v>50</v>
      </c>
      <c r="AD100" s="23"/>
      <c r="AE100" s="7">
        <v>2021</v>
      </c>
      <c r="AF100" s="14">
        <v>50</v>
      </c>
      <c r="AG100" s="23"/>
      <c r="AH100" s="7">
        <v>2021</v>
      </c>
      <c r="AI100" s="21">
        <v>100</v>
      </c>
      <c r="AJ100" s="23"/>
      <c r="AK100" s="7">
        <v>2021</v>
      </c>
      <c r="AL100" s="21">
        <v>50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64.666666666666671</v>
      </c>
      <c r="C101" s="49"/>
      <c r="D101" s="27">
        <v>2022</v>
      </c>
      <c r="E101" s="14">
        <v>100</v>
      </c>
      <c r="F101" s="23"/>
      <c r="G101" s="27">
        <v>2022</v>
      </c>
      <c r="H101" s="44">
        <v>100</v>
      </c>
      <c r="I101" s="23"/>
      <c r="J101" s="27">
        <v>2022</v>
      </c>
      <c r="K101" s="74">
        <v>50</v>
      </c>
      <c r="L101" s="23"/>
      <c r="M101" s="27">
        <v>2022</v>
      </c>
      <c r="N101" s="21">
        <v>50</v>
      </c>
      <c r="O101" s="23"/>
      <c r="P101" s="27">
        <v>2022</v>
      </c>
      <c r="Q101" s="14">
        <v>50</v>
      </c>
      <c r="R101" s="23"/>
      <c r="S101" s="27">
        <v>2022</v>
      </c>
      <c r="T101" s="21">
        <v>50</v>
      </c>
      <c r="U101" s="23"/>
      <c r="V101" s="27">
        <v>2022</v>
      </c>
      <c r="W101" s="14">
        <v>67</v>
      </c>
      <c r="X101" s="23"/>
      <c r="Y101" s="27">
        <v>2022</v>
      </c>
      <c r="Z101" s="14">
        <v>67</v>
      </c>
      <c r="AA101" s="23"/>
      <c r="AB101" s="27">
        <v>2022</v>
      </c>
      <c r="AC101" s="21">
        <v>50</v>
      </c>
      <c r="AD101" s="23"/>
      <c r="AE101" s="27">
        <v>2022</v>
      </c>
      <c r="AF101" s="14">
        <v>50</v>
      </c>
      <c r="AG101" s="23"/>
      <c r="AH101" s="27">
        <v>2022</v>
      </c>
      <c r="AI101" s="21">
        <v>100</v>
      </c>
      <c r="AJ101" s="23"/>
      <c r="AK101" s="27">
        <v>2022</v>
      </c>
      <c r="AL101" s="21">
        <v>50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64.666666666666671</v>
      </c>
      <c r="C102" s="49"/>
      <c r="D102" s="27">
        <v>2023</v>
      </c>
      <c r="E102" s="14">
        <v>100</v>
      </c>
      <c r="F102" s="23"/>
      <c r="G102" s="27">
        <v>2023</v>
      </c>
      <c r="H102" s="44">
        <v>100</v>
      </c>
      <c r="I102" s="23"/>
      <c r="J102" s="27">
        <v>2023</v>
      </c>
      <c r="K102" s="74">
        <v>50</v>
      </c>
      <c r="L102" s="23"/>
      <c r="M102" s="27">
        <v>2023</v>
      </c>
      <c r="N102" s="21">
        <v>50</v>
      </c>
      <c r="O102" s="23"/>
      <c r="P102" s="27">
        <v>2023</v>
      </c>
      <c r="Q102" s="14">
        <v>50</v>
      </c>
      <c r="R102" s="23"/>
      <c r="S102" s="27">
        <v>2023</v>
      </c>
      <c r="T102" s="21">
        <v>50</v>
      </c>
      <c r="U102" s="23"/>
      <c r="V102" s="27">
        <v>2023</v>
      </c>
      <c r="W102" s="14">
        <v>67</v>
      </c>
      <c r="X102" s="23"/>
      <c r="Y102" s="27">
        <v>2023</v>
      </c>
      <c r="Z102" s="14">
        <v>67</v>
      </c>
      <c r="AA102" s="23"/>
      <c r="AB102" s="27">
        <v>2023</v>
      </c>
      <c r="AC102" s="21">
        <v>50</v>
      </c>
      <c r="AD102" s="23"/>
      <c r="AE102" s="27">
        <v>2023</v>
      </c>
      <c r="AF102" s="14">
        <v>50</v>
      </c>
      <c r="AG102" s="23"/>
      <c r="AH102" s="27">
        <v>2023</v>
      </c>
      <c r="AI102" s="21">
        <v>100</v>
      </c>
      <c r="AJ102" s="23"/>
      <c r="AK102" s="27">
        <v>2023</v>
      </c>
      <c r="AL102" s="21">
        <v>50</v>
      </c>
      <c r="AM102" s="23"/>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headerFooter>
    <oddFooter>&amp;L_x000D_&amp;1#&amp;"Calibri"&amp;10&amp;K000000 Classification: Internal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E974-9A57-4EA5-9060-52B70DDA1509}">
  <dimension ref="A1:CC111"/>
  <sheetViews>
    <sheetView topLeftCell="AA100" zoomScale="107" zoomScaleNormal="78" workbookViewId="0">
      <selection activeCell="AH114" sqref="AH114"/>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37.25" customHeight="1">
      <c r="A1" s="323" t="s">
        <v>0</v>
      </c>
      <c r="B1" s="323"/>
      <c r="C1" s="323"/>
      <c r="D1" s="323"/>
    </row>
    <row r="2" spans="1:81" ht="41.4" customHeight="1">
      <c r="A2" s="2" t="s">
        <v>1</v>
      </c>
      <c r="B2" s="2" t="s">
        <v>2</v>
      </c>
      <c r="C2" s="2" t="s">
        <v>3</v>
      </c>
      <c r="D2" s="2" t="s">
        <v>4</v>
      </c>
    </row>
    <row r="3" spans="1:81" ht="15" customHeight="1">
      <c r="A3" s="3">
        <v>2020</v>
      </c>
      <c r="B3" s="16">
        <f>AVERAGE(B16,B29,B42,B55,B68,B81,B94,B107)</f>
        <v>41.373759920634917</v>
      </c>
      <c r="C3" s="16">
        <f>AVERAGE(B16,B29,B42,B55,B68,B81,B94)</f>
        <v>43.415249433106574</v>
      </c>
      <c r="D3" s="16">
        <f>AVERAGE(B16,B29,B55,B68,B81,B94)</f>
        <v>43.905092592592588</v>
      </c>
    </row>
    <row r="4" spans="1:81" ht="15" customHeight="1">
      <c r="A4" s="3">
        <v>2021</v>
      </c>
      <c r="B4" s="16">
        <f t="shared" ref="B4:B7" si="0">AVERAGE(B17,B30,B43,B56,B69,B82,B95,B108)</f>
        <v>41.373759920634917</v>
      </c>
      <c r="C4" s="16">
        <f t="shared" ref="C4:C7" si="1">AVERAGE(B17,B30,B43,B56,B69,B82,B95)</f>
        <v>43.415249433106574</v>
      </c>
      <c r="D4" s="16">
        <f t="shared" ref="D4:D7" si="2">AVERAGE(B17,B30,B56,B69,B82,B95)</f>
        <v>43.905092592592588</v>
      </c>
    </row>
    <row r="5" spans="1:81" ht="15" customHeight="1">
      <c r="A5" s="3">
        <v>2022</v>
      </c>
      <c r="B5" s="16">
        <f>AVERAGE(B18,B31,B44,B57,B70,B83,B96,B109)</f>
        <v>42.891617063492063</v>
      </c>
      <c r="C5" s="16">
        <f>AVERAGE(B18,B31,B44,B57,B70,B83,B96)</f>
        <v>45.149943310657598</v>
      </c>
      <c r="D5" s="16">
        <f>AVERAGE(B18,B31,B57,B70,B83,B96)</f>
        <v>44.738425925925924</v>
      </c>
    </row>
    <row r="6" spans="1:81" ht="15" customHeight="1">
      <c r="A6" s="3">
        <v>2023</v>
      </c>
      <c r="B6" s="16">
        <f t="shared" si="0"/>
        <v>43.672867063492063</v>
      </c>
      <c r="C6" s="16">
        <f t="shared" si="1"/>
        <v>45.149943310657598</v>
      </c>
      <c r="D6" s="16">
        <f>AVERAGE(B19,B32,B58,B71,B84,B97)</f>
        <v>44.738425925925924</v>
      </c>
    </row>
    <row r="7" spans="1:81" ht="15" customHeight="1">
      <c r="A7" s="3">
        <v>2024</v>
      </c>
      <c r="B7" s="16">
        <f t="shared" si="0"/>
        <v>43.672867063492063</v>
      </c>
      <c r="C7" s="16">
        <f t="shared" si="1"/>
        <v>45.149943310657598</v>
      </c>
      <c r="D7" s="16">
        <f t="shared" si="2"/>
        <v>44.738425925925924</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10" t="s">
        <v>43</v>
      </c>
      <c r="F14" s="310"/>
      <c r="G14" s="7" t="s">
        <v>41</v>
      </c>
      <c r="H14" s="308" t="s">
        <v>44</v>
      </c>
      <c r="I14" s="309"/>
      <c r="J14" s="7" t="s">
        <v>41</v>
      </c>
      <c r="K14" s="308" t="s">
        <v>45</v>
      </c>
      <c r="L14" s="309"/>
      <c r="M14" s="7" t="s">
        <v>41</v>
      </c>
      <c r="N14" s="310" t="s">
        <v>46</v>
      </c>
      <c r="O14" s="310"/>
      <c r="P14" s="7" t="s">
        <v>41</v>
      </c>
      <c r="Q14" s="310" t="s">
        <v>47</v>
      </c>
      <c r="R14" s="310"/>
      <c r="S14" s="7" t="s">
        <v>41</v>
      </c>
      <c r="T14" s="322" t="s">
        <v>48</v>
      </c>
      <c r="U14" s="310"/>
      <c r="V14" s="11" t="s">
        <v>41</v>
      </c>
      <c r="W14" s="309" t="s">
        <v>49</v>
      </c>
      <c r="X14" s="309"/>
      <c r="Y14" s="11" t="s">
        <v>41</v>
      </c>
      <c r="Z14" s="309" t="s">
        <v>50</v>
      </c>
      <c r="AA14" s="309"/>
      <c r="AB14" s="7" t="s">
        <v>41</v>
      </c>
      <c r="AC14" s="310" t="s">
        <v>51</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42.555555555555557</v>
      </c>
      <c r="C16" s="16"/>
      <c r="D16" s="7">
        <v>2020</v>
      </c>
      <c r="E16" s="14">
        <v>50</v>
      </c>
      <c r="G16" s="7">
        <v>2020</v>
      </c>
      <c r="H16" s="14">
        <v>0</v>
      </c>
      <c r="I16" s="23" t="s">
        <v>1524</v>
      </c>
      <c r="J16" s="7">
        <v>2020</v>
      </c>
      <c r="K16" s="14">
        <v>100</v>
      </c>
      <c r="M16" s="7">
        <v>2020</v>
      </c>
      <c r="N16" s="14">
        <v>100</v>
      </c>
      <c r="P16" s="7">
        <v>2020</v>
      </c>
      <c r="Q16" s="14">
        <v>33</v>
      </c>
      <c r="S16" s="7">
        <v>2020</v>
      </c>
      <c r="T16" s="92">
        <v>100</v>
      </c>
      <c r="U16" s="147"/>
      <c r="V16" s="7">
        <v>2020</v>
      </c>
      <c r="W16" s="14">
        <v>0</v>
      </c>
      <c r="Y16" s="7">
        <v>2020</v>
      </c>
      <c r="Z16" s="14">
        <v>0</v>
      </c>
      <c r="AB16" s="7">
        <v>2020</v>
      </c>
      <c r="AC16" s="84">
        <v>0</v>
      </c>
      <c r="AD16" s="210"/>
    </row>
    <row r="17" spans="1:51" ht="24.75" customHeight="1">
      <c r="A17" s="7">
        <v>2021</v>
      </c>
      <c r="B17" s="15">
        <f t="shared" si="3"/>
        <v>42.555555555555557</v>
      </c>
      <c r="C17" s="16"/>
      <c r="D17" s="7">
        <v>2021</v>
      </c>
      <c r="E17" s="14">
        <v>50</v>
      </c>
      <c r="F17" s="17"/>
      <c r="G17" s="7">
        <v>2021</v>
      </c>
      <c r="H17" s="14">
        <v>0</v>
      </c>
      <c r="I17" s="17"/>
      <c r="J17" s="7">
        <v>2021</v>
      </c>
      <c r="K17" s="14">
        <v>100</v>
      </c>
      <c r="L17" s="17"/>
      <c r="M17" s="7">
        <v>2021</v>
      </c>
      <c r="N17" s="14">
        <v>100</v>
      </c>
      <c r="O17" s="17"/>
      <c r="P17" s="7">
        <v>2021</v>
      </c>
      <c r="Q17" s="14">
        <v>33</v>
      </c>
      <c r="R17" s="17"/>
      <c r="S17" s="7">
        <v>2021</v>
      </c>
      <c r="T17" s="92">
        <v>100</v>
      </c>
      <c r="U17" s="83"/>
      <c r="V17" s="7">
        <v>2021</v>
      </c>
      <c r="W17" s="14">
        <v>0</v>
      </c>
      <c r="X17" s="17"/>
      <c r="Y17" s="7">
        <v>2021</v>
      </c>
      <c r="Z17" s="14">
        <v>0</v>
      </c>
      <c r="AA17" s="17"/>
      <c r="AB17" s="7">
        <v>2021</v>
      </c>
      <c r="AC17" s="84">
        <v>0</v>
      </c>
      <c r="AD17" s="86"/>
    </row>
    <row r="18" spans="1:51" ht="24.75" customHeight="1">
      <c r="A18" s="7">
        <v>2022</v>
      </c>
      <c r="B18" s="15">
        <f t="shared" si="3"/>
        <v>42.555555555555557</v>
      </c>
      <c r="C18" s="16"/>
      <c r="D18" s="7">
        <v>2022</v>
      </c>
      <c r="E18" s="14">
        <v>50</v>
      </c>
      <c r="F18" s="17"/>
      <c r="G18" s="7">
        <v>2022</v>
      </c>
      <c r="H18" s="14">
        <v>0</v>
      </c>
      <c r="I18" s="17"/>
      <c r="J18" s="7">
        <v>2022</v>
      </c>
      <c r="K18" s="14">
        <v>100</v>
      </c>
      <c r="L18" s="17"/>
      <c r="M18" s="7">
        <v>2022</v>
      </c>
      <c r="N18" s="14">
        <v>100</v>
      </c>
      <c r="O18" s="17"/>
      <c r="P18" s="7">
        <v>2022</v>
      </c>
      <c r="Q18" s="14">
        <v>33</v>
      </c>
      <c r="R18" s="17"/>
      <c r="S18" s="7">
        <v>2022</v>
      </c>
      <c r="T18" s="92">
        <v>100</v>
      </c>
      <c r="U18" s="83"/>
      <c r="V18" s="7">
        <v>2022</v>
      </c>
      <c r="W18" s="14">
        <v>0</v>
      </c>
      <c r="X18" s="17"/>
      <c r="Y18" s="7">
        <v>2022</v>
      </c>
      <c r="Z18" s="14">
        <v>0</v>
      </c>
      <c r="AA18" s="17"/>
      <c r="AB18" s="7">
        <v>2022</v>
      </c>
      <c r="AC18" s="84">
        <v>0</v>
      </c>
      <c r="AD18" s="86"/>
    </row>
    <row r="19" spans="1:51" ht="24.75" customHeight="1">
      <c r="A19" s="7">
        <v>2023</v>
      </c>
      <c r="B19" s="15">
        <f t="shared" si="3"/>
        <v>42.555555555555557</v>
      </c>
      <c r="C19" s="16"/>
      <c r="D19" s="7">
        <v>2023</v>
      </c>
      <c r="E19" s="14">
        <v>50</v>
      </c>
      <c r="F19" s="17"/>
      <c r="G19" s="7">
        <v>2023</v>
      </c>
      <c r="H19" s="34">
        <v>0</v>
      </c>
      <c r="I19" s="35" t="s">
        <v>1525</v>
      </c>
      <c r="J19" s="7">
        <v>2023</v>
      </c>
      <c r="K19" s="14">
        <v>100</v>
      </c>
      <c r="L19" s="17"/>
      <c r="M19" s="7">
        <v>2023</v>
      </c>
      <c r="N19" s="14">
        <v>100</v>
      </c>
      <c r="O19" s="17"/>
      <c r="P19" s="7">
        <v>2023</v>
      </c>
      <c r="Q19" s="14">
        <v>33</v>
      </c>
      <c r="R19" s="17"/>
      <c r="S19" s="7">
        <v>2023</v>
      </c>
      <c r="T19" s="92">
        <v>100</v>
      </c>
      <c r="U19" s="83"/>
      <c r="V19" s="7">
        <v>2023</v>
      </c>
      <c r="W19" s="14">
        <v>0</v>
      </c>
      <c r="X19" s="17"/>
      <c r="Y19" s="7">
        <v>2023</v>
      </c>
      <c r="Z19" s="14">
        <v>0</v>
      </c>
      <c r="AA19" s="17"/>
      <c r="AB19" s="7">
        <v>2023</v>
      </c>
      <c r="AC19" s="84">
        <v>0</v>
      </c>
      <c r="AD19" s="86"/>
    </row>
    <row r="20" spans="1:51" ht="24.75" customHeight="1">
      <c r="A20" s="7">
        <v>2024</v>
      </c>
      <c r="B20" s="15">
        <f t="shared" si="3"/>
        <v>42.555555555555557</v>
      </c>
      <c r="C20" s="16"/>
      <c r="D20" s="7">
        <v>2024</v>
      </c>
      <c r="E20" s="14">
        <v>50</v>
      </c>
      <c r="F20" s="134" t="s">
        <v>1526</v>
      </c>
      <c r="G20" s="7">
        <v>2024</v>
      </c>
      <c r="H20" s="34">
        <v>0</v>
      </c>
      <c r="I20" s="17"/>
      <c r="J20" s="7">
        <v>2024</v>
      </c>
      <c r="K20" s="14">
        <v>100</v>
      </c>
      <c r="L20" s="23" t="s">
        <v>1527</v>
      </c>
      <c r="M20" s="7">
        <v>2024</v>
      </c>
      <c r="N20" s="14">
        <v>100</v>
      </c>
      <c r="O20" s="23" t="s">
        <v>1528</v>
      </c>
      <c r="P20" s="7">
        <v>2024</v>
      </c>
      <c r="Q20" s="14">
        <v>33</v>
      </c>
      <c r="R20" s="23" t="s">
        <v>1529</v>
      </c>
      <c r="S20" s="7">
        <v>2024</v>
      </c>
      <c r="T20" s="92">
        <v>100</v>
      </c>
      <c r="U20" s="86" t="s">
        <v>1530</v>
      </c>
      <c r="V20" s="7">
        <v>2024</v>
      </c>
      <c r="W20" s="14">
        <v>0</v>
      </c>
      <c r="X20" s="23" t="s">
        <v>1531</v>
      </c>
      <c r="Y20" s="7">
        <v>2024</v>
      </c>
      <c r="Z20" s="14">
        <v>0</v>
      </c>
      <c r="AA20" s="17" t="s">
        <v>1532</v>
      </c>
      <c r="AB20" s="7">
        <v>2024</v>
      </c>
      <c r="AC20" s="84">
        <v>0</v>
      </c>
      <c r="AD20" s="211" t="s">
        <v>1533</v>
      </c>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25" t="s">
        <v>94</v>
      </c>
      <c r="F26" s="325"/>
      <c r="G26" s="7" t="s">
        <v>30</v>
      </c>
      <c r="H26" s="310" t="s">
        <v>95</v>
      </c>
      <c r="I26" s="310"/>
      <c r="J26" s="7" t="s">
        <v>30</v>
      </c>
      <c r="K26" s="259" t="s">
        <v>427</v>
      </c>
      <c r="L26" s="260"/>
      <c r="M26" s="27" t="s">
        <v>30</v>
      </c>
      <c r="N26" s="325" t="s">
        <v>96</v>
      </c>
      <c r="O26" s="325"/>
      <c r="P26" s="27" t="s">
        <v>30</v>
      </c>
      <c r="Q26" s="325" t="s">
        <v>97</v>
      </c>
      <c r="R26" s="325"/>
      <c r="S26" s="27" t="s">
        <v>30</v>
      </c>
      <c r="T26" s="325"/>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1534</v>
      </c>
      <c r="AV26" s="310"/>
      <c r="AW26" s="7" t="s">
        <v>30</v>
      </c>
      <c r="AX26" s="310" t="s">
        <v>105</v>
      </c>
      <c r="AY26" s="310"/>
    </row>
    <row r="27" spans="1:51" ht="24.75" customHeight="1">
      <c r="A27" s="7" t="s">
        <v>41</v>
      </c>
      <c r="B27" s="310" t="s">
        <v>42</v>
      </c>
      <c r="C27" s="310"/>
      <c r="D27" s="7" t="s">
        <v>41</v>
      </c>
      <c r="E27" s="325" t="s">
        <v>106</v>
      </c>
      <c r="F27" s="325"/>
      <c r="G27" s="7" t="s">
        <v>41</v>
      </c>
      <c r="H27" s="310" t="s">
        <v>107</v>
      </c>
      <c r="I27" s="310"/>
      <c r="J27" s="7" t="s">
        <v>41</v>
      </c>
      <c r="K27" s="329" t="s">
        <v>429</v>
      </c>
      <c r="L27" s="325"/>
      <c r="M27" s="27" t="s">
        <v>41</v>
      </c>
      <c r="N27" s="325" t="s">
        <v>109</v>
      </c>
      <c r="O27" s="325"/>
      <c r="P27" s="27" t="s">
        <v>41</v>
      </c>
      <c r="Q27" s="325" t="s">
        <v>110</v>
      </c>
      <c r="R27" s="325"/>
      <c r="S27" s="27" t="s">
        <v>41</v>
      </c>
      <c r="T27" s="298" t="s">
        <v>111</v>
      </c>
      <c r="U27" s="298"/>
      <c r="V27" s="7" t="s">
        <v>41</v>
      </c>
      <c r="W27" s="310" t="s">
        <v>112</v>
      </c>
      <c r="X27" s="310"/>
      <c r="Y27" s="7" t="s">
        <v>41</v>
      </c>
      <c r="Z27" s="310" t="s">
        <v>113</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50</v>
      </c>
      <c r="C29" s="16"/>
      <c r="D29" s="7">
        <v>2020</v>
      </c>
      <c r="E29" s="21">
        <v>0</v>
      </c>
      <c r="G29" s="7">
        <v>2020</v>
      </c>
      <c r="H29" s="82">
        <v>0</v>
      </c>
      <c r="I29" s="147"/>
      <c r="J29" s="7">
        <v>2020</v>
      </c>
      <c r="K29" s="14">
        <v>100</v>
      </c>
      <c r="L29" s="17"/>
      <c r="M29" s="7">
        <v>2020</v>
      </c>
      <c r="N29" s="14">
        <v>100</v>
      </c>
      <c r="P29" s="7">
        <v>2020</v>
      </c>
      <c r="Q29" s="14">
        <v>100</v>
      </c>
      <c r="S29" s="7">
        <v>2020</v>
      </c>
      <c r="T29" s="14">
        <v>100</v>
      </c>
      <c r="U29" s="17"/>
      <c r="V29" s="7">
        <v>2020</v>
      </c>
      <c r="W29" s="14">
        <v>100</v>
      </c>
      <c r="Y29" s="7">
        <v>2020</v>
      </c>
      <c r="Z29" s="14">
        <v>100</v>
      </c>
      <c r="AA29" s="17"/>
      <c r="AB29" s="7">
        <v>2020</v>
      </c>
      <c r="AC29" s="14">
        <v>100</v>
      </c>
      <c r="AD29" s="17"/>
      <c r="AE29" s="7">
        <v>2020</v>
      </c>
      <c r="AF29" s="31">
        <f t="shared" ref="AF29:AF33" si="4">0.67*AI29+0.33*AL29</f>
        <v>50</v>
      </c>
      <c r="AG29" s="17"/>
      <c r="AH29" s="7">
        <v>2020</v>
      </c>
      <c r="AI29" s="14">
        <v>50</v>
      </c>
      <c r="AK29" s="7">
        <v>2020</v>
      </c>
      <c r="AL29" s="14">
        <v>50</v>
      </c>
      <c r="AN29" s="7">
        <v>2020</v>
      </c>
      <c r="AO29" s="14">
        <v>100</v>
      </c>
      <c r="AP29" s="17"/>
      <c r="AQ29" s="7">
        <v>2020</v>
      </c>
      <c r="AR29" s="82">
        <v>0</v>
      </c>
      <c r="AS29" s="83"/>
      <c r="AT29" s="7">
        <v>2020</v>
      </c>
      <c r="AU29" s="34">
        <v>50</v>
      </c>
      <c r="AV29" s="83"/>
      <c r="AW29" s="7">
        <v>2020</v>
      </c>
      <c r="AX29" s="14">
        <v>50</v>
      </c>
      <c r="AY29" s="23"/>
    </row>
    <row r="30" spans="1:51" ht="24.75" customHeight="1">
      <c r="A30" s="7">
        <v>2021</v>
      </c>
      <c r="B30" s="15">
        <f>AVERAGE(E30,H30,K30,T30,AF30,AO30,AU30,AX30,AR30)</f>
        <v>50</v>
      </c>
      <c r="C30" s="15"/>
      <c r="D30" s="7">
        <v>2021</v>
      </c>
      <c r="E30" s="21">
        <v>0</v>
      </c>
      <c r="F30" s="17"/>
      <c r="G30" s="7">
        <v>2021</v>
      </c>
      <c r="H30" s="82">
        <v>0</v>
      </c>
      <c r="I30" s="83"/>
      <c r="J30" s="7">
        <v>2021</v>
      </c>
      <c r="K30" s="14">
        <v>100</v>
      </c>
      <c r="L30" s="17"/>
      <c r="M30" s="7">
        <v>2021</v>
      </c>
      <c r="N30" s="14">
        <v>100</v>
      </c>
      <c r="O30" s="17"/>
      <c r="P30" s="7">
        <v>2021</v>
      </c>
      <c r="Q30" s="14">
        <v>100</v>
      </c>
      <c r="R30" s="17"/>
      <c r="S30" s="7">
        <v>2021</v>
      </c>
      <c r="T30" s="14">
        <v>100</v>
      </c>
      <c r="U30" s="17"/>
      <c r="V30" s="7">
        <v>2021</v>
      </c>
      <c r="W30" s="14">
        <v>100</v>
      </c>
      <c r="X30" s="17"/>
      <c r="Y30" s="7">
        <v>2021</v>
      </c>
      <c r="Z30" s="14">
        <v>100</v>
      </c>
      <c r="AA30" s="17"/>
      <c r="AB30" s="7">
        <v>2021</v>
      </c>
      <c r="AC30" s="14">
        <v>100</v>
      </c>
      <c r="AD30" s="17"/>
      <c r="AE30" s="7">
        <v>2021</v>
      </c>
      <c r="AF30" s="31">
        <f t="shared" si="4"/>
        <v>50</v>
      </c>
      <c r="AG30" s="17"/>
      <c r="AH30" s="7">
        <v>2021</v>
      </c>
      <c r="AI30" s="14">
        <v>50</v>
      </c>
      <c r="AJ30" s="17"/>
      <c r="AK30" s="7">
        <v>2021</v>
      </c>
      <c r="AL30" s="14">
        <v>50</v>
      </c>
      <c r="AM30" s="17"/>
      <c r="AN30" s="7">
        <v>2021</v>
      </c>
      <c r="AO30" s="14">
        <v>100</v>
      </c>
      <c r="AP30" s="17"/>
      <c r="AQ30" s="7">
        <v>2021</v>
      </c>
      <c r="AR30" s="82">
        <v>0</v>
      </c>
      <c r="AS30" s="83"/>
      <c r="AT30" s="7">
        <v>2021</v>
      </c>
      <c r="AU30" s="34">
        <v>50</v>
      </c>
      <c r="AV30" s="83"/>
      <c r="AW30" s="7">
        <v>2021</v>
      </c>
      <c r="AX30" s="14">
        <v>50</v>
      </c>
      <c r="AY30" s="23"/>
    </row>
    <row r="31" spans="1:51" ht="24.75" customHeight="1">
      <c r="A31" s="7">
        <v>2022</v>
      </c>
      <c r="B31" s="15">
        <f>AVERAGE(E31,H31,K31,T31,AF31,AO31,AU31,AX31,AR31)</f>
        <v>50</v>
      </c>
      <c r="C31" s="15"/>
      <c r="D31" s="7">
        <v>2022</v>
      </c>
      <c r="E31" s="21">
        <v>0</v>
      </c>
      <c r="F31" s="17"/>
      <c r="G31" s="7">
        <v>2022</v>
      </c>
      <c r="H31" s="82">
        <v>0</v>
      </c>
      <c r="I31" s="83"/>
      <c r="J31" s="7">
        <v>2022</v>
      </c>
      <c r="K31" s="14">
        <v>100</v>
      </c>
      <c r="L31" s="17"/>
      <c r="M31" s="7">
        <v>2022</v>
      </c>
      <c r="N31" s="14">
        <v>100</v>
      </c>
      <c r="O31" s="17"/>
      <c r="P31" s="7">
        <v>2022</v>
      </c>
      <c r="Q31" s="14">
        <v>100</v>
      </c>
      <c r="R31" s="17"/>
      <c r="S31" s="7">
        <v>2022</v>
      </c>
      <c r="T31" s="14">
        <v>100</v>
      </c>
      <c r="U31" s="17"/>
      <c r="V31" s="7" t="s">
        <v>13</v>
      </c>
      <c r="W31" s="14">
        <v>100</v>
      </c>
      <c r="X31" s="17"/>
      <c r="Y31" s="7">
        <v>2022</v>
      </c>
      <c r="Z31" s="14">
        <v>100</v>
      </c>
      <c r="AA31" s="17"/>
      <c r="AB31" s="7">
        <v>2022</v>
      </c>
      <c r="AC31" s="14">
        <v>100</v>
      </c>
      <c r="AD31" s="17"/>
      <c r="AE31" s="7">
        <v>2022</v>
      </c>
      <c r="AF31" s="31">
        <f t="shared" si="4"/>
        <v>50</v>
      </c>
      <c r="AG31" s="17"/>
      <c r="AH31" s="7">
        <v>2022</v>
      </c>
      <c r="AI31" s="14">
        <v>50</v>
      </c>
      <c r="AJ31" s="17"/>
      <c r="AK31" s="7">
        <v>2022</v>
      </c>
      <c r="AL31" s="14">
        <v>50</v>
      </c>
      <c r="AM31" s="17"/>
      <c r="AN31" s="7">
        <v>2022</v>
      </c>
      <c r="AO31" s="14">
        <v>100</v>
      </c>
      <c r="AP31" s="17"/>
      <c r="AQ31" s="7">
        <v>2022</v>
      </c>
      <c r="AR31" s="82">
        <v>0</v>
      </c>
      <c r="AS31" s="83"/>
      <c r="AT31" s="7">
        <v>2022</v>
      </c>
      <c r="AU31" s="34">
        <v>50</v>
      </c>
      <c r="AV31" s="83"/>
      <c r="AW31" s="7">
        <v>2022</v>
      </c>
      <c r="AX31" s="14">
        <v>50</v>
      </c>
      <c r="AY31" s="23"/>
    </row>
    <row r="32" spans="1:51" ht="24.75" customHeight="1">
      <c r="A32" s="7">
        <v>2023</v>
      </c>
      <c r="B32" s="15">
        <f>AVERAGE(E32,H32,K32,T32,AF32,AO32,AU32,AX32,AR32)</f>
        <v>50</v>
      </c>
      <c r="C32" s="15"/>
      <c r="D32" s="7">
        <v>2023</v>
      </c>
      <c r="E32" s="21">
        <v>0</v>
      </c>
      <c r="F32" s="17"/>
      <c r="G32" s="7">
        <v>2023</v>
      </c>
      <c r="H32" s="82">
        <v>0</v>
      </c>
      <c r="I32" s="83"/>
      <c r="J32" s="7">
        <v>2023</v>
      </c>
      <c r="K32" s="14">
        <v>100</v>
      </c>
      <c r="L32" s="17"/>
      <c r="M32" s="7">
        <v>2023</v>
      </c>
      <c r="N32" s="14">
        <v>100</v>
      </c>
      <c r="O32" s="17"/>
      <c r="P32" s="7">
        <v>2023</v>
      </c>
      <c r="Q32" s="14">
        <v>100</v>
      </c>
      <c r="R32" s="17"/>
      <c r="S32" s="7">
        <v>2023</v>
      </c>
      <c r="T32" s="14">
        <v>100</v>
      </c>
      <c r="U32" s="17"/>
      <c r="V32" s="7">
        <v>2023</v>
      </c>
      <c r="W32" s="14">
        <v>100</v>
      </c>
      <c r="X32" s="17"/>
      <c r="Y32" s="7">
        <v>2023</v>
      </c>
      <c r="Z32" s="14">
        <v>100</v>
      </c>
      <c r="AA32" s="17"/>
      <c r="AB32" s="7">
        <v>2023</v>
      </c>
      <c r="AC32" s="14">
        <v>100</v>
      </c>
      <c r="AD32" s="17"/>
      <c r="AE32" s="7">
        <v>2023</v>
      </c>
      <c r="AF32" s="31">
        <f t="shared" si="4"/>
        <v>50</v>
      </c>
      <c r="AG32" s="17"/>
      <c r="AH32" s="7">
        <v>2023</v>
      </c>
      <c r="AI32" s="14">
        <v>50</v>
      </c>
      <c r="AJ32" s="17"/>
      <c r="AK32" s="7">
        <v>2023</v>
      </c>
      <c r="AL32" s="14">
        <v>50</v>
      </c>
      <c r="AM32" s="17"/>
      <c r="AN32" s="7">
        <v>2023</v>
      </c>
      <c r="AO32" s="14">
        <v>100</v>
      </c>
      <c r="AP32" s="17"/>
      <c r="AQ32" s="7">
        <v>2023</v>
      </c>
      <c r="AR32" s="82">
        <v>0</v>
      </c>
      <c r="AS32" s="83"/>
      <c r="AT32" s="7">
        <v>2023</v>
      </c>
      <c r="AU32" s="34">
        <v>50</v>
      </c>
      <c r="AV32" s="83"/>
      <c r="AW32" s="7">
        <v>2023</v>
      </c>
      <c r="AX32" s="14">
        <v>50</v>
      </c>
      <c r="AY32" s="23"/>
    </row>
    <row r="33" spans="1:51" ht="24.75" customHeight="1">
      <c r="A33" s="7">
        <v>2024</v>
      </c>
      <c r="B33" s="15">
        <f>AVERAGE(E33,H33,K33,T33,AF33,AO33,AU33,AX33,AR33)</f>
        <v>50</v>
      </c>
      <c r="C33" s="15"/>
      <c r="D33" s="7">
        <v>2024</v>
      </c>
      <c r="E33" s="21">
        <v>0</v>
      </c>
      <c r="F33" s="23" t="s">
        <v>1535</v>
      </c>
      <c r="G33" s="7">
        <v>2024</v>
      </c>
      <c r="H33" s="82">
        <v>0</v>
      </c>
      <c r="I33" s="86" t="s">
        <v>1536</v>
      </c>
      <c r="J33" s="7">
        <v>2024</v>
      </c>
      <c r="K33" s="14">
        <v>100</v>
      </c>
      <c r="L33" s="17"/>
      <c r="M33" s="7">
        <v>2024</v>
      </c>
      <c r="N33" s="14">
        <v>100</v>
      </c>
      <c r="O33" s="17" t="s">
        <v>1212</v>
      </c>
      <c r="P33" s="7">
        <v>2024</v>
      </c>
      <c r="Q33" s="14">
        <v>100</v>
      </c>
      <c r="R33" s="17" t="s">
        <v>1537</v>
      </c>
      <c r="S33" s="7">
        <v>2024</v>
      </c>
      <c r="T33" s="14">
        <v>100</v>
      </c>
      <c r="U33" s="17"/>
      <c r="V33" s="7">
        <v>2024</v>
      </c>
      <c r="W33" s="14">
        <v>100</v>
      </c>
      <c r="X33" s="17" t="s">
        <v>1212</v>
      </c>
      <c r="Y33" s="7">
        <v>2024</v>
      </c>
      <c r="Z33" s="14">
        <v>100</v>
      </c>
      <c r="AA33" s="17"/>
      <c r="AB33" s="7">
        <v>2024</v>
      </c>
      <c r="AC33" s="14">
        <v>100</v>
      </c>
      <c r="AD33" s="17"/>
      <c r="AE33" s="7">
        <v>2024</v>
      </c>
      <c r="AF33" s="31">
        <f t="shared" si="4"/>
        <v>50</v>
      </c>
      <c r="AG33" s="17"/>
      <c r="AH33" s="7">
        <v>2024</v>
      </c>
      <c r="AI33" s="14">
        <v>50</v>
      </c>
      <c r="AJ33" s="23" t="s">
        <v>1538</v>
      </c>
      <c r="AK33" s="7">
        <v>2024</v>
      </c>
      <c r="AL33" s="14">
        <v>50</v>
      </c>
      <c r="AM33" s="23" t="s">
        <v>1539</v>
      </c>
      <c r="AN33" s="7">
        <v>2024</v>
      </c>
      <c r="AO33" s="14">
        <v>100</v>
      </c>
      <c r="AP33" s="23" t="s">
        <v>1540</v>
      </c>
      <c r="AQ33" s="7">
        <v>2024</v>
      </c>
      <c r="AR33" s="82">
        <v>0</v>
      </c>
      <c r="AS33" s="86" t="s">
        <v>1541</v>
      </c>
      <c r="AT33" s="7">
        <v>2024</v>
      </c>
      <c r="AU33" s="34">
        <v>50</v>
      </c>
      <c r="AV33" s="86" t="s">
        <v>1542</v>
      </c>
      <c r="AW33" s="7">
        <v>2024</v>
      </c>
      <c r="AX33" s="14">
        <v>50</v>
      </c>
      <c r="AY33" s="23" t="s">
        <v>1543</v>
      </c>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63" t="s">
        <v>172</v>
      </c>
      <c r="AG39" s="364"/>
      <c r="AH39" s="7" t="s">
        <v>30</v>
      </c>
      <c r="AI39" s="310" t="s">
        <v>162</v>
      </c>
      <c r="AJ39" s="310"/>
      <c r="AK39" s="7" t="s">
        <v>30</v>
      </c>
      <c r="AL39" s="310" t="s">
        <v>163</v>
      </c>
      <c r="AM39" s="310"/>
    </row>
    <row r="40" spans="1:51" ht="24.75" customHeight="1">
      <c r="A40" s="7" t="s">
        <v>41</v>
      </c>
      <c r="B40" s="310" t="s">
        <v>42</v>
      </c>
      <c r="C40" s="310"/>
      <c r="D40" s="7" t="s">
        <v>41</v>
      </c>
      <c r="E40" s="310" t="s">
        <v>164</v>
      </c>
      <c r="F40" s="310"/>
      <c r="G40" s="7" t="s">
        <v>41</v>
      </c>
      <c r="H40" s="310" t="s">
        <v>165</v>
      </c>
      <c r="I40" s="310"/>
      <c r="J40" s="7" t="s">
        <v>41</v>
      </c>
      <c r="K40" s="322" t="s">
        <v>166</v>
      </c>
      <c r="L40" s="310"/>
      <c r="M40" s="7" t="s">
        <v>41</v>
      </c>
      <c r="N40" s="310" t="s">
        <v>42</v>
      </c>
      <c r="O40" s="310"/>
      <c r="P40" s="7" t="s">
        <v>41</v>
      </c>
      <c r="Q40" s="310" t="s">
        <v>167</v>
      </c>
      <c r="R40" s="310"/>
      <c r="S40" s="7" t="s">
        <v>41</v>
      </c>
      <c r="T40" s="310" t="s">
        <v>168</v>
      </c>
      <c r="U40" s="310"/>
      <c r="V40" s="7" t="s">
        <v>41</v>
      </c>
      <c r="W40" s="310" t="s">
        <v>169</v>
      </c>
      <c r="X40" s="310"/>
      <c r="Y40" s="7" t="s">
        <v>41</v>
      </c>
      <c r="Z40" s="310" t="s">
        <v>170</v>
      </c>
      <c r="AA40" s="310"/>
      <c r="AB40" s="7" t="s">
        <v>41</v>
      </c>
      <c r="AC40" s="310" t="s">
        <v>171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AVERAGE(E42,H42,K42,N42,Z42,AC42,AF42)</f>
        <v>40.476190476190482</v>
      </c>
      <c r="C42" s="16"/>
      <c r="D42" s="7">
        <v>2020</v>
      </c>
      <c r="E42" s="14">
        <v>67</v>
      </c>
      <c r="F42" s="17"/>
      <c r="G42" s="7">
        <v>2020</v>
      </c>
      <c r="H42" s="14">
        <v>0</v>
      </c>
      <c r="I42" s="17"/>
      <c r="J42" s="7">
        <v>2020</v>
      </c>
      <c r="K42" s="14">
        <v>50</v>
      </c>
      <c r="L42" s="17"/>
      <c r="M42" s="7">
        <v>2020</v>
      </c>
      <c r="N42" s="31">
        <f t="shared" ref="N42:N46" si="5">AVERAGE(Q42,T42,W42)</f>
        <v>33.333333333333336</v>
      </c>
      <c r="O42" s="14"/>
      <c r="P42" s="7">
        <v>2020</v>
      </c>
      <c r="Q42" s="14">
        <v>50</v>
      </c>
      <c r="R42" s="17"/>
      <c r="S42" s="7">
        <v>2020</v>
      </c>
      <c r="T42" s="14">
        <v>50</v>
      </c>
      <c r="U42" s="17"/>
      <c r="V42" s="7">
        <v>2020</v>
      </c>
      <c r="W42" s="34">
        <v>0</v>
      </c>
      <c r="X42" s="19"/>
      <c r="Y42" s="7">
        <v>2020</v>
      </c>
      <c r="Z42" s="34">
        <v>50</v>
      </c>
      <c r="AA42" s="83"/>
      <c r="AB42" s="7">
        <v>2020</v>
      </c>
      <c r="AC42" s="82">
        <v>50</v>
      </c>
      <c r="AD42" s="83"/>
      <c r="AE42" s="7">
        <v>2020</v>
      </c>
      <c r="AF42" s="14">
        <v>33</v>
      </c>
      <c r="AG42" s="14"/>
      <c r="AH42" s="7">
        <v>2020</v>
      </c>
      <c r="AI42" s="21">
        <v>0</v>
      </c>
      <c r="AJ42" s="17"/>
      <c r="AK42" s="7">
        <v>2020</v>
      </c>
      <c r="AL42" s="14">
        <v>50</v>
      </c>
      <c r="AM42" s="23"/>
    </row>
    <row r="43" spans="1:51" ht="24.75" customHeight="1">
      <c r="A43" s="7">
        <v>2021</v>
      </c>
      <c r="B43" s="16">
        <f>AVERAGE(E43,H43,K43,N43,Z43,AC43,AF43)</f>
        <v>40.476190476190482</v>
      </c>
      <c r="C43" s="16"/>
      <c r="D43" s="7">
        <v>2021</v>
      </c>
      <c r="E43" s="14">
        <v>67</v>
      </c>
      <c r="F43" s="17"/>
      <c r="G43" s="7">
        <v>2021</v>
      </c>
      <c r="H43" s="14">
        <v>0</v>
      </c>
      <c r="I43" s="17"/>
      <c r="J43" s="7">
        <v>2021</v>
      </c>
      <c r="K43" s="14">
        <v>50</v>
      </c>
      <c r="L43" s="17"/>
      <c r="M43" s="7">
        <v>2021</v>
      </c>
      <c r="N43" s="31">
        <f t="shared" si="5"/>
        <v>33.333333333333336</v>
      </c>
      <c r="O43" s="14"/>
      <c r="P43" s="7">
        <v>2021</v>
      </c>
      <c r="Q43" s="14">
        <v>50</v>
      </c>
      <c r="R43" s="17"/>
      <c r="S43" s="7">
        <v>2021</v>
      </c>
      <c r="T43" s="14">
        <v>50</v>
      </c>
      <c r="U43" s="17"/>
      <c r="V43" s="7">
        <v>2021</v>
      </c>
      <c r="W43" s="34">
        <v>0</v>
      </c>
      <c r="X43" s="19"/>
      <c r="Y43" s="7">
        <v>2021</v>
      </c>
      <c r="Z43" s="34">
        <v>50</v>
      </c>
      <c r="AA43" s="83"/>
      <c r="AB43" s="7">
        <v>2021</v>
      </c>
      <c r="AC43" s="82">
        <v>50</v>
      </c>
      <c r="AD43" s="83"/>
      <c r="AE43" s="7">
        <v>2021</v>
      </c>
      <c r="AF43" s="14">
        <v>33</v>
      </c>
      <c r="AG43" s="14"/>
      <c r="AH43" s="7">
        <v>2021</v>
      </c>
      <c r="AI43" s="21">
        <v>0</v>
      </c>
      <c r="AJ43" s="17"/>
      <c r="AK43" s="7">
        <v>2021</v>
      </c>
      <c r="AL43" s="14">
        <v>50</v>
      </c>
      <c r="AM43" s="23"/>
    </row>
    <row r="44" spans="1:51" ht="24.75" customHeight="1">
      <c r="A44" s="7">
        <v>2022</v>
      </c>
      <c r="B44" s="16">
        <f>AVERAGE(E44,H44,K44,N44,Z44,AC44,AF44)</f>
        <v>47.619047619047628</v>
      </c>
      <c r="C44" s="16"/>
      <c r="D44" s="7">
        <v>2022</v>
      </c>
      <c r="E44" s="14">
        <v>67</v>
      </c>
      <c r="F44" s="17"/>
      <c r="G44" s="7">
        <v>2022</v>
      </c>
      <c r="H44" s="14">
        <v>0</v>
      </c>
      <c r="I44" s="17"/>
      <c r="J44" s="7">
        <v>2022</v>
      </c>
      <c r="K44" s="14">
        <v>50</v>
      </c>
      <c r="L44" s="23" t="s">
        <v>1545</v>
      </c>
      <c r="M44" s="7">
        <v>2022</v>
      </c>
      <c r="N44" s="31">
        <f t="shared" si="5"/>
        <v>33.333333333333336</v>
      </c>
      <c r="O44" s="14"/>
      <c r="P44" s="7">
        <v>2022</v>
      </c>
      <c r="Q44" s="14">
        <v>50</v>
      </c>
      <c r="R44" s="17"/>
      <c r="S44" s="7">
        <v>2022</v>
      </c>
      <c r="T44" s="14">
        <v>50</v>
      </c>
      <c r="U44" s="17"/>
      <c r="V44" s="7">
        <v>2022</v>
      </c>
      <c r="W44" s="34">
        <v>0</v>
      </c>
      <c r="X44" s="19"/>
      <c r="Y44" s="7">
        <v>2022</v>
      </c>
      <c r="Z44" s="34">
        <v>100</v>
      </c>
      <c r="AA44" s="83" t="s">
        <v>1546</v>
      </c>
      <c r="AB44" s="7">
        <v>2022</v>
      </c>
      <c r="AC44" s="82">
        <v>50</v>
      </c>
      <c r="AD44" s="83"/>
      <c r="AE44" s="7">
        <v>2022</v>
      </c>
      <c r="AF44" s="14">
        <v>33</v>
      </c>
      <c r="AG44" s="14"/>
      <c r="AH44" s="7">
        <v>2022</v>
      </c>
      <c r="AI44" s="21">
        <v>0</v>
      </c>
      <c r="AJ44" s="17"/>
      <c r="AK44" s="7">
        <v>2022</v>
      </c>
      <c r="AL44" s="14">
        <v>50</v>
      </c>
      <c r="AM44" s="23"/>
    </row>
    <row r="45" spans="1:51" ht="24.75" customHeight="1">
      <c r="A45" s="7">
        <v>2023</v>
      </c>
      <c r="B45" s="16">
        <f>AVERAGE(E45,H45,K45,N45,Z45,AC45,AF45)</f>
        <v>47.619047619047628</v>
      </c>
      <c r="C45" s="16"/>
      <c r="D45" s="7">
        <v>2023</v>
      </c>
      <c r="E45" s="14">
        <v>67</v>
      </c>
      <c r="F45" s="17"/>
      <c r="G45" s="7">
        <v>2023</v>
      </c>
      <c r="H45" s="14">
        <v>0</v>
      </c>
      <c r="I45" s="17"/>
      <c r="J45" s="7">
        <v>2023</v>
      </c>
      <c r="K45" s="14">
        <v>50</v>
      </c>
      <c r="L45" s="17"/>
      <c r="M45" s="7">
        <v>2023</v>
      </c>
      <c r="N45" s="31">
        <f t="shared" si="5"/>
        <v>33.333333333333336</v>
      </c>
      <c r="O45" s="14"/>
      <c r="P45" s="7">
        <v>2023</v>
      </c>
      <c r="Q45" s="14">
        <v>50</v>
      </c>
      <c r="R45" s="17"/>
      <c r="S45" s="7">
        <v>2023</v>
      </c>
      <c r="T45" s="14">
        <v>50</v>
      </c>
      <c r="U45" s="17"/>
      <c r="V45" s="7">
        <v>2023</v>
      </c>
      <c r="W45" s="34">
        <v>0</v>
      </c>
      <c r="X45" s="19"/>
      <c r="Y45" s="7">
        <v>2023</v>
      </c>
      <c r="Z45" s="34">
        <v>100</v>
      </c>
      <c r="AA45" s="83"/>
      <c r="AB45" s="7">
        <v>2023</v>
      </c>
      <c r="AC45" s="82">
        <v>50</v>
      </c>
      <c r="AD45" s="83"/>
      <c r="AE45" s="7">
        <v>2023</v>
      </c>
      <c r="AF45" s="14">
        <v>33</v>
      </c>
      <c r="AG45" s="14"/>
      <c r="AH45" s="7">
        <v>2023</v>
      </c>
      <c r="AI45" s="21">
        <v>0</v>
      </c>
      <c r="AJ45" s="17"/>
      <c r="AK45" s="7">
        <v>2023</v>
      </c>
      <c r="AL45" s="14">
        <v>50</v>
      </c>
      <c r="AM45" s="23"/>
    </row>
    <row r="46" spans="1:51" ht="24.75" customHeight="1">
      <c r="A46" s="7">
        <v>2024</v>
      </c>
      <c r="B46" s="16">
        <f>AVERAGE(E46,H46,K46,N46,Z46,AC46,AF46)</f>
        <v>47.619047619047628</v>
      </c>
      <c r="C46" s="16"/>
      <c r="D46" s="7">
        <v>2024</v>
      </c>
      <c r="E46" s="14">
        <v>67</v>
      </c>
      <c r="F46" s="23" t="s">
        <v>1547</v>
      </c>
      <c r="G46" s="7">
        <v>2024</v>
      </c>
      <c r="H46" s="14">
        <v>0</v>
      </c>
      <c r="I46" s="23" t="s">
        <v>1548</v>
      </c>
      <c r="J46" s="7">
        <v>2024</v>
      </c>
      <c r="K46" s="14">
        <v>50</v>
      </c>
      <c r="L46" s="134" t="s">
        <v>1549</v>
      </c>
      <c r="M46" s="7">
        <v>2024</v>
      </c>
      <c r="N46" s="31">
        <f t="shared" si="5"/>
        <v>33.333333333333336</v>
      </c>
      <c r="O46" s="14"/>
      <c r="P46" s="7">
        <v>2024</v>
      </c>
      <c r="Q46" s="14">
        <v>50</v>
      </c>
      <c r="R46" s="23" t="s">
        <v>1550</v>
      </c>
      <c r="S46" s="7">
        <v>2024</v>
      </c>
      <c r="T46" s="14">
        <v>50</v>
      </c>
      <c r="U46" s="23" t="s">
        <v>1551</v>
      </c>
      <c r="V46" s="7">
        <v>2024</v>
      </c>
      <c r="W46" s="34">
        <v>0</v>
      </c>
      <c r="X46" s="35" t="s">
        <v>1552</v>
      </c>
      <c r="Y46" s="7">
        <v>2024</v>
      </c>
      <c r="Z46" s="34">
        <v>100</v>
      </c>
      <c r="AA46" s="86" t="s">
        <v>1553</v>
      </c>
      <c r="AB46" s="7">
        <v>2024</v>
      </c>
      <c r="AC46" s="82">
        <v>50</v>
      </c>
      <c r="AD46" s="86" t="s">
        <v>1554</v>
      </c>
      <c r="AE46" s="7">
        <v>2024</v>
      </c>
      <c r="AF46" s="14">
        <v>33</v>
      </c>
      <c r="AG46" s="14"/>
      <c r="AH46" s="7">
        <v>2024</v>
      </c>
      <c r="AI46" s="21">
        <v>0</v>
      </c>
      <c r="AJ46" s="35" t="s">
        <v>1555</v>
      </c>
      <c r="AK46" s="7">
        <v>2024</v>
      </c>
      <c r="AL46" s="14">
        <v>50</v>
      </c>
      <c r="AM46" s="212" t="s">
        <v>1556</v>
      </c>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10" t="s">
        <v>196</v>
      </c>
      <c r="L52" s="310"/>
      <c r="M52" s="7" t="s">
        <v>30</v>
      </c>
      <c r="N52" s="325" t="s">
        <v>197</v>
      </c>
      <c r="O52" s="325"/>
      <c r="P52" s="7" t="s">
        <v>30</v>
      </c>
      <c r="Q52" s="310" t="s">
        <v>198</v>
      </c>
      <c r="R52" s="310"/>
    </row>
    <row r="53" spans="1:24" ht="24.75" customHeight="1">
      <c r="A53" s="7" t="s">
        <v>41</v>
      </c>
      <c r="B53" s="310" t="s">
        <v>42</v>
      </c>
      <c r="C53" s="310"/>
      <c r="D53" s="7" t="s">
        <v>41</v>
      </c>
      <c r="E53" s="325" t="s">
        <v>199</v>
      </c>
      <c r="F53" s="325"/>
      <c r="G53" s="7" t="s">
        <v>41</v>
      </c>
      <c r="H53" s="310" t="s">
        <v>200</v>
      </c>
      <c r="I53" s="310"/>
      <c r="J53" s="7" t="s">
        <v>41</v>
      </c>
      <c r="K53" s="310" t="s">
        <v>201</v>
      </c>
      <c r="L53" s="310"/>
      <c r="M53" s="7" t="s">
        <v>41</v>
      </c>
      <c r="N53" s="327" t="s">
        <v>202</v>
      </c>
      <c r="O53" s="325"/>
      <c r="P53" s="7" t="s">
        <v>41</v>
      </c>
      <c r="Q53" s="325" t="s">
        <v>203</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6">AVERAGE(E55,H55,K55,N55,Q55)</f>
        <v>15</v>
      </c>
      <c r="C55" s="16"/>
      <c r="D55" s="7">
        <v>2020</v>
      </c>
      <c r="E55" s="14">
        <v>0</v>
      </c>
      <c r="G55" s="7">
        <v>2020</v>
      </c>
      <c r="H55" s="14">
        <v>0</v>
      </c>
      <c r="J55" s="7">
        <v>2020</v>
      </c>
      <c r="K55" s="34">
        <v>25</v>
      </c>
      <c r="L55" s="19"/>
      <c r="M55" s="7">
        <v>2020</v>
      </c>
      <c r="N55" s="14">
        <v>50</v>
      </c>
      <c r="O55" s="17"/>
      <c r="P55" s="7">
        <v>2020</v>
      </c>
      <c r="Q55" s="14">
        <v>0</v>
      </c>
      <c r="R55" s="23"/>
    </row>
    <row r="56" spans="1:24" ht="24.75" customHeight="1">
      <c r="A56" s="7">
        <v>2021</v>
      </c>
      <c r="B56" s="15">
        <f t="shared" si="6"/>
        <v>15</v>
      </c>
      <c r="C56" s="15"/>
      <c r="D56" s="7">
        <v>2021</v>
      </c>
      <c r="E56" s="14">
        <v>0</v>
      </c>
      <c r="F56" s="17"/>
      <c r="G56" s="7">
        <v>2021</v>
      </c>
      <c r="H56" s="14">
        <v>0</v>
      </c>
      <c r="I56" s="17"/>
      <c r="J56" s="7">
        <v>2021</v>
      </c>
      <c r="K56" s="34">
        <v>25</v>
      </c>
      <c r="L56" s="19"/>
      <c r="M56" s="7">
        <v>2021</v>
      </c>
      <c r="N56" s="14">
        <v>50</v>
      </c>
      <c r="O56" s="17"/>
      <c r="P56" s="7">
        <v>2021</v>
      </c>
      <c r="Q56" s="14">
        <v>0</v>
      </c>
      <c r="R56" s="23"/>
    </row>
    <row r="57" spans="1:24" ht="24.75" customHeight="1">
      <c r="A57" s="7">
        <v>2022</v>
      </c>
      <c r="B57" s="15">
        <f t="shared" si="6"/>
        <v>20</v>
      </c>
      <c r="C57" s="15"/>
      <c r="D57" s="7">
        <v>2022</v>
      </c>
      <c r="E57" s="34">
        <v>25</v>
      </c>
      <c r="F57" s="35" t="s">
        <v>1557</v>
      </c>
      <c r="G57" s="7">
        <v>2022</v>
      </c>
      <c r="H57" s="14">
        <v>0</v>
      </c>
      <c r="I57" s="17"/>
      <c r="J57" s="7">
        <v>2022</v>
      </c>
      <c r="K57" s="47">
        <v>25</v>
      </c>
      <c r="L57" s="19"/>
      <c r="M57" s="7">
        <v>2022</v>
      </c>
      <c r="N57" s="14">
        <v>50</v>
      </c>
      <c r="O57" s="17"/>
      <c r="P57" s="7">
        <v>2022</v>
      </c>
      <c r="Q57" s="14">
        <v>0</v>
      </c>
      <c r="R57" s="23"/>
    </row>
    <row r="58" spans="1:24" ht="24.75" customHeight="1">
      <c r="A58" s="7">
        <v>2023</v>
      </c>
      <c r="B58" s="15">
        <f t="shared" si="6"/>
        <v>20</v>
      </c>
      <c r="C58" s="15"/>
      <c r="D58" s="7">
        <v>2023</v>
      </c>
      <c r="E58" s="34">
        <v>25</v>
      </c>
      <c r="F58" s="19"/>
      <c r="G58" s="7">
        <v>2023</v>
      </c>
      <c r="H58" s="14">
        <v>0</v>
      </c>
      <c r="I58" s="17"/>
      <c r="J58" s="7">
        <v>2023</v>
      </c>
      <c r="K58" s="34">
        <v>25</v>
      </c>
      <c r="L58" s="19"/>
      <c r="M58" s="7">
        <v>2023</v>
      </c>
      <c r="N58" s="14">
        <v>50</v>
      </c>
      <c r="O58" s="17"/>
      <c r="P58" s="7">
        <v>2023</v>
      </c>
      <c r="Q58" s="14">
        <v>0</v>
      </c>
      <c r="R58" s="23"/>
    </row>
    <row r="59" spans="1:24" ht="24.75" customHeight="1">
      <c r="A59" s="7">
        <v>2024</v>
      </c>
      <c r="B59" s="15">
        <f t="shared" si="6"/>
        <v>20</v>
      </c>
      <c r="C59" s="15"/>
      <c r="D59" s="7">
        <v>2024</v>
      </c>
      <c r="E59" s="34">
        <v>25</v>
      </c>
      <c r="F59" s="35" t="s">
        <v>1558</v>
      </c>
      <c r="G59" s="7">
        <v>2024</v>
      </c>
      <c r="H59" s="14">
        <v>0</v>
      </c>
      <c r="I59" s="23" t="s">
        <v>1559</v>
      </c>
      <c r="J59" s="7">
        <v>2024</v>
      </c>
      <c r="K59" s="34">
        <v>25</v>
      </c>
      <c r="L59" s="35" t="s">
        <v>1560</v>
      </c>
      <c r="M59" s="7">
        <v>2024</v>
      </c>
      <c r="N59" s="14">
        <v>50</v>
      </c>
      <c r="O59" s="23" t="s">
        <v>1561</v>
      </c>
      <c r="P59" s="7">
        <v>2024</v>
      </c>
      <c r="Q59" s="14">
        <v>0</v>
      </c>
      <c r="R59" s="23" t="s">
        <v>1562</v>
      </c>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10" t="s">
        <v>115</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7">AVERAGE(E68,((H68+K68)/2),((N68+Q68+T68)/3),W68)</f>
        <v>50</v>
      </c>
      <c r="C68" s="16"/>
      <c r="D68" s="7">
        <v>2020</v>
      </c>
      <c r="E68" s="21">
        <v>50</v>
      </c>
      <c r="F68" s="17"/>
      <c r="G68" s="7">
        <v>2020</v>
      </c>
      <c r="H68" s="14">
        <v>0</v>
      </c>
      <c r="I68" s="17"/>
      <c r="J68" s="7">
        <v>2020</v>
      </c>
      <c r="K68" s="34">
        <v>0</v>
      </c>
      <c r="L68" s="19"/>
      <c r="M68" s="7">
        <v>2020</v>
      </c>
      <c r="N68" s="14">
        <v>100</v>
      </c>
      <c r="O68" s="17"/>
      <c r="P68" s="7">
        <v>2020</v>
      </c>
      <c r="Q68" s="14">
        <v>50</v>
      </c>
      <c r="R68" s="17"/>
      <c r="S68" s="7">
        <v>2020</v>
      </c>
      <c r="T68" s="14">
        <v>0</v>
      </c>
      <c r="U68" s="17"/>
      <c r="V68" s="7">
        <v>2020</v>
      </c>
      <c r="W68" s="14">
        <v>100</v>
      </c>
      <c r="X68" s="23"/>
    </row>
    <row r="69" spans="1:27" ht="24.75" customHeight="1">
      <c r="A69" s="7">
        <v>2021</v>
      </c>
      <c r="B69" s="15">
        <f t="shared" si="7"/>
        <v>50</v>
      </c>
      <c r="C69" s="15"/>
      <c r="D69" s="7">
        <v>2021</v>
      </c>
      <c r="E69" s="21">
        <v>50</v>
      </c>
      <c r="F69" s="17"/>
      <c r="G69" s="7">
        <v>2021</v>
      </c>
      <c r="H69" s="14">
        <v>0</v>
      </c>
      <c r="I69" s="17"/>
      <c r="J69" s="7">
        <v>2021</v>
      </c>
      <c r="K69" s="34">
        <v>0</v>
      </c>
      <c r="L69" s="19"/>
      <c r="M69" s="7">
        <v>2021</v>
      </c>
      <c r="N69" s="14">
        <v>100</v>
      </c>
      <c r="O69" s="17"/>
      <c r="P69" s="7">
        <v>2021</v>
      </c>
      <c r="Q69" s="14">
        <v>50</v>
      </c>
      <c r="R69" s="17"/>
      <c r="S69" s="7">
        <v>2021</v>
      </c>
      <c r="T69" s="14">
        <v>0</v>
      </c>
      <c r="U69" s="17"/>
      <c r="V69" s="7">
        <v>2021</v>
      </c>
      <c r="W69" s="14">
        <v>100</v>
      </c>
      <c r="X69" s="23"/>
    </row>
    <row r="70" spans="1:27" ht="24.75" customHeight="1">
      <c r="A70" s="7">
        <v>2022</v>
      </c>
      <c r="B70" s="15">
        <f t="shared" si="7"/>
        <v>50</v>
      </c>
      <c r="C70" s="15"/>
      <c r="D70" s="7">
        <v>2022</v>
      </c>
      <c r="E70" s="21">
        <v>50</v>
      </c>
      <c r="F70" s="17"/>
      <c r="G70" s="7">
        <v>2022</v>
      </c>
      <c r="H70" s="14">
        <v>0</v>
      </c>
      <c r="I70" s="17"/>
      <c r="J70" s="7">
        <v>2022</v>
      </c>
      <c r="K70" s="34">
        <v>0</v>
      </c>
      <c r="L70" s="19"/>
      <c r="M70" s="7">
        <v>2022</v>
      </c>
      <c r="N70" s="14">
        <v>100</v>
      </c>
      <c r="O70" s="17"/>
      <c r="P70" s="7">
        <v>2022</v>
      </c>
      <c r="Q70" s="14">
        <v>50</v>
      </c>
      <c r="R70" s="17"/>
      <c r="S70" s="7">
        <v>2022</v>
      </c>
      <c r="T70" s="14">
        <v>0</v>
      </c>
      <c r="U70" s="17"/>
      <c r="V70" s="7">
        <v>2022</v>
      </c>
      <c r="W70" s="14">
        <v>100</v>
      </c>
      <c r="X70" s="23"/>
    </row>
    <row r="71" spans="1:27" ht="24.75" customHeight="1">
      <c r="A71" s="7">
        <v>2023</v>
      </c>
      <c r="B71" s="15">
        <f t="shared" si="7"/>
        <v>50</v>
      </c>
      <c r="C71" s="15"/>
      <c r="D71" s="7">
        <v>2023</v>
      </c>
      <c r="E71" s="21">
        <v>50</v>
      </c>
      <c r="F71" s="17"/>
      <c r="G71" s="7">
        <v>2023</v>
      </c>
      <c r="H71" s="14">
        <v>0</v>
      </c>
      <c r="I71" s="17"/>
      <c r="J71" s="7">
        <v>2023</v>
      </c>
      <c r="K71" s="34">
        <v>0</v>
      </c>
      <c r="L71" s="19"/>
      <c r="M71" s="7">
        <v>2023</v>
      </c>
      <c r="N71" s="14">
        <v>100</v>
      </c>
      <c r="O71" s="17"/>
      <c r="P71" s="7">
        <v>2023</v>
      </c>
      <c r="Q71" s="14">
        <v>50</v>
      </c>
      <c r="R71" s="17"/>
      <c r="S71" s="7">
        <v>2023</v>
      </c>
      <c r="T71" s="14">
        <v>0</v>
      </c>
      <c r="U71" s="17"/>
      <c r="V71" s="7">
        <v>2023</v>
      </c>
      <c r="W71" s="14">
        <v>100</v>
      </c>
      <c r="X71" s="23"/>
    </row>
    <row r="72" spans="1:27" ht="24.75" customHeight="1">
      <c r="A72" s="7">
        <v>2024</v>
      </c>
      <c r="B72" s="15">
        <f t="shared" si="7"/>
        <v>50</v>
      </c>
      <c r="C72" s="15"/>
      <c r="D72" s="7">
        <v>2024</v>
      </c>
      <c r="E72" s="21">
        <v>50</v>
      </c>
      <c r="F72" s="23" t="s">
        <v>1563</v>
      </c>
      <c r="G72" s="7">
        <v>2024</v>
      </c>
      <c r="H72" s="14">
        <v>0</v>
      </c>
      <c r="I72" s="23" t="s">
        <v>1564</v>
      </c>
      <c r="J72" s="7">
        <v>2024</v>
      </c>
      <c r="K72" s="34">
        <v>0</v>
      </c>
      <c r="L72" s="35" t="s">
        <v>1565</v>
      </c>
      <c r="M72" s="7">
        <v>2024</v>
      </c>
      <c r="N72" s="14">
        <v>100</v>
      </c>
      <c r="O72" s="23" t="s">
        <v>1566</v>
      </c>
      <c r="P72" s="7">
        <v>2024</v>
      </c>
      <c r="Q72" s="14">
        <v>50</v>
      </c>
      <c r="R72" s="23" t="s">
        <v>1567</v>
      </c>
      <c r="S72" s="7">
        <v>2024</v>
      </c>
      <c r="T72" s="14">
        <v>0</v>
      </c>
      <c r="U72" s="134" t="s">
        <v>1568</v>
      </c>
      <c r="V72" s="7">
        <v>2024</v>
      </c>
      <c r="W72" s="14">
        <v>100</v>
      </c>
      <c r="X72" s="23" t="s">
        <v>1569</v>
      </c>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10" t="s">
        <v>260</v>
      </c>
      <c r="O79" s="310"/>
      <c r="P79" s="7" t="s">
        <v>41</v>
      </c>
      <c r="Q79" s="310" t="s">
        <v>261</v>
      </c>
      <c r="R79" s="310"/>
      <c r="S79" s="7" t="s">
        <v>41</v>
      </c>
      <c r="T79" s="310" t="s">
        <v>262</v>
      </c>
      <c r="U79" s="310"/>
      <c r="V79" s="7" t="s">
        <v>41</v>
      </c>
      <c r="W79" s="310" t="s">
        <v>263</v>
      </c>
      <c r="X79" s="310"/>
      <c r="Y79" s="7" t="s">
        <v>41</v>
      </c>
      <c r="Z79" s="327" t="s">
        <v>264</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8">AVERAGE(E81,H81,K81,Z81)</f>
        <v>50</v>
      </c>
      <c r="C81" s="15"/>
      <c r="D81" s="7">
        <v>2020</v>
      </c>
      <c r="E81" s="14">
        <v>50</v>
      </c>
      <c r="F81" s="17"/>
      <c r="G81" s="7">
        <v>2020</v>
      </c>
      <c r="H81" s="14">
        <v>0</v>
      </c>
      <c r="I81" s="17"/>
      <c r="J81" s="7">
        <v>2020</v>
      </c>
      <c r="K81" s="31">
        <f t="shared" ref="K81:K85" si="9">AVERAGE(N81,Q81,T81,W81)</f>
        <v>50</v>
      </c>
      <c r="L81" s="14"/>
      <c r="M81" s="7">
        <v>2020</v>
      </c>
      <c r="N81" s="21">
        <v>0</v>
      </c>
      <c r="P81" s="7">
        <v>2020</v>
      </c>
      <c r="Q81" s="21">
        <v>100</v>
      </c>
      <c r="R81" s="17"/>
      <c r="S81" s="7">
        <v>2020</v>
      </c>
      <c r="T81" s="21">
        <v>0</v>
      </c>
      <c r="U81" s="17"/>
      <c r="V81" s="7">
        <v>2020</v>
      </c>
      <c r="W81" s="21">
        <v>100</v>
      </c>
      <c r="X81" s="17"/>
      <c r="Y81" s="7">
        <v>2020</v>
      </c>
      <c r="Z81" s="14">
        <v>100</v>
      </c>
      <c r="AA81" s="23"/>
    </row>
    <row r="82" spans="1:33" ht="24.75" customHeight="1">
      <c r="A82" s="7">
        <v>2021</v>
      </c>
      <c r="B82" s="15">
        <f t="shared" si="8"/>
        <v>50</v>
      </c>
      <c r="C82" s="15"/>
      <c r="D82" s="7">
        <v>2021</v>
      </c>
      <c r="E82" s="14">
        <v>50</v>
      </c>
      <c r="F82" s="17"/>
      <c r="G82" s="7">
        <v>2021</v>
      </c>
      <c r="H82" s="14">
        <v>0</v>
      </c>
      <c r="I82" s="17"/>
      <c r="J82" s="7">
        <v>2021</v>
      </c>
      <c r="K82" s="31">
        <f t="shared" si="9"/>
        <v>50</v>
      </c>
      <c r="L82" s="14"/>
      <c r="M82" s="7">
        <v>2021</v>
      </c>
      <c r="N82" s="21">
        <v>0</v>
      </c>
      <c r="O82" s="17"/>
      <c r="P82" s="7">
        <v>2021</v>
      </c>
      <c r="Q82" s="21">
        <v>100</v>
      </c>
      <c r="R82" s="17"/>
      <c r="S82" s="7">
        <v>2021</v>
      </c>
      <c r="T82" s="21">
        <v>0</v>
      </c>
      <c r="U82" s="17"/>
      <c r="V82" s="7">
        <v>2021</v>
      </c>
      <c r="W82" s="21">
        <v>100</v>
      </c>
      <c r="X82" s="17"/>
      <c r="Y82" s="7">
        <v>2021</v>
      </c>
      <c r="Z82" s="14">
        <v>100</v>
      </c>
      <c r="AA82" s="23"/>
    </row>
    <row r="83" spans="1:33" ht="24.75" customHeight="1">
      <c r="A83" s="7">
        <v>2022</v>
      </c>
      <c r="B83" s="15">
        <f t="shared" si="8"/>
        <v>50</v>
      </c>
      <c r="C83" s="15"/>
      <c r="D83" s="7">
        <v>2022</v>
      </c>
      <c r="E83" s="14">
        <v>50</v>
      </c>
      <c r="F83" s="17"/>
      <c r="G83" s="7">
        <v>2022</v>
      </c>
      <c r="H83" s="14">
        <v>0</v>
      </c>
      <c r="I83" s="17"/>
      <c r="J83" s="7">
        <v>2022</v>
      </c>
      <c r="K83" s="31">
        <f t="shared" si="9"/>
        <v>50</v>
      </c>
      <c r="L83" s="14"/>
      <c r="M83" s="7">
        <v>2022</v>
      </c>
      <c r="N83" s="21">
        <v>0</v>
      </c>
      <c r="O83" s="17"/>
      <c r="P83" s="7">
        <v>2022</v>
      </c>
      <c r="Q83" s="21">
        <v>100</v>
      </c>
      <c r="R83" s="17"/>
      <c r="S83" s="7">
        <v>2022</v>
      </c>
      <c r="T83" s="21">
        <v>0</v>
      </c>
      <c r="U83" s="17"/>
      <c r="V83" s="7">
        <v>2022</v>
      </c>
      <c r="W83" s="21">
        <v>100</v>
      </c>
      <c r="X83" s="17"/>
      <c r="Y83" s="7">
        <v>2022</v>
      </c>
      <c r="Z83" s="14">
        <v>100</v>
      </c>
      <c r="AA83" s="23"/>
    </row>
    <row r="84" spans="1:33" ht="24.75" customHeight="1">
      <c r="A84" s="7">
        <v>2023</v>
      </c>
      <c r="B84" s="15">
        <f t="shared" si="8"/>
        <v>50</v>
      </c>
      <c r="C84" s="15"/>
      <c r="D84" s="7">
        <v>2023</v>
      </c>
      <c r="E84" s="14">
        <v>50</v>
      </c>
      <c r="F84" s="17"/>
      <c r="G84" s="7">
        <v>2023</v>
      </c>
      <c r="H84" s="14">
        <v>0</v>
      </c>
      <c r="I84" s="17"/>
      <c r="J84" s="7">
        <v>2023</v>
      </c>
      <c r="K84" s="31">
        <f t="shared" si="9"/>
        <v>50</v>
      </c>
      <c r="L84" s="14"/>
      <c r="M84" s="7">
        <v>2023</v>
      </c>
      <c r="N84" s="21">
        <v>0</v>
      </c>
      <c r="O84" s="17"/>
      <c r="P84" s="7">
        <v>2023</v>
      </c>
      <c r="Q84" s="21">
        <v>100</v>
      </c>
      <c r="R84" s="17"/>
      <c r="S84" s="7">
        <v>2023</v>
      </c>
      <c r="T84" s="21">
        <v>0</v>
      </c>
      <c r="U84" s="17"/>
      <c r="V84" s="7">
        <v>2023</v>
      </c>
      <c r="W84" s="21">
        <v>100</v>
      </c>
      <c r="X84" s="17"/>
      <c r="Y84" s="7">
        <v>2023</v>
      </c>
      <c r="Z84" s="14">
        <v>100</v>
      </c>
      <c r="AA84" s="23"/>
    </row>
    <row r="85" spans="1:33" ht="24.75" customHeight="1">
      <c r="A85" s="7">
        <v>2024</v>
      </c>
      <c r="B85" s="15">
        <f t="shared" si="8"/>
        <v>50</v>
      </c>
      <c r="C85" s="15"/>
      <c r="D85" s="7">
        <v>2024</v>
      </c>
      <c r="E85" s="14">
        <v>50</v>
      </c>
      <c r="F85" s="213" t="s">
        <v>1570</v>
      </c>
      <c r="G85" s="7">
        <v>2024</v>
      </c>
      <c r="H85" s="14">
        <v>0</v>
      </c>
      <c r="I85" s="134" t="s">
        <v>1571</v>
      </c>
      <c r="J85" s="7">
        <v>2024</v>
      </c>
      <c r="K85" s="31">
        <f t="shared" si="9"/>
        <v>50</v>
      </c>
      <c r="L85" s="14"/>
      <c r="M85" s="7">
        <v>2024</v>
      </c>
      <c r="N85" s="21">
        <v>0</v>
      </c>
      <c r="O85" s="134" t="s">
        <v>1572</v>
      </c>
      <c r="P85" s="7">
        <v>2024</v>
      </c>
      <c r="Q85" s="21">
        <v>100</v>
      </c>
      <c r="R85" s="17" t="s">
        <v>1212</v>
      </c>
      <c r="S85" s="7">
        <v>2024</v>
      </c>
      <c r="T85" s="21">
        <v>0</v>
      </c>
      <c r="U85" s="134" t="s">
        <v>1573</v>
      </c>
      <c r="V85" s="7">
        <v>2024</v>
      </c>
      <c r="W85" s="21">
        <v>100</v>
      </c>
      <c r="X85" s="214" t="s">
        <v>1574</v>
      </c>
      <c r="Y85" s="7">
        <v>2024</v>
      </c>
      <c r="Z85" s="14">
        <v>100</v>
      </c>
      <c r="AA85" s="23" t="s">
        <v>1575</v>
      </c>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1576</v>
      </c>
      <c r="AA91" s="310"/>
      <c r="AB91" s="7" t="s">
        <v>30</v>
      </c>
      <c r="AC91" s="310" t="s">
        <v>295</v>
      </c>
      <c r="AD91" s="310"/>
      <c r="AE91" s="7" t="s">
        <v>30</v>
      </c>
      <c r="AF91" s="310" t="s">
        <v>927</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55.875</v>
      </c>
      <c r="C94" s="15"/>
      <c r="D94" s="7">
        <v>2020</v>
      </c>
      <c r="E94" s="21">
        <v>50</v>
      </c>
      <c r="F94" s="17"/>
      <c r="G94" s="7">
        <v>2020</v>
      </c>
      <c r="H94" s="31">
        <f t="shared" ref="H94:H98" si="10">AVERAGE(K94,N94,Q94,T94)</f>
        <v>12.5</v>
      </c>
      <c r="I94" s="14"/>
      <c r="J94" s="7">
        <v>2020</v>
      </c>
      <c r="K94" s="14">
        <v>50</v>
      </c>
      <c r="L94" s="17"/>
      <c r="M94" s="7">
        <v>2020</v>
      </c>
      <c r="N94" s="82">
        <v>0</v>
      </c>
      <c r="O94" s="83" t="s">
        <v>1577</v>
      </c>
      <c r="P94" s="7">
        <v>2020</v>
      </c>
      <c r="Q94" s="82">
        <v>0</v>
      </c>
      <c r="R94" s="83" t="s">
        <v>1578</v>
      </c>
      <c r="S94" s="7">
        <v>2020</v>
      </c>
      <c r="T94" s="82">
        <v>0</v>
      </c>
      <c r="U94" s="83" t="s">
        <v>1578</v>
      </c>
      <c r="V94" s="7">
        <v>2020</v>
      </c>
      <c r="W94" s="14">
        <v>100</v>
      </c>
      <c r="X94" s="17"/>
      <c r="Y94" s="7">
        <v>2020</v>
      </c>
      <c r="Z94" s="14">
        <v>50</v>
      </c>
      <c r="AA94" s="17"/>
      <c r="AB94" s="7">
        <v>2020</v>
      </c>
      <c r="AC94" s="13">
        <v>33</v>
      </c>
      <c r="AD94" s="83"/>
      <c r="AE94" s="7">
        <v>2020</v>
      </c>
      <c r="AF94" s="14">
        <v>100</v>
      </c>
      <c r="AG94" s="23"/>
    </row>
    <row r="95" spans="1:33" ht="24.75" customHeight="1">
      <c r="A95" s="7">
        <v>2021</v>
      </c>
      <c r="B95" s="15">
        <f>AVERAGE(E95,H95, W95,((Z95+AC95+AF95)/3))</f>
        <v>55.875</v>
      </c>
      <c r="C95" s="15"/>
      <c r="D95" s="7">
        <v>2021</v>
      </c>
      <c r="E95" s="21">
        <v>50</v>
      </c>
      <c r="F95" s="17"/>
      <c r="G95" s="7">
        <v>2021</v>
      </c>
      <c r="H95" s="31">
        <f t="shared" si="10"/>
        <v>12.5</v>
      </c>
      <c r="I95" s="14"/>
      <c r="J95" s="7">
        <v>2021</v>
      </c>
      <c r="K95" s="14">
        <v>50</v>
      </c>
      <c r="L95" s="17"/>
      <c r="M95" s="7">
        <v>2021</v>
      </c>
      <c r="N95" s="82">
        <v>0</v>
      </c>
      <c r="O95" s="83"/>
      <c r="P95" s="7">
        <v>2021</v>
      </c>
      <c r="Q95" s="82">
        <v>0</v>
      </c>
      <c r="R95" s="83"/>
      <c r="S95" s="7">
        <v>2021</v>
      </c>
      <c r="T95" s="82">
        <v>0</v>
      </c>
      <c r="U95" s="83"/>
      <c r="V95" s="7">
        <v>2021</v>
      </c>
      <c r="W95" s="14">
        <v>100</v>
      </c>
      <c r="X95" s="17"/>
      <c r="Y95" s="7">
        <v>2021</v>
      </c>
      <c r="Z95" s="14">
        <v>50</v>
      </c>
      <c r="AA95" s="17"/>
      <c r="AB95" s="7">
        <v>2021</v>
      </c>
      <c r="AC95" s="13">
        <v>33</v>
      </c>
      <c r="AD95" s="83"/>
      <c r="AE95" s="7">
        <v>2021</v>
      </c>
      <c r="AF95" s="14">
        <v>100</v>
      </c>
      <c r="AG95" s="23"/>
    </row>
    <row r="96" spans="1:33" ht="24.75" customHeight="1">
      <c r="A96" s="7">
        <v>2022</v>
      </c>
      <c r="B96" s="15">
        <f>AVERAGE(E96,H96, W96,((Z96+AC96+AF96)/3))</f>
        <v>55.875</v>
      </c>
      <c r="C96" s="15"/>
      <c r="D96" s="7">
        <v>2022</v>
      </c>
      <c r="E96" s="21">
        <v>50</v>
      </c>
      <c r="F96" s="17"/>
      <c r="G96" s="7">
        <v>2022</v>
      </c>
      <c r="H96" s="31">
        <f t="shared" si="10"/>
        <v>12.5</v>
      </c>
      <c r="I96" s="14"/>
      <c r="J96" s="7">
        <v>2022</v>
      </c>
      <c r="K96" s="14">
        <v>50</v>
      </c>
      <c r="L96" s="17"/>
      <c r="M96" s="7">
        <v>2022</v>
      </c>
      <c r="N96" s="82">
        <v>0</v>
      </c>
      <c r="O96" s="83"/>
      <c r="P96" s="7">
        <v>2022</v>
      </c>
      <c r="Q96" s="82">
        <v>0</v>
      </c>
      <c r="R96" s="83"/>
      <c r="S96" s="7">
        <v>2022</v>
      </c>
      <c r="T96" s="82">
        <v>0</v>
      </c>
      <c r="U96" s="83"/>
      <c r="V96" s="7">
        <v>2022</v>
      </c>
      <c r="W96" s="14">
        <v>100</v>
      </c>
      <c r="X96" s="17"/>
      <c r="Y96" s="7">
        <v>2022</v>
      </c>
      <c r="Z96" s="14">
        <v>50</v>
      </c>
      <c r="AA96" s="17"/>
      <c r="AB96" s="7">
        <v>2022</v>
      </c>
      <c r="AC96" s="13">
        <v>33</v>
      </c>
      <c r="AD96" s="83"/>
      <c r="AE96" s="7">
        <v>2022</v>
      </c>
      <c r="AF96" s="14">
        <v>100</v>
      </c>
      <c r="AG96" s="23"/>
    </row>
    <row r="97" spans="1:51" ht="24.75" customHeight="1">
      <c r="A97" s="7">
        <v>2023</v>
      </c>
      <c r="B97" s="15">
        <f>AVERAGE(E97,H97, W97,((Z97+AC97+AF97)/3))</f>
        <v>55.875</v>
      </c>
      <c r="C97" s="15"/>
      <c r="D97" s="7">
        <v>2023</v>
      </c>
      <c r="E97" s="21">
        <v>50</v>
      </c>
      <c r="F97" s="17"/>
      <c r="G97" s="7">
        <v>2023</v>
      </c>
      <c r="H97" s="31">
        <f t="shared" si="10"/>
        <v>12.5</v>
      </c>
      <c r="I97" s="14"/>
      <c r="J97" s="7">
        <v>2023</v>
      </c>
      <c r="K97" s="14">
        <v>50</v>
      </c>
      <c r="L97" s="17"/>
      <c r="M97" s="7">
        <v>2023</v>
      </c>
      <c r="N97" s="82">
        <v>0</v>
      </c>
      <c r="O97" s="83"/>
      <c r="P97" s="7">
        <v>2023</v>
      </c>
      <c r="Q97" s="82">
        <v>0</v>
      </c>
      <c r="R97" s="83"/>
      <c r="S97" s="7">
        <v>2023</v>
      </c>
      <c r="T97" s="82">
        <v>0</v>
      </c>
      <c r="U97" s="83"/>
      <c r="V97" s="7">
        <v>2023</v>
      </c>
      <c r="W97" s="14">
        <v>100</v>
      </c>
      <c r="X97" s="17"/>
      <c r="Y97" s="7">
        <v>2023</v>
      </c>
      <c r="Z97" s="14">
        <v>50</v>
      </c>
      <c r="AA97" s="17"/>
      <c r="AB97" s="7">
        <v>2023</v>
      </c>
      <c r="AC97" s="13">
        <v>33</v>
      </c>
      <c r="AD97" s="83"/>
      <c r="AE97" s="7">
        <v>2023</v>
      </c>
      <c r="AF97" s="14">
        <v>100</v>
      </c>
      <c r="AG97" s="23"/>
    </row>
    <row r="98" spans="1:51" ht="24.75" customHeight="1">
      <c r="A98" s="7">
        <v>2024</v>
      </c>
      <c r="B98" s="15">
        <f>AVERAGE(E98,H98, W98,((Z98+AC98+AF98)/3))</f>
        <v>55.875</v>
      </c>
      <c r="C98" s="15"/>
      <c r="D98" s="7">
        <v>2024</v>
      </c>
      <c r="E98" s="21">
        <v>50</v>
      </c>
      <c r="F98" s="23" t="s">
        <v>1579</v>
      </c>
      <c r="G98" s="7">
        <v>2024</v>
      </c>
      <c r="H98" s="31">
        <f t="shared" si="10"/>
        <v>12.5</v>
      </c>
      <c r="I98" s="14"/>
      <c r="J98" s="7">
        <v>2024</v>
      </c>
      <c r="K98" s="14">
        <v>50</v>
      </c>
      <c r="L98" s="23" t="s">
        <v>1580</v>
      </c>
      <c r="M98" s="7">
        <v>2024</v>
      </c>
      <c r="N98" s="82">
        <v>0</v>
      </c>
      <c r="O98" s="86"/>
      <c r="P98" s="7">
        <v>2024</v>
      </c>
      <c r="Q98" s="82">
        <v>0</v>
      </c>
      <c r="R98" s="86"/>
      <c r="S98" s="7">
        <v>2024</v>
      </c>
      <c r="T98" s="82">
        <v>0</v>
      </c>
      <c r="U98" s="86"/>
      <c r="V98" s="7">
        <v>2024</v>
      </c>
      <c r="W98" s="82">
        <v>100</v>
      </c>
      <c r="X98" s="86" t="s">
        <v>1581</v>
      </c>
      <c r="Y98" s="7">
        <v>2024</v>
      </c>
      <c r="Z98" s="14">
        <v>50</v>
      </c>
      <c r="AA98" s="23" t="s">
        <v>1582</v>
      </c>
      <c r="AB98" s="7">
        <v>2024</v>
      </c>
      <c r="AC98" s="13">
        <v>33</v>
      </c>
      <c r="AD98" s="215" t="s">
        <v>1583</v>
      </c>
      <c r="AE98" s="7">
        <v>2024</v>
      </c>
      <c r="AF98" s="14">
        <v>100</v>
      </c>
      <c r="AG98" s="23" t="s">
        <v>1584</v>
      </c>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1585</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1586</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25" t="s">
        <v>336</v>
      </c>
      <c r="F105" s="325"/>
      <c r="G105" s="27" t="s">
        <v>41</v>
      </c>
      <c r="H105" s="325" t="s">
        <v>337</v>
      </c>
      <c r="I105" s="325"/>
      <c r="J105" s="27" t="s">
        <v>41</v>
      </c>
      <c r="K105" s="325" t="s">
        <v>338</v>
      </c>
      <c r="L105" s="325"/>
      <c r="M105" s="27" t="s">
        <v>41</v>
      </c>
      <c r="N105" s="325" t="s">
        <v>337</v>
      </c>
      <c r="O105" s="325"/>
      <c r="P105" s="27" t="s">
        <v>41</v>
      </c>
      <c r="Q105" s="325" t="s">
        <v>338</v>
      </c>
      <c r="R105" s="325"/>
      <c r="S105" s="27" t="s">
        <v>41</v>
      </c>
      <c r="T105" s="325" t="s">
        <v>337</v>
      </c>
      <c r="U105" s="325"/>
      <c r="V105" s="27" t="s">
        <v>41</v>
      </c>
      <c r="W105" s="325" t="s">
        <v>339</v>
      </c>
      <c r="X105" s="325"/>
      <c r="Y105" s="27" t="s">
        <v>41</v>
      </c>
      <c r="Z105" s="325" t="s">
        <v>339</v>
      </c>
      <c r="AA105" s="325"/>
      <c r="AB105" s="27" t="s">
        <v>41</v>
      </c>
      <c r="AC105" s="325" t="s">
        <v>340</v>
      </c>
      <c r="AD105" s="325"/>
      <c r="AE105" s="27" t="s">
        <v>41</v>
      </c>
      <c r="AF105" s="325" t="s">
        <v>341</v>
      </c>
      <c r="AG105" s="325"/>
      <c r="AH105" s="27" t="s">
        <v>41</v>
      </c>
      <c r="AI105" s="325" t="s">
        <v>342</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27.083333333333332</v>
      </c>
      <c r="C107" s="43"/>
      <c r="D107" s="27">
        <v>2020</v>
      </c>
      <c r="E107" s="14">
        <v>50</v>
      </c>
      <c r="F107" s="23"/>
      <c r="G107" s="7">
        <v>2020</v>
      </c>
      <c r="H107" s="44">
        <v>100</v>
      </c>
      <c r="I107" s="23"/>
      <c r="J107" s="27">
        <v>2020</v>
      </c>
      <c r="K107" s="74">
        <v>50</v>
      </c>
      <c r="L107" s="23"/>
      <c r="M107" s="7">
        <v>2020</v>
      </c>
      <c r="N107" s="21">
        <v>100</v>
      </c>
      <c r="O107" s="23"/>
      <c r="P107" s="27">
        <v>2020</v>
      </c>
      <c r="Q107" s="14">
        <v>0</v>
      </c>
      <c r="R107" s="23"/>
      <c r="S107" s="7">
        <v>2020</v>
      </c>
      <c r="T107" s="21">
        <v>50</v>
      </c>
      <c r="U107" s="23"/>
      <c r="V107" s="7">
        <v>2020</v>
      </c>
      <c r="W107" s="14">
        <v>67</v>
      </c>
      <c r="X107" s="23" t="s">
        <v>1587</v>
      </c>
      <c r="Y107" s="7">
        <v>2020</v>
      </c>
      <c r="Z107" s="14">
        <v>33</v>
      </c>
      <c r="AA107" s="23" t="s">
        <v>1588</v>
      </c>
      <c r="AB107" s="7">
        <v>2020</v>
      </c>
      <c r="AC107" s="21">
        <v>0</v>
      </c>
      <c r="AD107" s="23"/>
      <c r="AE107" s="7">
        <v>2020</v>
      </c>
      <c r="AF107" s="14">
        <v>0</v>
      </c>
      <c r="AG107" s="23"/>
      <c r="AH107" s="7">
        <v>2020</v>
      </c>
      <c r="AI107" s="47">
        <v>0</v>
      </c>
      <c r="AJ107" s="35" t="s">
        <v>1589</v>
      </c>
      <c r="AK107" s="7">
        <v>2020</v>
      </c>
      <c r="AL107" s="21">
        <v>0</v>
      </c>
      <c r="AM107" s="23"/>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27.083333333333332</v>
      </c>
      <c r="C108" s="49"/>
      <c r="D108" s="27">
        <v>2021</v>
      </c>
      <c r="E108" s="14">
        <v>50</v>
      </c>
      <c r="F108" s="23"/>
      <c r="G108" s="7">
        <v>2021</v>
      </c>
      <c r="H108" s="44">
        <v>100</v>
      </c>
      <c r="I108" s="23"/>
      <c r="J108" s="27">
        <v>2021</v>
      </c>
      <c r="K108" s="74">
        <v>50</v>
      </c>
      <c r="L108" s="23"/>
      <c r="M108" s="7">
        <v>2021</v>
      </c>
      <c r="N108" s="21">
        <v>100</v>
      </c>
      <c r="O108" s="23"/>
      <c r="P108" s="27">
        <v>2021</v>
      </c>
      <c r="Q108" s="14">
        <v>0</v>
      </c>
      <c r="R108" s="23"/>
      <c r="S108" s="7">
        <v>2021</v>
      </c>
      <c r="T108" s="21">
        <v>50</v>
      </c>
      <c r="U108" s="23"/>
      <c r="V108" s="7">
        <v>2021</v>
      </c>
      <c r="W108" s="14">
        <v>67</v>
      </c>
      <c r="X108" s="23"/>
      <c r="Y108" s="7">
        <v>2021</v>
      </c>
      <c r="Z108" s="14">
        <v>33</v>
      </c>
      <c r="AA108" s="23"/>
      <c r="AB108" s="7">
        <v>2021</v>
      </c>
      <c r="AC108" s="21">
        <v>0</v>
      </c>
      <c r="AD108" s="23"/>
      <c r="AE108" s="7">
        <v>2021</v>
      </c>
      <c r="AF108" s="14">
        <v>0</v>
      </c>
      <c r="AG108" s="23"/>
      <c r="AH108" s="7">
        <v>2021</v>
      </c>
      <c r="AI108" s="47">
        <v>0</v>
      </c>
      <c r="AJ108" s="35" t="s">
        <v>1590</v>
      </c>
      <c r="AK108" s="7">
        <v>2021</v>
      </c>
      <c r="AL108" s="21">
        <v>0</v>
      </c>
      <c r="AM108" s="23"/>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27.083333333333332</v>
      </c>
      <c r="C109" s="49"/>
      <c r="D109" s="27">
        <v>2022</v>
      </c>
      <c r="E109" s="14">
        <v>50</v>
      </c>
      <c r="F109" s="23"/>
      <c r="G109" s="27">
        <v>2022</v>
      </c>
      <c r="H109" s="44">
        <v>100</v>
      </c>
      <c r="I109" s="23"/>
      <c r="J109" s="27">
        <v>2022</v>
      </c>
      <c r="K109" s="74">
        <v>50</v>
      </c>
      <c r="L109" s="23"/>
      <c r="M109" s="27">
        <v>2022</v>
      </c>
      <c r="N109" s="21">
        <v>100</v>
      </c>
      <c r="O109" s="23"/>
      <c r="P109" s="27">
        <v>2022</v>
      </c>
      <c r="Q109" s="14">
        <v>0</v>
      </c>
      <c r="R109" s="23"/>
      <c r="S109" s="27">
        <v>2022</v>
      </c>
      <c r="T109" s="21">
        <v>50</v>
      </c>
      <c r="U109" s="23"/>
      <c r="V109" s="27">
        <v>2022</v>
      </c>
      <c r="W109" s="14">
        <v>67</v>
      </c>
      <c r="X109" s="23"/>
      <c r="Y109" s="27">
        <v>2022</v>
      </c>
      <c r="Z109" s="14">
        <v>33</v>
      </c>
      <c r="AA109" s="23"/>
      <c r="AB109" s="27">
        <v>2022</v>
      </c>
      <c r="AC109" s="21">
        <v>0</v>
      </c>
      <c r="AD109" s="23"/>
      <c r="AE109" s="27">
        <v>2022</v>
      </c>
      <c r="AF109" s="14">
        <v>0</v>
      </c>
      <c r="AG109" s="23"/>
      <c r="AH109" s="27">
        <v>2022</v>
      </c>
      <c r="AI109" s="47">
        <v>0</v>
      </c>
      <c r="AJ109" s="35" t="s">
        <v>1591</v>
      </c>
      <c r="AK109" s="27">
        <v>2022</v>
      </c>
      <c r="AL109" s="21">
        <v>0</v>
      </c>
      <c r="AM109" s="23"/>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33.333333333333329</v>
      </c>
      <c r="C110" s="49"/>
      <c r="D110" s="27">
        <v>2023</v>
      </c>
      <c r="E110" s="14">
        <v>50</v>
      </c>
      <c r="F110" s="23"/>
      <c r="G110" s="27">
        <v>2023</v>
      </c>
      <c r="H110" s="44">
        <v>100</v>
      </c>
      <c r="I110" s="23"/>
      <c r="J110" s="27">
        <v>2023</v>
      </c>
      <c r="K110" s="74">
        <v>50</v>
      </c>
      <c r="L110" s="23"/>
      <c r="M110" s="27">
        <v>2023</v>
      </c>
      <c r="N110" s="21">
        <v>100</v>
      </c>
      <c r="O110" s="23"/>
      <c r="P110" s="27">
        <v>2023</v>
      </c>
      <c r="Q110" s="14">
        <v>0</v>
      </c>
      <c r="R110" s="23"/>
      <c r="S110" s="27">
        <v>2023</v>
      </c>
      <c r="T110" s="21">
        <v>50</v>
      </c>
      <c r="U110" s="23"/>
      <c r="V110" s="27">
        <v>2023</v>
      </c>
      <c r="W110" s="14">
        <v>67</v>
      </c>
      <c r="X110" s="23"/>
      <c r="Y110" s="27">
        <v>2023</v>
      </c>
      <c r="Z110" s="14">
        <v>33</v>
      </c>
      <c r="AA110" s="23"/>
      <c r="AB110" s="27">
        <v>2023</v>
      </c>
      <c r="AC110" s="21">
        <v>0</v>
      </c>
      <c r="AD110" s="23"/>
      <c r="AE110" s="27">
        <v>2023</v>
      </c>
      <c r="AF110" s="14">
        <v>0</v>
      </c>
      <c r="AG110" s="23"/>
      <c r="AH110" s="27">
        <v>2023</v>
      </c>
      <c r="AI110" s="47">
        <v>50</v>
      </c>
      <c r="AJ110" s="35" t="s">
        <v>1989</v>
      </c>
      <c r="AK110" s="27">
        <v>2023</v>
      </c>
      <c r="AL110" s="21">
        <v>0</v>
      </c>
      <c r="AM110" s="23"/>
    </row>
    <row r="111" spans="1:51" ht="22.5" customHeight="1">
      <c r="A111" s="27">
        <v>2024</v>
      </c>
      <c r="B111" s="42">
        <f>AVERAGE((E111+K111+Q111)/3+(H111+N111+T111)/3+W111+Z111+AC111+AF111+AI111+AL111)/8</f>
        <v>33.333333333333329</v>
      </c>
      <c r="C111" s="49"/>
      <c r="D111" s="27">
        <v>2024</v>
      </c>
      <c r="E111" s="14">
        <v>50</v>
      </c>
      <c r="F111" s="23" t="s">
        <v>1592</v>
      </c>
      <c r="G111" s="27">
        <v>2024</v>
      </c>
      <c r="H111" s="44">
        <v>100</v>
      </c>
      <c r="I111" s="23" t="s">
        <v>1593</v>
      </c>
      <c r="J111" s="27">
        <v>2024</v>
      </c>
      <c r="K111" s="74">
        <v>50</v>
      </c>
      <c r="L111" s="23" t="s">
        <v>1594</v>
      </c>
      <c r="M111" s="27">
        <v>2024</v>
      </c>
      <c r="N111" s="21">
        <v>100</v>
      </c>
      <c r="O111" s="23" t="s">
        <v>1595</v>
      </c>
      <c r="P111" s="27">
        <v>2024</v>
      </c>
      <c r="Q111" s="14">
        <v>0</v>
      </c>
      <c r="R111" s="23" t="s">
        <v>1596</v>
      </c>
      <c r="S111" s="27">
        <v>2024</v>
      </c>
      <c r="T111" s="21">
        <v>50</v>
      </c>
      <c r="U111" s="23" t="s">
        <v>1597</v>
      </c>
      <c r="V111" s="27">
        <v>2024</v>
      </c>
      <c r="W111" s="14">
        <v>67</v>
      </c>
      <c r="X111" s="23" t="s">
        <v>1598</v>
      </c>
      <c r="Y111" s="27">
        <v>2024</v>
      </c>
      <c r="Z111" s="14">
        <v>33</v>
      </c>
      <c r="AA111" s="23" t="s">
        <v>1599</v>
      </c>
      <c r="AB111" s="27">
        <v>2024</v>
      </c>
      <c r="AC111" s="21">
        <v>0</v>
      </c>
      <c r="AD111" s="23" t="s">
        <v>1600</v>
      </c>
      <c r="AE111" s="27">
        <v>2024</v>
      </c>
      <c r="AF111" s="14">
        <v>0</v>
      </c>
      <c r="AG111" s="23" t="s">
        <v>1601</v>
      </c>
      <c r="AH111" s="27">
        <v>2024</v>
      </c>
      <c r="AI111" s="47">
        <v>50</v>
      </c>
      <c r="AJ111" s="35" t="s">
        <v>1602</v>
      </c>
      <c r="AK111" s="27">
        <v>2024</v>
      </c>
      <c r="AL111" s="21">
        <v>0</v>
      </c>
      <c r="AM111" s="23" t="s">
        <v>1603</v>
      </c>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8E5C-27A0-444E-9F52-F8F36A063686}">
  <dimension ref="A1:CC121"/>
  <sheetViews>
    <sheetView topLeftCell="AA31" zoomScale="85" zoomScaleNormal="85" workbookViewId="0">
      <selection activeCell="AI36" sqref="AI36:AJ36"/>
    </sheetView>
  </sheetViews>
  <sheetFormatPr defaultColWidth="8.81640625" defaultRowHeight="15" customHeight="1"/>
  <cols>
    <col min="1" max="1" width="17.453125" style="1" customWidth="1"/>
    <col min="2" max="2" width="28.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51.65" customHeight="1">
      <c r="A1" s="323" t="s">
        <v>0</v>
      </c>
      <c r="B1" s="323"/>
      <c r="C1" s="323"/>
      <c r="D1" s="323"/>
    </row>
    <row r="2" spans="1:81" ht="38.4" customHeight="1">
      <c r="A2" s="2" t="s">
        <v>1</v>
      </c>
      <c r="B2" s="2" t="s">
        <v>2</v>
      </c>
      <c r="C2" s="2" t="s">
        <v>3</v>
      </c>
      <c r="D2" s="2" t="s">
        <v>4</v>
      </c>
    </row>
    <row r="3" spans="1:81" ht="15" customHeight="1">
      <c r="A3" s="3">
        <v>2020</v>
      </c>
      <c r="B3" s="16">
        <f>AVERAGE(B15,B27,B39,B51,B63,B75,B87,B99)</f>
        <v>82.803571428571431</v>
      </c>
      <c r="C3" s="16">
        <f>AVERAGE(B15,B27,B39,B51,B63,B75,B87)</f>
        <v>84.513605442176868</v>
      </c>
      <c r="D3" s="16">
        <f>AVERAGE(B15,B27,B51,B63,B75,B87)</f>
        <v>86.305555555555543</v>
      </c>
    </row>
    <row r="4" spans="1:81" ht="15" customHeight="1">
      <c r="A4" s="3">
        <v>2021</v>
      </c>
      <c r="B4" s="16">
        <f t="shared" ref="B4" si="0">AVERAGE(B16,B28,B40,B52,B64,B76,B88,B100)</f>
        <v>82.803571428571431</v>
      </c>
      <c r="C4" s="16">
        <f t="shared" ref="C4:C6" si="1">AVERAGE(B16,B28,B40,B52,B64,B76,B88)</f>
        <v>84.513605442176868</v>
      </c>
      <c r="D4" s="16">
        <f t="shared" ref="D4:D6" si="2">AVERAGE(B16,B28,B52,B64,B76,B88)</f>
        <v>86.305555555555543</v>
      </c>
    </row>
    <row r="5" spans="1:81" ht="15" customHeight="1">
      <c r="A5" s="3">
        <v>2022</v>
      </c>
      <c r="B5" s="16">
        <f>AVERAGE(B17,B29,B41,B53,B65,B77,B89,B101)</f>
        <v>83.498015873015873</v>
      </c>
      <c r="C5" s="16">
        <f t="shared" si="1"/>
        <v>85.307256235827666</v>
      </c>
      <c r="D5" s="16">
        <f t="shared" si="2"/>
        <v>87.231481481481481</v>
      </c>
    </row>
    <row r="6" spans="1:81" ht="15" customHeight="1">
      <c r="A6" s="3">
        <v>2023</v>
      </c>
      <c r="B6" s="16">
        <f>AVERAGE(B18,B30,B42,B54,B66,B78,B90,B102)</f>
        <v>83.498015873015873</v>
      </c>
      <c r="C6" s="16">
        <f t="shared" si="1"/>
        <v>85.307256235827666</v>
      </c>
      <c r="D6" s="16">
        <f t="shared" si="2"/>
        <v>87.231481481481481</v>
      </c>
    </row>
    <row r="7" spans="1:81" ht="24.75" customHeight="1"/>
    <row r="8" spans="1:81" ht="24.75" customHeight="1">
      <c r="A8" s="5" t="s">
        <v>5</v>
      </c>
      <c r="B8" s="387" t="s">
        <v>6</v>
      </c>
      <c r="C8" s="387"/>
      <c r="D8" s="387"/>
      <c r="E8" s="387"/>
      <c r="F8" s="387"/>
      <c r="G8" s="387"/>
      <c r="H8" s="387"/>
      <c r="I8" s="387"/>
      <c r="J8" s="387"/>
      <c r="K8" s="387"/>
      <c r="L8" s="387"/>
      <c r="M8" s="387"/>
      <c r="N8" s="387"/>
      <c r="O8" s="387"/>
      <c r="P8" s="387"/>
      <c r="Q8" s="387"/>
      <c r="R8" s="387"/>
      <c r="S8" s="387"/>
      <c r="T8" s="387"/>
      <c r="U8" s="387"/>
      <c r="V8" s="387"/>
      <c r="W8" s="387"/>
      <c r="X8" s="387"/>
      <c r="Y8" s="387"/>
      <c r="Z8" s="387"/>
      <c r="AA8" s="387"/>
      <c r="AB8" s="387"/>
      <c r="AC8" s="387"/>
      <c r="AD8" s="387"/>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5"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8" si="3">AVERAGE(E15, H15,K15,N15,Q15,T15,W15,Z15,AC15)</f>
        <v>94.444444444444443</v>
      </c>
      <c r="C15" s="16"/>
      <c r="D15" s="7">
        <v>2020</v>
      </c>
      <c r="E15" s="14">
        <v>100</v>
      </c>
      <c r="F15" s="23" t="s">
        <v>1604</v>
      </c>
      <c r="G15" s="7">
        <v>2020</v>
      </c>
      <c r="H15" s="14">
        <v>100</v>
      </c>
      <c r="I15" s="17"/>
      <c r="J15" s="7">
        <v>2020</v>
      </c>
      <c r="K15" s="14">
        <v>100</v>
      </c>
      <c r="L15" s="17"/>
      <c r="M15" s="7">
        <v>2020</v>
      </c>
      <c r="N15" s="14">
        <v>100</v>
      </c>
      <c r="O15" s="17"/>
      <c r="P15" s="7">
        <v>2020</v>
      </c>
      <c r="Q15" s="14">
        <v>100</v>
      </c>
      <c r="R15" s="17"/>
      <c r="S15" s="7">
        <v>2020</v>
      </c>
      <c r="T15" s="14">
        <v>100</v>
      </c>
      <c r="U15" s="17" t="s">
        <v>1605</v>
      </c>
      <c r="V15" s="7">
        <v>2020</v>
      </c>
      <c r="W15" s="14">
        <v>50</v>
      </c>
      <c r="X15" s="23" t="s">
        <v>1606</v>
      </c>
      <c r="Y15" s="7">
        <v>2020</v>
      </c>
      <c r="Z15" s="14">
        <v>100</v>
      </c>
      <c r="AA15" s="17"/>
      <c r="AB15" s="7">
        <v>2020</v>
      </c>
      <c r="AC15" s="14">
        <v>100</v>
      </c>
      <c r="AD15" s="23" t="s">
        <v>1607</v>
      </c>
    </row>
    <row r="16" spans="1:81" ht="24.75" customHeight="1">
      <c r="A16" s="7">
        <v>2021</v>
      </c>
      <c r="B16" s="15">
        <f t="shared" si="3"/>
        <v>94.444444444444443</v>
      </c>
      <c r="C16" s="16"/>
      <c r="D16" s="7">
        <v>2021</v>
      </c>
      <c r="E16" s="14">
        <v>100</v>
      </c>
      <c r="F16" s="17"/>
      <c r="G16" s="7">
        <v>2021</v>
      </c>
      <c r="H16" s="14">
        <v>100</v>
      </c>
      <c r="I16" s="17"/>
      <c r="J16" s="7">
        <v>2021</v>
      </c>
      <c r="K16" s="14">
        <v>100</v>
      </c>
      <c r="L16" s="17"/>
      <c r="M16" s="7">
        <v>2021</v>
      </c>
      <c r="N16" s="14">
        <v>100</v>
      </c>
      <c r="O16" s="17"/>
      <c r="P16" s="7">
        <v>2021</v>
      </c>
      <c r="Q16" s="14">
        <v>100</v>
      </c>
      <c r="R16" s="17"/>
      <c r="S16" s="7">
        <v>2021</v>
      </c>
      <c r="T16" s="14">
        <v>100</v>
      </c>
      <c r="U16" s="17"/>
      <c r="V16" s="7">
        <v>2021</v>
      </c>
      <c r="W16" s="14">
        <v>50</v>
      </c>
      <c r="X16" s="17" t="s">
        <v>1608</v>
      </c>
      <c r="Y16" s="7">
        <v>2021</v>
      </c>
      <c r="Z16" s="14">
        <v>100</v>
      </c>
      <c r="AA16" s="17"/>
      <c r="AB16" s="7">
        <v>2021</v>
      </c>
      <c r="AC16" s="14">
        <v>100</v>
      </c>
      <c r="AD16" s="23"/>
    </row>
    <row r="17" spans="1:51" ht="24.75" customHeight="1">
      <c r="A17" s="7">
        <v>2022</v>
      </c>
      <c r="B17" s="15">
        <f t="shared" si="3"/>
        <v>94.444444444444443</v>
      </c>
      <c r="C17" s="16"/>
      <c r="D17" s="7">
        <v>2022</v>
      </c>
      <c r="E17" s="14">
        <v>100</v>
      </c>
      <c r="F17" s="23" t="s">
        <v>1609</v>
      </c>
      <c r="G17" s="7">
        <v>2022</v>
      </c>
      <c r="H17" s="14">
        <v>100</v>
      </c>
      <c r="I17" s="17"/>
      <c r="J17" s="7">
        <v>2022</v>
      </c>
      <c r="K17" s="14">
        <v>100</v>
      </c>
      <c r="L17" s="17"/>
      <c r="M17" s="7">
        <v>2022</v>
      </c>
      <c r="N17" s="14">
        <v>100</v>
      </c>
      <c r="O17" s="17"/>
      <c r="P17" s="7">
        <v>2022</v>
      </c>
      <c r="Q17" s="14">
        <v>100</v>
      </c>
      <c r="R17" s="17"/>
      <c r="S17" s="7">
        <v>2022</v>
      </c>
      <c r="T17" s="14">
        <v>100</v>
      </c>
      <c r="U17" s="17"/>
      <c r="V17" s="7">
        <v>2022</v>
      </c>
      <c r="W17" s="14">
        <v>50</v>
      </c>
      <c r="X17" s="23" t="s">
        <v>1610</v>
      </c>
      <c r="Y17" s="7">
        <v>2022</v>
      </c>
      <c r="Z17" s="14">
        <v>100</v>
      </c>
      <c r="AA17" s="17"/>
      <c r="AB17" s="7">
        <v>2022</v>
      </c>
      <c r="AC17" s="14">
        <v>100</v>
      </c>
      <c r="AD17" s="23"/>
    </row>
    <row r="18" spans="1:51" ht="24.75" customHeight="1">
      <c r="A18" s="7">
        <v>2023</v>
      </c>
      <c r="B18" s="15">
        <f t="shared" si="3"/>
        <v>94.444444444444443</v>
      </c>
      <c r="C18" s="16"/>
      <c r="D18" s="7">
        <v>2023</v>
      </c>
      <c r="E18" s="14">
        <v>100</v>
      </c>
      <c r="F18" s="17"/>
      <c r="G18" s="7">
        <v>2023</v>
      </c>
      <c r="H18" s="14">
        <v>100</v>
      </c>
      <c r="I18" s="17"/>
      <c r="J18" s="7">
        <v>2023</v>
      </c>
      <c r="K18" s="14">
        <v>100</v>
      </c>
      <c r="L18" s="17"/>
      <c r="M18" s="7">
        <v>2023</v>
      </c>
      <c r="N18" s="14">
        <v>100</v>
      </c>
      <c r="O18" s="17"/>
      <c r="P18" s="7">
        <v>2023</v>
      </c>
      <c r="Q18" s="14">
        <v>100</v>
      </c>
      <c r="R18" s="17"/>
      <c r="S18" s="7">
        <v>2023</v>
      </c>
      <c r="T18" s="14">
        <v>100</v>
      </c>
      <c r="U18" s="17"/>
      <c r="V18" s="7">
        <v>2023</v>
      </c>
      <c r="W18" s="14">
        <v>50</v>
      </c>
      <c r="X18" s="23" t="s">
        <v>1611</v>
      </c>
      <c r="Y18" s="7">
        <v>2023</v>
      </c>
      <c r="Z18" s="14">
        <v>100</v>
      </c>
      <c r="AA18" s="17"/>
      <c r="AB18" s="7">
        <v>2023</v>
      </c>
      <c r="AC18" s="14">
        <v>100</v>
      </c>
      <c r="AD18" s="23"/>
    </row>
    <row r="19" spans="1:51" ht="24.75" customHeight="1">
      <c r="A19" s="24"/>
      <c r="B19" s="24"/>
      <c r="C19" s="24"/>
      <c r="D19" s="24"/>
      <c r="E19" s="32"/>
      <c r="F19" s="24"/>
      <c r="G19" s="24"/>
      <c r="H19" s="24"/>
      <c r="I19" s="24"/>
      <c r="J19" s="24"/>
      <c r="K19" s="24"/>
      <c r="L19" s="24"/>
      <c r="M19" s="24"/>
      <c r="N19" s="24"/>
      <c r="W19" s="32"/>
    </row>
    <row r="20" spans="1:51" ht="24.75" customHeight="1">
      <c r="A20" s="5" t="s">
        <v>5</v>
      </c>
      <c r="B20" s="384" t="s">
        <v>59</v>
      </c>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c r="L24" s="325"/>
      <c r="M24" s="27" t="s">
        <v>30</v>
      </c>
      <c r="N24" s="325" t="s">
        <v>96</v>
      </c>
      <c r="O24" s="325"/>
      <c r="P24" s="27" t="s">
        <v>30</v>
      </c>
      <c r="Q24" s="325" t="s">
        <v>97</v>
      </c>
      <c r="R24" s="325"/>
      <c r="S24" s="27" t="s">
        <v>30</v>
      </c>
      <c r="T24" s="325"/>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326" t="s">
        <v>427</v>
      </c>
      <c r="L25" s="325"/>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7"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87.055555555555557</v>
      </c>
      <c r="C27" s="16"/>
      <c r="D27" s="7">
        <v>2020</v>
      </c>
      <c r="E27" s="21">
        <v>50</v>
      </c>
      <c r="F27" s="17" t="s">
        <v>1612</v>
      </c>
      <c r="G27" s="7">
        <v>2020</v>
      </c>
      <c r="H27" s="14">
        <v>100</v>
      </c>
      <c r="I27" s="17"/>
      <c r="J27" s="7">
        <v>2020</v>
      </c>
      <c r="K27" s="14">
        <v>100</v>
      </c>
      <c r="L27" s="17"/>
      <c r="M27" s="7">
        <v>2020</v>
      </c>
      <c r="N27" s="14">
        <v>100</v>
      </c>
      <c r="O27" s="17"/>
      <c r="P27" s="7">
        <v>2020</v>
      </c>
      <c r="Q27" s="14">
        <v>100</v>
      </c>
      <c r="R27" s="17"/>
      <c r="S27" s="7">
        <v>2020</v>
      </c>
      <c r="T27" s="14">
        <v>100</v>
      </c>
      <c r="U27" s="17"/>
      <c r="V27" s="7">
        <v>2020</v>
      </c>
      <c r="W27" s="14">
        <v>100</v>
      </c>
      <c r="X27" s="17"/>
      <c r="Y27" s="7">
        <v>2020</v>
      </c>
      <c r="Z27" s="14">
        <v>100</v>
      </c>
      <c r="AA27" s="17"/>
      <c r="AB27" s="7">
        <v>2020</v>
      </c>
      <c r="AC27" s="14">
        <v>100</v>
      </c>
      <c r="AD27" s="17"/>
      <c r="AE27" s="7">
        <v>2020</v>
      </c>
      <c r="AF27" s="31">
        <f t="shared" ref="AF27:AF30" si="4">0.67*AI27+0.33*AL27</f>
        <v>83.5</v>
      </c>
      <c r="AG27" s="17"/>
      <c r="AH27" s="7">
        <v>2020</v>
      </c>
      <c r="AI27" s="14">
        <v>100</v>
      </c>
      <c r="AJ27" s="23" t="s">
        <v>1613</v>
      </c>
      <c r="AK27" s="7">
        <v>2020</v>
      </c>
      <c r="AL27" s="14">
        <v>50</v>
      </c>
      <c r="AM27" s="23" t="s">
        <v>1614</v>
      </c>
      <c r="AN27" s="7">
        <v>2020</v>
      </c>
      <c r="AO27" s="14">
        <v>100</v>
      </c>
      <c r="AP27" s="17"/>
      <c r="AQ27" s="7">
        <v>2020</v>
      </c>
      <c r="AR27" s="14">
        <v>50</v>
      </c>
      <c r="AS27" s="17" t="s">
        <v>1615</v>
      </c>
      <c r="AT27" s="7">
        <v>2020</v>
      </c>
      <c r="AU27" s="14">
        <v>100</v>
      </c>
      <c r="AV27" s="17"/>
      <c r="AW27" s="7">
        <v>2020</v>
      </c>
      <c r="AX27" s="14">
        <v>100</v>
      </c>
      <c r="AY27" s="23"/>
    </row>
    <row r="28" spans="1:51" ht="24.75" customHeight="1">
      <c r="A28" s="7">
        <v>2021</v>
      </c>
      <c r="B28" s="15">
        <f>AVERAGE(E28,H28,K28,T28,AF28,AO28,AU28,AX28,AR28)</f>
        <v>87.055555555555557</v>
      </c>
      <c r="C28" s="15"/>
      <c r="D28" s="7">
        <v>2021</v>
      </c>
      <c r="E28" s="21">
        <v>50</v>
      </c>
      <c r="F28" s="17"/>
      <c r="G28" s="7">
        <v>2021</v>
      </c>
      <c r="H28" s="14">
        <v>100</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si="4"/>
        <v>83.5</v>
      </c>
      <c r="AG28" s="17"/>
      <c r="AH28" s="7">
        <v>2021</v>
      </c>
      <c r="AI28" s="14">
        <v>100</v>
      </c>
      <c r="AJ28" s="17"/>
      <c r="AK28" s="7">
        <v>2021</v>
      </c>
      <c r="AL28" s="14">
        <v>50</v>
      </c>
      <c r="AM28" s="17"/>
      <c r="AN28" s="7">
        <v>2021</v>
      </c>
      <c r="AO28" s="14">
        <v>100</v>
      </c>
      <c r="AP28" s="17"/>
      <c r="AQ28" s="7">
        <v>2021</v>
      </c>
      <c r="AR28" s="14">
        <v>50</v>
      </c>
      <c r="AS28" s="17"/>
      <c r="AT28" s="7">
        <v>2021</v>
      </c>
      <c r="AU28" s="14">
        <v>100</v>
      </c>
      <c r="AV28" s="17"/>
      <c r="AW28" s="7">
        <v>2021</v>
      </c>
      <c r="AX28" s="14">
        <v>100</v>
      </c>
      <c r="AY28" s="23"/>
    </row>
    <row r="29" spans="1:51" ht="24.75" customHeight="1">
      <c r="A29" s="7">
        <v>2022</v>
      </c>
      <c r="B29" s="15">
        <f>AVERAGE(E29,H29,K29,T29,AF29,AO29,AU29,AX29,AR29)</f>
        <v>92.611111111111114</v>
      </c>
      <c r="C29" s="15"/>
      <c r="D29" s="7">
        <v>2022</v>
      </c>
      <c r="E29" s="21">
        <v>100</v>
      </c>
      <c r="F29" s="32" t="s">
        <v>1616</v>
      </c>
      <c r="G29" s="7">
        <v>2022</v>
      </c>
      <c r="H29" s="14">
        <v>100</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 t="shared" si="4"/>
        <v>83.5</v>
      </c>
      <c r="AG29" s="17"/>
      <c r="AH29" s="7">
        <v>2022</v>
      </c>
      <c r="AI29" s="14">
        <v>100</v>
      </c>
      <c r="AJ29" s="17"/>
      <c r="AK29" s="7">
        <v>2022</v>
      </c>
      <c r="AL29" s="14">
        <v>50</v>
      </c>
      <c r="AM29" s="17"/>
      <c r="AN29" s="7">
        <v>2022</v>
      </c>
      <c r="AO29" s="14">
        <v>100</v>
      </c>
      <c r="AP29" s="17"/>
      <c r="AQ29" s="7">
        <v>2022</v>
      </c>
      <c r="AR29" s="14">
        <v>50</v>
      </c>
      <c r="AS29" s="17"/>
      <c r="AT29" s="7">
        <v>2022</v>
      </c>
      <c r="AU29" s="14">
        <v>100</v>
      </c>
      <c r="AV29" s="17"/>
      <c r="AW29" s="7">
        <v>2022</v>
      </c>
      <c r="AX29" s="14">
        <v>100</v>
      </c>
      <c r="AY29" s="23"/>
    </row>
    <row r="30" spans="1:51" ht="24.75" customHeight="1">
      <c r="A30" s="7">
        <v>2023</v>
      </c>
      <c r="B30" s="15">
        <f>AVERAGE(E30,H30,K30,T30,AF30,AO30,AU30,AX30,AR30)</f>
        <v>92.611111111111114</v>
      </c>
      <c r="C30" s="15"/>
      <c r="D30" s="7">
        <v>2023</v>
      </c>
      <c r="E30" s="21">
        <v>100</v>
      </c>
      <c r="F30" s="17"/>
      <c r="G30" s="7">
        <v>2023</v>
      </c>
      <c r="H30" s="14">
        <v>100</v>
      </c>
      <c r="I30" s="17"/>
      <c r="J30" s="7">
        <v>2023</v>
      </c>
      <c r="K30" s="14">
        <v>100</v>
      </c>
      <c r="L30" s="17"/>
      <c r="M30" s="7">
        <v>2023</v>
      </c>
      <c r="N30" s="14">
        <v>100</v>
      </c>
      <c r="O30" s="17"/>
      <c r="P30" s="7">
        <v>2023</v>
      </c>
      <c r="Q30" s="14">
        <v>100</v>
      </c>
      <c r="R30" s="17"/>
      <c r="S30" s="7">
        <v>2023</v>
      </c>
      <c r="T30" s="14">
        <v>100</v>
      </c>
      <c r="U30" s="17"/>
      <c r="V30" s="7">
        <v>2023</v>
      </c>
      <c r="W30" s="14">
        <v>100</v>
      </c>
      <c r="X30" s="17"/>
      <c r="Y30" s="7">
        <v>2023</v>
      </c>
      <c r="Z30" s="14">
        <v>100</v>
      </c>
      <c r="AA30" s="17"/>
      <c r="AB30" s="7">
        <v>2023</v>
      </c>
      <c r="AC30" s="14">
        <v>100</v>
      </c>
      <c r="AD30" s="17"/>
      <c r="AE30" s="7">
        <v>2023</v>
      </c>
      <c r="AF30" s="31">
        <f t="shared" si="4"/>
        <v>83.5</v>
      </c>
      <c r="AG30" s="17"/>
      <c r="AH30" s="7">
        <v>2023</v>
      </c>
      <c r="AI30" s="14">
        <v>100</v>
      </c>
      <c r="AJ30" s="17"/>
      <c r="AK30" s="7">
        <v>2023</v>
      </c>
      <c r="AL30" s="14">
        <v>50</v>
      </c>
      <c r="AM30" s="17"/>
      <c r="AN30" s="7">
        <v>2023</v>
      </c>
      <c r="AO30" s="14">
        <v>100</v>
      </c>
      <c r="AP30" s="17"/>
      <c r="AQ30" s="7">
        <v>2023</v>
      </c>
      <c r="AR30" s="14">
        <v>50</v>
      </c>
      <c r="AS30" s="17"/>
      <c r="AT30" s="7">
        <v>2023</v>
      </c>
      <c r="AU30" s="14">
        <v>100</v>
      </c>
      <c r="AV30" s="17"/>
      <c r="AW30" s="7">
        <v>2023</v>
      </c>
      <c r="AX30" s="14">
        <v>100</v>
      </c>
      <c r="AY30" s="23"/>
    </row>
    <row r="31" spans="1:51" ht="49" customHeight="1">
      <c r="A31" s="24"/>
      <c r="B31" s="24"/>
      <c r="C31" s="24"/>
      <c r="D31" s="24"/>
      <c r="E31" s="32"/>
      <c r="F31" s="216"/>
      <c r="G31" s="24"/>
      <c r="H31" s="24"/>
      <c r="I31" s="24"/>
      <c r="J31" s="24"/>
      <c r="K31" s="24"/>
      <c r="L31" s="24"/>
      <c r="M31" s="24"/>
      <c r="N31" s="24"/>
      <c r="AD31" s="32"/>
      <c r="AI31" s="32"/>
      <c r="AM31" s="32"/>
      <c r="AR31" s="32"/>
    </row>
    <row r="32" spans="1:51" ht="24.75" customHeight="1">
      <c r="A32" s="5" t="s">
        <v>5</v>
      </c>
      <c r="B32" s="384" t="s">
        <v>127</v>
      </c>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6"/>
    </row>
    <row r="33" spans="1:40"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40"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40"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40" ht="24.75" customHeight="1">
      <c r="A36" s="7" t="s">
        <v>30</v>
      </c>
      <c r="B36" s="322" t="s">
        <v>31</v>
      </c>
      <c r="C36" s="322"/>
      <c r="D36" s="7" t="s">
        <v>30</v>
      </c>
      <c r="E36" s="310" t="s">
        <v>153</v>
      </c>
      <c r="F36" s="310"/>
      <c r="G36" s="7" t="s">
        <v>30</v>
      </c>
      <c r="H36" s="310" t="s">
        <v>1617</v>
      </c>
      <c r="I36" s="310"/>
      <c r="J36" s="7" t="s">
        <v>30</v>
      </c>
      <c r="K36" s="310" t="s">
        <v>155</v>
      </c>
      <c r="L36" s="310"/>
      <c r="M36" s="7" t="s">
        <v>30</v>
      </c>
      <c r="N36" s="310" t="s">
        <v>156</v>
      </c>
      <c r="O36" s="310"/>
      <c r="P36" s="7" t="s">
        <v>30</v>
      </c>
      <c r="Q36" s="310" t="s">
        <v>1618</v>
      </c>
      <c r="R36" s="310"/>
      <c r="S36" s="7" t="s">
        <v>30</v>
      </c>
      <c r="T36" s="310" t="s">
        <v>158</v>
      </c>
      <c r="U36" s="310"/>
      <c r="V36" s="7" t="s">
        <v>30</v>
      </c>
      <c r="W36" s="310" t="s">
        <v>159</v>
      </c>
      <c r="X36" s="310"/>
      <c r="Y36" s="7" t="s">
        <v>30</v>
      </c>
      <c r="Z36" s="310" t="s">
        <v>160</v>
      </c>
      <c r="AA36" s="310"/>
      <c r="AB36" s="7" t="s">
        <v>30</v>
      </c>
      <c r="AC36" s="310" t="s">
        <v>161</v>
      </c>
      <c r="AD36" s="310"/>
      <c r="AE36" s="7" t="s">
        <v>30</v>
      </c>
      <c r="AF36" s="310"/>
      <c r="AG36" s="310"/>
      <c r="AH36" s="7" t="s">
        <v>30</v>
      </c>
      <c r="AI36" s="310" t="s">
        <v>162</v>
      </c>
      <c r="AJ36" s="310"/>
      <c r="AK36" s="7" t="s">
        <v>30</v>
      </c>
      <c r="AL36" s="310" t="s">
        <v>163</v>
      </c>
      <c r="AM36" s="310"/>
    </row>
    <row r="37" spans="1:40"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297" t="s">
        <v>172</v>
      </c>
      <c r="AG37" s="298"/>
      <c r="AH37" s="7" t="s">
        <v>41</v>
      </c>
      <c r="AI37" s="310" t="s">
        <v>173</v>
      </c>
      <c r="AJ37" s="310"/>
      <c r="AK37" s="7" t="s">
        <v>41</v>
      </c>
      <c r="AL37" s="310" t="s">
        <v>174</v>
      </c>
      <c r="AM37" s="310"/>
    </row>
    <row r="38" spans="1:40"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12" t="s">
        <v>54</v>
      </c>
      <c r="AA38" s="12"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40" ht="24.75" customHeight="1">
      <c r="A39" s="7">
        <v>2020</v>
      </c>
      <c r="B39" s="16">
        <f>AVERAGE(E39,H39,K39,N39,Z39,AC39,AF39)</f>
        <v>73.761904761904745</v>
      </c>
      <c r="C39" s="16"/>
      <c r="D39" s="7">
        <v>2020</v>
      </c>
      <c r="E39" s="14">
        <v>100</v>
      </c>
      <c r="F39" s="17"/>
      <c r="G39" s="7">
        <v>2020</v>
      </c>
      <c r="H39" s="14">
        <v>50</v>
      </c>
      <c r="I39" s="23" t="s">
        <v>1619</v>
      </c>
      <c r="J39" s="7">
        <v>2020</v>
      </c>
      <c r="K39" s="14">
        <v>100</v>
      </c>
      <c r="L39" s="17"/>
      <c r="M39" s="7">
        <v>2020</v>
      </c>
      <c r="N39" s="31">
        <f t="shared" ref="N39:N42" si="5">AVERAGE(Q39,T39,W39)</f>
        <v>83.333333333333329</v>
      </c>
      <c r="O39" s="14"/>
      <c r="P39" s="7">
        <v>2020</v>
      </c>
      <c r="Q39" s="14">
        <v>50</v>
      </c>
      <c r="R39" s="17" t="s">
        <v>1620</v>
      </c>
      <c r="S39" s="7">
        <v>2020</v>
      </c>
      <c r="T39" s="14">
        <v>100</v>
      </c>
      <c r="U39" s="17"/>
      <c r="V39" s="7">
        <v>2020</v>
      </c>
      <c r="W39" s="34">
        <v>100</v>
      </c>
      <c r="X39" s="35" t="s">
        <v>1621</v>
      </c>
      <c r="Y39" s="7">
        <v>2020</v>
      </c>
      <c r="Z39" s="14">
        <v>50</v>
      </c>
      <c r="AA39" s="23" t="s">
        <v>1622</v>
      </c>
      <c r="AB39" s="7">
        <v>2020</v>
      </c>
      <c r="AC39" s="14">
        <v>100</v>
      </c>
      <c r="AD39" s="17"/>
      <c r="AE39" s="7">
        <v>2020</v>
      </c>
      <c r="AF39" s="14">
        <v>33</v>
      </c>
      <c r="AG39" s="14"/>
      <c r="AH39" s="7">
        <v>2020</v>
      </c>
      <c r="AI39" s="21">
        <v>0</v>
      </c>
      <c r="AJ39" s="17" t="s">
        <v>1623</v>
      </c>
      <c r="AK39" s="7">
        <v>2020</v>
      </c>
      <c r="AL39" s="14">
        <v>50</v>
      </c>
      <c r="AM39" s="23" t="s">
        <v>1624</v>
      </c>
      <c r="AN39" s="32"/>
    </row>
    <row r="40" spans="1:40" ht="24.75" customHeight="1">
      <c r="A40" s="7">
        <v>2021</v>
      </c>
      <c r="B40" s="16">
        <f>AVERAGE(E40,H40,K40,N40,Z40,AC40,AF40)</f>
        <v>73.761904761904745</v>
      </c>
      <c r="C40" s="16"/>
      <c r="D40" s="7">
        <v>2021</v>
      </c>
      <c r="E40" s="14">
        <v>100</v>
      </c>
      <c r="F40" s="17"/>
      <c r="G40" s="7">
        <v>2021</v>
      </c>
      <c r="H40" s="14">
        <v>50</v>
      </c>
      <c r="I40" s="17"/>
      <c r="J40" s="7">
        <v>2021</v>
      </c>
      <c r="K40" s="14">
        <v>100</v>
      </c>
      <c r="L40" s="17"/>
      <c r="M40" s="7">
        <v>2021</v>
      </c>
      <c r="N40" s="31">
        <f t="shared" si="5"/>
        <v>83.333333333333329</v>
      </c>
      <c r="O40" s="14"/>
      <c r="P40" s="7">
        <v>2021</v>
      </c>
      <c r="Q40" s="14">
        <v>50</v>
      </c>
      <c r="R40" s="17"/>
      <c r="S40" s="7">
        <v>2021</v>
      </c>
      <c r="T40" s="14">
        <v>100</v>
      </c>
      <c r="U40" s="17"/>
      <c r="V40" s="7">
        <v>2021</v>
      </c>
      <c r="W40" s="34">
        <v>100</v>
      </c>
      <c r="X40" s="19"/>
      <c r="Y40" s="7">
        <v>2021</v>
      </c>
      <c r="Z40" s="14">
        <v>50</v>
      </c>
      <c r="AA40" s="17"/>
      <c r="AB40" s="7">
        <v>2021</v>
      </c>
      <c r="AC40" s="14">
        <v>100</v>
      </c>
      <c r="AD40" s="17"/>
      <c r="AE40" s="7">
        <v>2021</v>
      </c>
      <c r="AF40" s="14">
        <v>33</v>
      </c>
      <c r="AG40" s="14"/>
      <c r="AH40" s="7">
        <v>2021</v>
      </c>
      <c r="AI40" s="21">
        <v>0</v>
      </c>
      <c r="AJ40" s="17"/>
      <c r="AK40" s="7">
        <v>2021</v>
      </c>
      <c r="AL40" s="14">
        <v>50</v>
      </c>
      <c r="AM40" s="23"/>
      <c r="AN40" s="32"/>
    </row>
    <row r="41" spans="1:40" ht="24.75" customHeight="1">
      <c r="A41" s="7">
        <v>2022</v>
      </c>
      <c r="B41" s="16">
        <f>AVERAGE(E41,H41,K41,N41,Z41,AC41,AF41)</f>
        <v>73.761904761904745</v>
      </c>
      <c r="C41" s="16"/>
      <c r="D41" s="7">
        <v>2022</v>
      </c>
      <c r="E41" s="14">
        <v>100</v>
      </c>
      <c r="F41" s="17"/>
      <c r="G41" s="7">
        <v>2022</v>
      </c>
      <c r="H41" s="14">
        <v>50</v>
      </c>
      <c r="I41" s="23" t="s">
        <v>1625</v>
      </c>
      <c r="J41" s="7">
        <v>2022</v>
      </c>
      <c r="K41" s="14">
        <v>100</v>
      </c>
      <c r="L41" s="17"/>
      <c r="M41" s="7">
        <v>2022</v>
      </c>
      <c r="N41" s="31">
        <f t="shared" si="5"/>
        <v>83.333333333333329</v>
      </c>
      <c r="O41" s="14"/>
      <c r="P41" s="7">
        <v>2022</v>
      </c>
      <c r="Q41" s="14">
        <v>50</v>
      </c>
      <c r="R41" s="17"/>
      <c r="S41" s="7">
        <v>2022</v>
      </c>
      <c r="T41" s="14">
        <v>100</v>
      </c>
      <c r="U41" s="17"/>
      <c r="V41" s="7">
        <v>2022</v>
      </c>
      <c r="W41" s="34">
        <v>100</v>
      </c>
      <c r="X41" s="35" t="s">
        <v>1626</v>
      </c>
      <c r="Y41" s="7">
        <v>2022</v>
      </c>
      <c r="Z41" s="14">
        <v>50</v>
      </c>
      <c r="AA41" s="17" t="s">
        <v>1627</v>
      </c>
      <c r="AB41" s="7">
        <v>2022</v>
      </c>
      <c r="AC41" s="14">
        <v>100</v>
      </c>
      <c r="AD41" s="17"/>
      <c r="AE41" s="7">
        <v>2022</v>
      </c>
      <c r="AF41" s="14">
        <v>33</v>
      </c>
      <c r="AG41" s="14"/>
      <c r="AH41" s="7">
        <v>2022</v>
      </c>
      <c r="AI41" s="21">
        <v>0</v>
      </c>
      <c r="AJ41" s="17"/>
      <c r="AK41" s="7">
        <v>2022</v>
      </c>
      <c r="AL41" s="14">
        <v>50</v>
      </c>
      <c r="AM41" s="23" t="s">
        <v>1628</v>
      </c>
      <c r="AN41" s="32"/>
    </row>
    <row r="42" spans="1:40" ht="24.75" customHeight="1">
      <c r="A42" s="7">
        <v>2023</v>
      </c>
      <c r="B42" s="16">
        <f>AVERAGE(E42,H42,K42,N42,Z42,AC42,AF42)</f>
        <v>73.761904761904745</v>
      </c>
      <c r="C42" s="16"/>
      <c r="D42" s="7">
        <v>2023</v>
      </c>
      <c r="E42" s="14">
        <v>100</v>
      </c>
      <c r="F42" s="17"/>
      <c r="G42" s="7">
        <v>2023</v>
      </c>
      <c r="H42" s="14">
        <v>50</v>
      </c>
      <c r="I42" s="17"/>
      <c r="J42" s="7">
        <v>2023</v>
      </c>
      <c r="K42" s="14">
        <v>100</v>
      </c>
      <c r="L42" s="17"/>
      <c r="M42" s="7">
        <v>2023</v>
      </c>
      <c r="N42" s="31">
        <f t="shared" si="5"/>
        <v>83.333333333333329</v>
      </c>
      <c r="O42" s="14"/>
      <c r="P42" s="7">
        <v>2023</v>
      </c>
      <c r="Q42" s="14">
        <v>50</v>
      </c>
      <c r="R42" s="17"/>
      <c r="S42" s="7">
        <v>2023</v>
      </c>
      <c r="T42" s="14">
        <v>100</v>
      </c>
      <c r="U42" s="17"/>
      <c r="V42" s="7">
        <v>2023</v>
      </c>
      <c r="W42" s="34">
        <v>100</v>
      </c>
      <c r="X42" s="19"/>
      <c r="Y42" s="7">
        <v>2023</v>
      </c>
      <c r="Z42" s="14">
        <v>50</v>
      </c>
      <c r="AA42" s="23" t="s">
        <v>1629</v>
      </c>
      <c r="AB42" s="7">
        <v>2023</v>
      </c>
      <c r="AC42" s="14">
        <v>100</v>
      </c>
      <c r="AD42" s="17"/>
      <c r="AE42" s="7">
        <v>2023</v>
      </c>
      <c r="AF42" s="204">
        <v>33</v>
      </c>
      <c r="AG42" s="14"/>
      <c r="AH42" s="7">
        <v>2023</v>
      </c>
      <c r="AI42" s="21">
        <v>0</v>
      </c>
      <c r="AJ42" s="17"/>
      <c r="AK42" s="7">
        <v>2023</v>
      </c>
      <c r="AL42" s="14">
        <v>50</v>
      </c>
      <c r="AM42" s="23"/>
      <c r="AN42" s="32"/>
    </row>
    <row r="43" spans="1:40" ht="24.75" customHeight="1">
      <c r="E43" s="217"/>
      <c r="H43" s="218"/>
      <c r="W43" s="219"/>
      <c r="X43" s="32"/>
      <c r="Z43" s="32"/>
      <c r="AF43" s="220"/>
      <c r="AI43" s="32"/>
      <c r="AL43" s="32"/>
    </row>
    <row r="44" spans="1:40" ht="24.75" customHeight="1">
      <c r="A44" s="5" t="s">
        <v>5</v>
      </c>
      <c r="B44" s="387" t="s">
        <v>181</v>
      </c>
      <c r="C44" s="387"/>
      <c r="D44" s="387"/>
      <c r="E44" s="387"/>
      <c r="F44" s="387"/>
      <c r="G44" s="387"/>
      <c r="H44" s="387"/>
      <c r="I44" s="387"/>
      <c r="J44" s="387"/>
      <c r="K44" s="387"/>
      <c r="L44" s="387"/>
      <c r="M44" s="387"/>
      <c r="N44" s="387"/>
      <c r="O44" s="387"/>
      <c r="P44" s="387"/>
      <c r="Q44" s="387"/>
      <c r="R44" s="387"/>
      <c r="Z44" s="221"/>
    </row>
    <row r="45" spans="1:40"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c r="Z45" s="221"/>
    </row>
    <row r="46" spans="1:40" ht="24.75" customHeight="1">
      <c r="A46" s="5" t="s">
        <v>13</v>
      </c>
      <c r="B46" s="7"/>
      <c r="C46" s="7"/>
      <c r="D46" s="5" t="s">
        <v>13</v>
      </c>
      <c r="E46" s="8"/>
      <c r="F46" s="8"/>
      <c r="G46" s="5" t="s">
        <v>13</v>
      </c>
      <c r="H46" s="311"/>
      <c r="I46" s="311"/>
      <c r="J46" s="5" t="s">
        <v>13</v>
      </c>
      <c r="K46" s="311"/>
      <c r="L46" s="311"/>
      <c r="M46" s="5" t="s">
        <v>13</v>
      </c>
      <c r="N46" s="311"/>
      <c r="O46" s="311"/>
      <c r="P46" s="5" t="s">
        <v>13</v>
      </c>
      <c r="Q46" s="311"/>
      <c r="R46" s="311"/>
      <c r="Z46" s="32"/>
    </row>
    <row r="47" spans="1:40"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c r="Z47" s="222"/>
    </row>
    <row r="48" spans="1:40"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c r="AB48" s="32"/>
    </row>
    <row r="49" spans="1:26" ht="24.75" customHeight="1">
      <c r="A49" s="7" t="s">
        <v>41</v>
      </c>
      <c r="B49" s="310" t="s">
        <v>42</v>
      </c>
      <c r="C49" s="310"/>
      <c r="D49" s="7" t="s">
        <v>41</v>
      </c>
      <c r="E49" s="325" t="s">
        <v>199</v>
      </c>
      <c r="F49" s="325"/>
      <c r="G49" s="7" t="s">
        <v>41</v>
      </c>
      <c r="H49" s="310" t="s">
        <v>200</v>
      </c>
      <c r="I49" s="310"/>
      <c r="J49" s="7" t="s">
        <v>41</v>
      </c>
      <c r="K49" s="310" t="s">
        <v>1630</v>
      </c>
      <c r="L49" s="310"/>
      <c r="M49" s="7" t="s">
        <v>41</v>
      </c>
      <c r="N49" s="327" t="s">
        <v>202</v>
      </c>
      <c r="O49" s="325"/>
      <c r="P49" s="7" t="s">
        <v>41</v>
      </c>
      <c r="Q49" s="325" t="s">
        <v>203</v>
      </c>
      <c r="R49" s="325"/>
      <c r="Z49" s="32"/>
    </row>
    <row r="50" spans="1:26"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6" ht="24.75" customHeight="1">
      <c r="A51" s="7">
        <v>2020</v>
      </c>
      <c r="B51" s="15">
        <f t="shared" ref="B51:B54" si="6">AVERAGE(E51,H51,K51,N51,Q51)</f>
        <v>80</v>
      </c>
      <c r="C51" s="16"/>
      <c r="D51" s="7">
        <v>2020</v>
      </c>
      <c r="E51" s="14">
        <v>25</v>
      </c>
      <c r="F51" s="23" t="s">
        <v>1631</v>
      </c>
      <c r="G51" s="7" t="s">
        <v>1632</v>
      </c>
      <c r="H51" s="14">
        <v>100</v>
      </c>
      <c r="I51" s="17"/>
      <c r="J51" s="7">
        <v>2020</v>
      </c>
      <c r="K51" s="14">
        <v>75</v>
      </c>
      <c r="L51" s="23" t="s">
        <v>1633</v>
      </c>
      <c r="M51" s="7">
        <v>2020</v>
      </c>
      <c r="N51" s="14">
        <v>100</v>
      </c>
      <c r="O51" s="17" t="s">
        <v>1634</v>
      </c>
      <c r="P51" s="7">
        <v>2020</v>
      </c>
      <c r="Q51" s="14">
        <v>100</v>
      </c>
      <c r="R51" s="23"/>
    </row>
    <row r="52" spans="1:26" ht="24.75" customHeight="1">
      <c r="A52" s="7">
        <v>2021</v>
      </c>
      <c r="B52" s="15">
        <f t="shared" si="6"/>
        <v>80</v>
      </c>
      <c r="C52" s="15"/>
      <c r="D52" s="7">
        <v>2021</v>
      </c>
      <c r="E52" s="14">
        <v>25</v>
      </c>
      <c r="F52" s="23" t="s">
        <v>1635</v>
      </c>
      <c r="G52" s="7">
        <v>2021</v>
      </c>
      <c r="H52" s="14">
        <v>100</v>
      </c>
      <c r="I52" s="17"/>
      <c r="J52" s="7">
        <v>2021</v>
      </c>
      <c r="K52" s="14">
        <v>75</v>
      </c>
      <c r="L52" s="17"/>
      <c r="M52" s="7">
        <v>2021</v>
      </c>
      <c r="N52" s="14">
        <v>100</v>
      </c>
      <c r="O52" s="17"/>
      <c r="P52" s="7">
        <v>2021</v>
      </c>
      <c r="Q52" s="14">
        <v>100</v>
      </c>
      <c r="R52" s="23"/>
    </row>
    <row r="53" spans="1:26" ht="24.75" customHeight="1">
      <c r="A53" s="7">
        <v>2022</v>
      </c>
      <c r="B53" s="15">
        <f t="shared" si="6"/>
        <v>80</v>
      </c>
      <c r="C53" s="15"/>
      <c r="D53" s="7">
        <v>2022</v>
      </c>
      <c r="E53" s="14">
        <v>25</v>
      </c>
      <c r="F53" s="17"/>
      <c r="G53" s="7">
        <v>2022</v>
      </c>
      <c r="H53" s="14">
        <v>100</v>
      </c>
      <c r="I53" s="17"/>
      <c r="J53" s="7">
        <v>2022</v>
      </c>
      <c r="K53" s="21">
        <v>75</v>
      </c>
      <c r="L53" s="17"/>
      <c r="M53" s="7">
        <v>2022</v>
      </c>
      <c r="N53" s="14">
        <v>100</v>
      </c>
      <c r="O53" s="17"/>
      <c r="P53" s="7">
        <v>2022</v>
      </c>
      <c r="Q53" s="14">
        <v>100</v>
      </c>
      <c r="R53" s="23"/>
    </row>
    <row r="54" spans="1:26" ht="24.75" customHeight="1">
      <c r="A54" s="7">
        <v>2023</v>
      </c>
      <c r="B54" s="15">
        <f t="shared" si="6"/>
        <v>80</v>
      </c>
      <c r="C54" s="15"/>
      <c r="D54" s="7">
        <v>2023</v>
      </c>
      <c r="E54" s="14">
        <v>25</v>
      </c>
      <c r="F54" s="17"/>
      <c r="G54" s="7">
        <v>2023</v>
      </c>
      <c r="H54" s="14">
        <v>100</v>
      </c>
      <c r="I54" s="17"/>
      <c r="J54" s="7">
        <v>2023</v>
      </c>
      <c r="K54" s="14">
        <v>75</v>
      </c>
      <c r="L54" s="17"/>
      <c r="M54" s="7">
        <v>2023</v>
      </c>
      <c r="N54" s="14">
        <v>100</v>
      </c>
      <c r="O54" s="17"/>
      <c r="P54" s="7">
        <v>2023</v>
      </c>
      <c r="Q54" s="14">
        <v>100</v>
      </c>
      <c r="R54" s="23"/>
    </row>
    <row r="55" spans="1:26" ht="24.75" customHeight="1">
      <c r="E55" s="223"/>
      <c r="F55" s="221"/>
      <c r="K55" s="32"/>
      <c r="N55" s="32"/>
    </row>
    <row r="56" spans="1:26" ht="24.75" customHeight="1">
      <c r="A56" s="5" t="s">
        <v>5</v>
      </c>
      <c r="B56" s="388" t="s">
        <v>204</v>
      </c>
      <c r="C56" s="388"/>
      <c r="D56" s="388"/>
      <c r="E56" s="388"/>
      <c r="F56" s="388"/>
      <c r="G56" s="388"/>
      <c r="H56" s="388"/>
      <c r="I56" s="388"/>
      <c r="J56" s="388"/>
      <c r="K56" s="388"/>
      <c r="L56" s="388"/>
      <c r="M56" s="388"/>
      <c r="N56" s="388"/>
      <c r="O56" s="388"/>
      <c r="P56" s="388"/>
      <c r="Q56" s="388"/>
      <c r="R56" s="388"/>
      <c r="S56" s="388"/>
      <c r="T56" s="388"/>
      <c r="U56" s="388"/>
      <c r="V56" s="388"/>
      <c r="W56" s="388"/>
      <c r="X56" s="388"/>
    </row>
    <row r="57" spans="1:26"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6"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6"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6"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6"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6"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6" ht="24.75" customHeight="1">
      <c r="A63" s="7">
        <v>2020</v>
      </c>
      <c r="B63" s="15">
        <f t="shared" ref="B63:B66" si="7">AVERAGE(E63,((H63+K63)/2),((N63+Q63+T63)/3),W63)</f>
        <v>70.833333333333329</v>
      </c>
      <c r="C63" s="16"/>
      <c r="D63" s="7">
        <v>2020</v>
      </c>
      <c r="E63" s="21">
        <v>50</v>
      </c>
      <c r="F63" s="17"/>
      <c r="G63" s="7">
        <v>2020</v>
      </c>
      <c r="H63" s="14">
        <v>0</v>
      </c>
      <c r="I63" s="23" t="s">
        <v>1636</v>
      </c>
      <c r="J63" s="7">
        <v>2020</v>
      </c>
      <c r="K63" s="14">
        <v>100</v>
      </c>
      <c r="L63" s="17"/>
      <c r="M63" s="7">
        <v>2020</v>
      </c>
      <c r="N63" s="14">
        <v>100</v>
      </c>
      <c r="O63" s="23" t="s">
        <v>1637</v>
      </c>
      <c r="P63" s="7">
        <v>2020</v>
      </c>
      <c r="Q63" s="14">
        <v>50</v>
      </c>
      <c r="R63" s="23" t="s">
        <v>1638</v>
      </c>
      <c r="S63" s="7">
        <v>2020</v>
      </c>
      <c r="T63" s="14">
        <v>100</v>
      </c>
      <c r="U63" s="17" t="s">
        <v>1639</v>
      </c>
      <c r="V63" s="7">
        <v>2020</v>
      </c>
      <c r="W63" s="14">
        <v>100</v>
      </c>
      <c r="X63" s="23" t="s">
        <v>1640</v>
      </c>
    </row>
    <row r="64" spans="1:26" ht="24.75" customHeight="1">
      <c r="A64" s="7">
        <v>2021</v>
      </c>
      <c r="B64" s="15">
        <f t="shared" si="7"/>
        <v>70.833333333333329</v>
      </c>
      <c r="C64" s="15"/>
      <c r="D64" s="7">
        <v>2021</v>
      </c>
      <c r="E64" s="21">
        <v>50</v>
      </c>
      <c r="F64" s="17"/>
      <c r="G64" s="7">
        <v>2021</v>
      </c>
      <c r="H64" s="14">
        <v>0</v>
      </c>
      <c r="I64" s="17"/>
      <c r="J64" s="7">
        <v>2021</v>
      </c>
      <c r="K64" s="14">
        <v>100</v>
      </c>
      <c r="L64" s="17"/>
      <c r="M64" s="7">
        <v>2021</v>
      </c>
      <c r="N64" s="14">
        <v>100</v>
      </c>
      <c r="O64" s="17"/>
      <c r="P64" s="7">
        <v>2021</v>
      </c>
      <c r="Q64" s="14">
        <v>50</v>
      </c>
      <c r="R64" s="17" t="s">
        <v>1641</v>
      </c>
      <c r="S64" s="7">
        <v>2021</v>
      </c>
      <c r="T64" s="14">
        <v>100</v>
      </c>
      <c r="U64" s="17"/>
      <c r="V64" s="7">
        <v>2021</v>
      </c>
      <c r="W64" s="14">
        <v>100</v>
      </c>
      <c r="X64" s="23"/>
    </row>
    <row r="65" spans="1:33" ht="24.75" customHeight="1">
      <c r="A65" s="7">
        <v>2022</v>
      </c>
      <c r="B65" s="15">
        <f t="shared" si="7"/>
        <v>70.833333333333329</v>
      </c>
      <c r="C65" s="15"/>
      <c r="D65" s="7">
        <v>2022</v>
      </c>
      <c r="E65" s="21">
        <v>50</v>
      </c>
      <c r="F65" s="17"/>
      <c r="G65" s="7">
        <v>2022</v>
      </c>
      <c r="H65" s="14">
        <v>0</v>
      </c>
      <c r="I65" s="17"/>
      <c r="J65" s="7">
        <v>2022</v>
      </c>
      <c r="K65" s="14">
        <v>100</v>
      </c>
      <c r="L65" s="17"/>
      <c r="M65" s="7">
        <v>2022</v>
      </c>
      <c r="N65" s="14">
        <v>100</v>
      </c>
      <c r="O65" s="17"/>
      <c r="P65" s="7">
        <v>2022</v>
      </c>
      <c r="Q65" s="14">
        <v>50</v>
      </c>
      <c r="R65" s="17"/>
      <c r="S65" s="7">
        <v>2022</v>
      </c>
      <c r="T65" s="14">
        <v>100</v>
      </c>
      <c r="U65" s="17"/>
      <c r="V65" s="7">
        <v>2022</v>
      </c>
      <c r="W65" s="14">
        <v>100</v>
      </c>
      <c r="X65" s="23"/>
    </row>
    <row r="66" spans="1:33" ht="24.75" customHeight="1">
      <c r="A66" s="7">
        <v>2023</v>
      </c>
      <c r="B66" s="15">
        <f t="shared" si="7"/>
        <v>70.833333333333329</v>
      </c>
      <c r="C66" s="15"/>
      <c r="D66" s="7">
        <v>2023</v>
      </c>
      <c r="E66" s="21">
        <v>50</v>
      </c>
      <c r="F66" s="17"/>
      <c r="G66" s="7">
        <v>2023</v>
      </c>
      <c r="H66" s="14">
        <v>0</v>
      </c>
      <c r="I66" s="17"/>
      <c r="J66" s="7">
        <v>2023</v>
      </c>
      <c r="K66" s="14">
        <v>100</v>
      </c>
      <c r="L66" s="17"/>
      <c r="M66" s="7">
        <v>2023</v>
      </c>
      <c r="N66" s="14">
        <v>100</v>
      </c>
      <c r="O66" s="17"/>
      <c r="P66" s="7">
        <v>2023</v>
      </c>
      <c r="Q66" s="14">
        <v>50</v>
      </c>
      <c r="R66" s="17"/>
      <c r="S66" s="7">
        <v>2023</v>
      </c>
      <c r="T66" s="14">
        <v>100</v>
      </c>
      <c r="U66" s="17"/>
      <c r="V66" s="7">
        <v>2023</v>
      </c>
      <c r="W66" s="14">
        <v>100</v>
      </c>
      <c r="X66" s="23"/>
    </row>
    <row r="67" spans="1:33" ht="24.75" customHeight="1">
      <c r="N67" s="32"/>
      <c r="O67" s="221"/>
      <c r="Q67" s="224"/>
      <c r="R67" s="221"/>
      <c r="T67" s="32"/>
    </row>
    <row r="68" spans="1:33" ht="24.75" customHeight="1">
      <c r="A68" s="5" t="s">
        <v>5</v>
      </c>
      <c r="B68" s="387" t="s">
        <v>232</v>
      </c>
      <c r="C68" s="387"/>
      <c r="D68" s="387"/>
      <c r="E68" s="387"/>
      <c r="F68" s="387"/>
      <c r="G68" s="387"/>
      <c r="H68" s="387"/>
      <c r="I68" s="387"/>
      <c r="J68" s="387"/>
      <c r="K68" s="387"/>
      <c r="L68" s="387"/>
      <c r="M68" s="387"/>
      <c r="N68" s="387"/>
      <c r="O68" s="387"/>
      <c r="P68" s="387"/>
      <c r="Q68" s="387"/>
      <c r="R68" s="387"/>
      <c r="S68" s="387"/>
      <c r="T68" s="387"/>
      <c r="U68" s="387"/>
      <c r="V68" s="387"/>
      <c r="W68" s="387"/>
      <c r="X68" s="387"/>
      <c r="Y68" s="387"/>
      <c r="Z68" s="387"/>
      <c r="AA68" s="387"/>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22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12" t="s">
        <v>54</v>
      </c>
      <c r="F74" s="12"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8">AVERAGE(E75,H75,K75,Z75)</f>
        <v>85.5</v>
      </c>
      <c r="C75" s="15"/>
      <c r="D75" s="7">
        <v>2020</v>
      </c>
      <c r="E75" s="14">
        <v>100</v>
      </c>
      <c r="F75" s="23" t="s">
        <v>1642</v>
      </c>
      <c r="G75" s="7">
        <v>2020</v>
      </c>
      <c r="H75" s="14">
        <v>67</v>
      </c>
      <c r="I75" s="17" t="s">
        <v>1643</v>
      </c>
      <c r="J75" s="7">
        <v>2020</v>
      </c>
      <c r="K75" s="31">
        <f t="shared" ref="K75:K78" si="9">AVERAGE(N75,Q75,T75,W75)</f>
        <v>75</v>
      </c>
      <c r="L75" s="14"/>
      <c r="M75" s="7">
        <v>2020</v>
      </c>
      <c r="N75" s="21">
        <v>50</v>
      </c>
      <c r="O75" s="23" t="s">
        <v>1644</v>
      </c>
      <c r="P75" s="7">
        <v>2020</v>
      </c>
      <c r="Q75" s="21">
        <v>100</v>
      </c>
      <c r="R75" s="17"/>
      <c r="S75" s="7">
        <v>2020</v>
      </c>
      <c r="T75" s="21">
        <v>100</v>
      </c>
      <c r="U75" s="17"/>
      <c r="V75" s="7">
        <v>2020</v>
      </c>
      <c r="W75" s="21">
        <v>50</v>
      </c>
      <c r="X75" s="17" t="s">
        <v>1645</v>
      </c>
      <c r="Y75" s="7">
        <v>2020</v>
      </c>
      <c r="Z75" s="14">
        <v>100</v>
      </c>
      <c r="AA75" s="23"/>
    </row>
    <row r="76" spans="1:33" ht="24.75" customHeight="1">
      <c r="A76" s="7">
        <v>2021</v>
      </c>
      <c r="B76" s="15">
        <f t="shared" si="8"/>
        <v>85.5</v>
      </c>
      <c r="C76" s="15"/>
      <c r="D76" s="7">
        <v>2021</v>
      </c>
      <c r="E76" s="14">
        <v>100</v>
      </c>
      <c r="F76" s="17"/>
      <c r="G76" s="7">
        <v>2021</v>
      </c>
      <c r="H76" s="14">
        <v>67</v>
      </c>
      <c r="I76" s="17"/>
      <c r="J76" s="7">
        <v>2021</v>
      </c>
      <c r="K76" s="31">
        <f t="shared" si="9"/>
        <v>75</v>
      </c>
      <c r="L76" s="14"/>
      <c r="M76" s="7">
        <v>2021</v>
      </c>
      <c r="N76" s="21">
        <v>50</v>
      </c>
      <c r="O76" s="17"/>
      <c r="P76" s="7">
        <v>2021</v>
      </c>
      <c r="Q76" s="21">
        <v>100</v>
      </c>
      <c r="R76" s="17"/>
      <c r="S76" s="7">
        <v>2021</v>
      </c>
      <c r="T76" s="21">
        <v>100</v>
      </c>
      <c r="U76" s="17"/>
      <c r="V76" s="7">
        <v>2021</v>
      </c>
      <c r="W76" s="21">
        <v>50</v>
      </c>
      <c r="X76" s="17"/>
      <c r="Y76" s="7">
        <v>2021</v>
      </c>
      <c r="Z76" s="14">
        <v>100</v>
      </c>
      <c r="AA76" s="23"/>
    </row>
    <row r="77" spans="1:33" ht="24.75" customHeight="1">
      <c r="A77" s="7">
        <v>2022</v>
      </c>
      <c r="B77" s="15">
        <f t="shared" si="8"/>
        <v>85.5</v>
      </c>
      <c r="C77" s="15"/>
      <c r="D77" s="7">
        <v>2022</v>
      </c>
      <c r="E77" s="14">
        <v>100</v>
      </c>
      <c r="F77" s="17"/>
      <c r="G77" s="7">
        <v>2022</v>
      </c>
      <c r="H77" s="14">
        <v>67</v>
      </c>
      <c r="I77" s="23" t="s">
        <v>1646</v>
      </c>
      <c r="J77" s="7">
        <v>2022</v>
      </c>
      <c r="K77" s="31">
        <f t="shared" si="9"/>
        <v>75</v>
      </c>
      <c r="L77" s="14"/>
      <c r="M77" s="7">
        <v>2022</v>
      </c>
      <c r="N77" s="21">
        <v>50</v>
      </c>
      <c r="O77" s="17"/>
      <c r="P77" s="7">
        <v>2022</v>
      </c>
      <c r="Q77" s="21">
        <v>100</v>
      </c>
      <c r="R77" s="17"/>
      <c r="S77" s="7">
        <v>2022</v>
      </c>
      <c r="T77" s="21">
        <v>100</v>
      </c>
      <c r="U77" s="17"/>
      <c r="V77" s="7">
        <v>2022</v>
      </c>
      <c r="W77" s="21">
        <v>50</v>
      </c>
      <c r="X77" s="17"/>
      <c r="Y77" s="7">
        <v>2022</v>
      </c>
      <c r="Z77" s="14">
        <v>100</v>
      </c>
      <c r="AA77" s="23"/>
    </row>
    <row r="78" spans="1:33" ht="24.75" customHeight="1">
      <c r="A78" s="7">
        <v>2023</v>
      </c>
      <c r="B78" s="15">
        <f t="shared" si="8"/>
        <v>85.5</v>
      </c>
      <c r="C78" s="15"/>
      <c r="D78" s="7">
        <v>2023</v>
      </c>
      <c r="E78" s="14">
        <v>100</v>
      </c>
      <c r="F78" s="17"/>
      <c r="G78" s="7">
        <v>2023</v>
      </c>
      <c r="H78" s="14">
        <v>67</v>
      </c>
      <c r="I78" s="17"/>
      <c r="J78" s="7">
        <v>2023</v>
      </c>
      <c r="K78" s="31">
        <f t="shared" si="9"/>
        <v>75</v>
      </c>
      <c r="L78" s="14"/>
      <c r="M78" s="7">
        <v>2023</v>
      </c>
      <c r="N78" s="21">
        <v>50</v>
      </c>
      <c r="O78" s="17"/>
      <c r="P78" s="7">
        <v>2023</v>
      </c>
      <c r="Q78" s="21">
        <v>100</v>
      </c>
      <c r="R78" s="17"/>
      <c r="S78" s="7">
        <v>2023</v>
      </c>
      <c r="T78" s="21">
        <v>100</v>
      </c>
      <c r="U78" s="17"/>
      <c r="V78" s="7">
        <v>2023</v>
      </c>
      <c r="W78" s="21">
        <v>50</v>
      </c>
      <c r="X78" s="17"/>
      <c r="Y78" s="7">
        <v>2023</v>
      </c>
      <c r="Z78" s="14">
        <v>100</v>
      </c>
      <c r="AA78" s="23"/>
    </row>
    <row r="79" spans="1:33" ht="24.75" customHeight="1">
      <c r="E79" s="218"/>
      <c r="F79" s="221"/>
      <c r="H79" s="32"/>
      <c r="I79" s="221"/>
      <c r="N79" s="32"/>
      <c r="W79" s="32"/>
    </row>
    <row r="80" spans="1:33" ht="24.75" customHeight="1">
      <c r="A80" s="5" t="s">
        <v>5</v>
      </c>
      <c r="B80" s="384" t="s">
        <v>265</v>
      </c>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100</v>
      </c>
      <c r="C87" s="15"/>
      <c r="D87" s="7">
        <v>2020</v>
      </c>
      <c r="E87" s="21">
        <v>100</v>
      </c>
      <c r="F87" s="17" t="s">
        <v>1647</v>
      </c>
      <c r="G87" s="7">
        <v>2020</v>
      </c>
      <c r="H87" s="31">
        <f t="shared" ref="H87:H90" si="10">AVERAGE(K87,N87,Q87,T87)</f>
        <v>100</v>
      </c>
      <c r="I87" s="14"/>
      <c r="J87" s="7">
        <v>2020</v>
      </c>
      <c r="K87" s="21">
        <v>100</v>
      </c>
      <c r="L87" s="17"/>
      <c r="M87" s="7">
        <v>2020</v>
      </c>
      <c r="N87" s="21">
        <v>100</v>
      </c>
      <c r="O87" s="17"/>
      <c r="P87" s="7">
        <v>2020</v>
      </c>
      <c r="Q87" s="21">
        <v>100</v>
      </c>
      <c r="R87" s="17"/>
      <c r="S87" s="7">
        <v>2020</v>
      </c>
      <c r="T87" s="21">
        <v>100</v>
      </c>
      <c r="U87" s="17"/>
      <c r="V87" s="7">
        <v>2020</v>
      </c>
      <c r="W87" s="21">
        <v>100</v>
      </c>
      <c r="X87" s="17"/>
      <c r="Y87" s="7">
        <v>2020</v>
      </c>
      <c r="Z87" s="21">
        <v>100</v>
      </c>
      <c r="AA87" s="17"/>
      <c r="AB87" s="7">
        <v>2020</v>
      </c>
      <c r="AC87" s="21">
        <v>100</v>
      </c>
      <c r="AD87" s="17"/>
      <c r="AE87" s="7">
        <v>2020</v>
      </c>
      <c r="AF87" s="21">
        <v>100</v>
      </c>
      <c r="AG87" s="23"/>
    </row>
    <row r="88" spans="1:51" ht="24.75" customHeight="1">
      <c r="A88" s="7">
        <v>2021</v>
      </c>
      <c r="B88" s="15">
        <f>AVERAGE(E88,H88, W88,((Z88+AC88+AF88)/3))</f>
        <v>100</v>
      </c>
      <c r="C88" s="15"/>
      <c r="D88" s="7">
        <v>2021</v>
      </c>
      <c r="E88" s="21">
        <v>100</v>
      </c>
      <c r="F88" s="23" t="s">
        <v>1648</v>
      </c>
      <c r="G88" s="7">
        <v>2021</v>
      </c>
      <c r="H88" s="31">
        <f t="shared" si="10"/>
        <v>100</v>
      </c>
      <c r="I88" s="14"/>
      <c r="J88" s="7">
        <v>2021</v>
      </c>
      <c r="K88" s="21">
        <v>100</v>
      </c>
      <c r="L88" s="17"/>
      <c r="M88" s="7">
        <v>2021</v>
      </c>
      <c r="N88" s="21">
        <v>100</v>
      </c>
      <c r="O88" s="17"/>
      <c r="P88" s="7">
        <v>2021</v>
      </c>
      <c r="Q88" s="21">
        <v>100</v>
      </c>
      <c r="R88" s="17"/>
      <c r="S88" s="7">
        <v>2021</v>
      </c>
      <c r="T88" s="21">
        <v>100</v>
      </c>
      <c r="U88" s="17"/>
      <c r="V88" s="7">
        <v>2021</v>
      </c>
      <c r="W88" s="21">
        <v>100</v>
      </c>
      <c r="X88" s="17"/>
      <c r="Y88" s="7">
        <v>2021</v>
      </c>
      <c r="Z88" s="21">
        <v>100</v>
      </c>
      <c r="AA88" s="17"/>
      <c r="AB88" s="7">
        <v>2021</v>
      </c>
      <c r="AC88" s="21">
        <v>100</v>
      </c>
      <c r="AD88" s="17"/>
      <c r="AE88" s="7">
        <v>2021</v>
      </c>
      <c r="AF88" s="21">
        <v>100</v>
      </c>
      <c r="AG88" s="23"/>
    </row>
    <row r="89" spans="1:51" ht="24.75" customHeight="1">
      <c r="A89" s="7">
        <v>2022</v>
      </c>
      <c r="B89" s="15">
        <f>AVERAGE(E89,H89, W89,((Z89+AC89+AF89)/3))</f>
        <v>100</v>
      </c>
      <c r="C89" s="15"/>
      <c r="D89" s="7">
        <v>2022</v>
      </c>
      <c r="E89" s="21">
        <v>100</v>
      </c>
      <c r="F89" s="17"/>
      <c r="G89" s="7">
        <v>2022</v>
      </c>
      <c r="H89" s="31">
        <f t="shared" si="10"/>
        <v>100</v>
      </c>
      <c r="I89" s="14"/>
      <c r="J89" s="7">
        <v>2022</v>
      </c>
      <c r="K89" s="21">
        <v>100</v>
      </c>
      <c r="L89" s="17"/>
      <c r="M89" s="7">
        <v>2022</v>
      </c>
      <c r="N89" s="21">
        <v>100</v>
      </c>
      <c r="O89" s="17"/>
      <c r="P89" s="7">
        <v>2022</v>
      </c>
      <c r="Q89" s="21">
        <v>100</v>
      </c>
      <c r="R89" s="17"/>
      <c r="S89" s="7">
        <v>2022</v>
      </c>
      <c r="T89" s="21">
        <v>100</v>
      </c>
      <c r="U89" s="17"/>
      <c r="V89" s="7">
        <v>2022</v>
      </c>
      <c r="W89" s="21">
        <v>100</v>
      </c>
      <c r="X89" s="17"/>
      <c r="Y89" s="7">
        <v>2022</v>
      </c>
      <c r="Z89" s="21">
        <v>100</v>
      </c>
      <c r="AA89" s="17"/>
      <c r="AB89" s="7">
        <v>2022</v>
      </c>
      <c r="AC89" s="21">
        <v>100</v>
      </c>
      <c r="AD89" s="17"/>
      <c r="AE89" s="7">
        <v>2022</v>
      </c>
      <c r="AF89" s="21">
        <v>100</v>
      </c>
      <c r="AG89" s="23"/>
    </row>
    <row r="90" spans="1:51" ht="24.75" customHeight="1">
      <c r="A90" s="7">
        <v>2023</v>
      </c>
      <c r="B90" s="15">
        <f>AVERAGE(E90,H90, W90,((Z90+AC90+AF90)/3))</f>
        <v>100</v>
      </c>
      <c r="C90" s="15"/>
      <c r="D90" s="7">
        <v>2023</v>
      </c>
      <c r="E90" s="21">
        <v>100</v>
      </c>
      <c r="F90" s="17"/>
      <c r="G90" s="7">
        <v>2023</v>
      </c>
      <c r="H90" s="31">
        <f t="shared" si="10"/>
        <v>100</v>
      </c>
      <c r="I90" s="14"/>
      <c r="J90" s="7">
        <v>2023</v>
      </c>
      <c r="K90" s="21">
        <v>100</v>
      </c>
      <c r="L90" s="17"/>
      <c r="M90" s="7">
        <v>2023</v>
      </c>
      <c r="N90" s="21">
        <v>100</v>
      </c>
      <c r="O90" s="17"/>
      <c r="P90" s="7">
        <v>2023</v>
      </c>
      <c r="Q90" s="21">
        <v>100</v>
      </c>
      <c r="R90" s="17"/>
      <c r="S90" s="7">
        <v>2023</v>
      </c>
      <c r="T90" s="21">
        <v>100</v>
      </c>
      <c r="U90" s="17"/>
      <c r="V90" s="7">
        <v>2023</v>
      </c>
      <c r="W90" s="21">
        <v>100</v>
      </c>
      <c r="X90" s="17"/>
      <c r="Y90" s="7">
        <v>2023</v>
      </c>
      <c r="Z90" s="21">
        <v>100</v>
      </c>
      <c r="AA90" s="17"/>
      <c r="AB90" s="7">
        <v>2023</v>
      </c>
      <c r="AC90" s="21">
        <v>100</v>
      </c>
      <c r="AD90" s="17"/>
      <c r="AE90" s="7">
        <v>2023</v>
      </c>
      <c r="AF90" s="21">
        <v>100</v>
      </c>
      <c r="AG90" s="23"/>
    </row>
    <row r="91" spans="1:51" ht="24.75" customHeight="1"/>
    <row r="92" spans="1:51" s="38" customFormat="1" ht="24.75" customHeight="1">
      <c r="A92" s="26" t="s">
        <v>5</v>
      </c>
      <c r="B92" s="381" t="s">
        <v>305</v>
      </c>
      <c r="C92" s="382"/>
      <c r="D92" s="382"/>
      <c r="E92" s="382"/>
      <c r="F92" s="382"/>
      <c r="G92" s="382"/>
      <c r="H92" s="382"/>
      <c r="I92" s="382"/>
      <c r="J92" s="382"/>
      <c r="K92" s="382"/>
      <c r="L92" s="382"/>
      <c r="M92" s="382"/>
      <c r="N92" s="382"/>
      <c r="O92" s="382"/>
      <c r="P92" s="382"/>
      <c r="Q92" s="382"/>
      <c r="R92" s="382"/>
      <c r="S92" s="382"/>
      <c r="T92" s="382"/>
      <c r="U92" s="382"/>
      <c r="V92" s="382"/>
      <c r="W92" s="382"/>
      <c r="X92" s="382"/>
      <c r="Y92" s="382"/>
      <c r="Z92" s="382"/>
      <c r="AA92" s="382"/>
      <c r="AB92" s="382"/>
      <c r="AC92" s="382"/>
      <c r="AD92" s="382"/>
      <c r="AE92" s="382"/>
      <c r="AF92" s="382"/>
      <c r="AG92" s="382"/>
      <c r="AH92" s="382"/>
      <c r="AI92" s="382"/>
      <c r="AJ92" s="382"/>
      <c r="AK92" s="382"/>
      <c r="AL92" s="382"/>
      <c r="AM92" s="383"/>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3">
        <f>AVERAGE((E99+K99+Q99)/3+(H99+N99+T99)/3+W99+Z99+AC99+AF99+AI99+AL99)/8</f>
        <v>70.833333333333329</v>
      </c>
      <c r="C99" s="43"/>
      <c r="D99" s="27">
        <v>2020</v>
      </c>
      <c r="E99" s="14">
        <v>100</v>
      </c>
      <c r="F99" s="23" t="s">
        <v>1649</v>
      </c>
      <c r="G99" s="7">
        <v>2020</v>
      </c>
      <c r="H99" s="44">
        <v>50</v>
      </c>
      <c r="I99" s="23" t="s">
        <v>1650</v>
      </c>
      <c r="J99" s="27">
        <v>2020</v>
      </c>
      <c r="K99" s="74">
        <v>100</v>
      </c>
      <c r="L99" s="23" t="s">
        <v>1651</v>
      </c>
      <c r="M99" s="7">
        <v>2020</v>
      </c>
      <c r="N99" s="21">
        <v>50</v>
      </c>
      <c r="O99" s="23" t="s">
        <v>1652</v>
      </c>
      <c r="P99" s="27">
        <v>2020</v>
      </c>
      <c r="Q99" s="14">
        <v>50</v>
      </c>
      <c r="R99" s="23" t="s">
        <v>1653</v>
      </c>
      <c r="S99" s="7">
        <v>2020</v>
      </c>
      <c r="T99" s="21">
        <v>0</v>
      </c>
      <c r="U99" s="23" t="s">
        <v>1654</v>
      </c>
      <c r="V99" s="7">
        <v>2020</v>
      </c>
      <c r="W99" s="80">
        <v>100</v>
      </c>
      <c r="X99" s="226"/>
      <c r="Y99" s="7">
        <v>2020</v>
      </c>
      <c r="Z99" s="80">
        <v>100</v>
      </c>
      <c r="AA99" s="226"/>
      <c r="AB99" s="7">
        <v>2020</v>
      </c>
      <c r="AC99" s="80">
        <v>100</v>
      </c>
      <c r="AD99" s="23" t="s">
        <v>1655</v>
      </c>
      <c r="AE99" s="7">
        <v>2020</v>
      </c>
      <c r="AF99" s="14">
        <v>50</v>
      </c>
      <c r="AG99" s="227" t="s">
        <v>1656</v>
      </c>
      <c r="AH99" s="7">
        <v>2020</v>
      </c>
      <c r="AI99" s="21">
        <v>100</v>
      </c>
      <c r="AJ99" s="23" t="s">
        <v>1657</v>
      </c>
      <c r="AK99" s="7">
        <v>2020</v>
      </c>
      <c r="AL99" s="21">
        <v>0</v>
      </c>
      <c r="AM99" s="23" t="s">
        <v>1658</v>
      </c>
      <c r="AN99" s="40"/>
      <c r="AO99" s="40"/>
      <c r="AP99" s="40"/>
      <c r="AQ99" s="40"/>
      <c r="AR99" s="40"/>
      <c r="AS99" s="40"/>
      <c r="AT99" s="40"/>
      <c r="AU99" s="40"/>
      <c r="AV99" s="40"/>
      <c r="AW99" s="40"/>
      <c r="AX99" s="40"/>
      <c r="AY99" s="40"/>
    </row>
    <row r="100" spans="1:51" s="38" customFormat="1" ht="24.75" customHeight="1">
      <c r="A100" s="27">
        <v>2021</v>
      </c>
      <c r="B100" s="43">
        <f t="shared" ref="B100:B102" si="11">AVERAGE((E100+K100+Q100)/3+(H100+N100+T100)/3+W100+Z100+AC100+AF100+AI100+AL100)/8</f>
        <v>70.833333333333329</v>
      </c>
      <c r="C100" s="49"/>
      <c r="D100" s="27">
        <v>2021</v>
      </c>
      <c r="E100" s="14">
        <v>100</v>
      </c>
      <c r="F100" s="23"/>
      <c r="G100" s="7">
        <v>2021</v>
      </c>
      <c r="H100" s="44">
        <v>50</v>
      </c>
      <c r="I100" s="23" t="s">
        <v>1659</v>
      </c>
      <c r="J100" s="27">
        <v>2021</v>
      </c>
      <c r="K100" s="74">
        <v>100</v>
      </c>
      <c r="L100" s="23"/>
      <c r="M100" s="7">
        <v>2021</v>
      </c>
      <c r="N100" s="21">
        <v>50</v>
      </c>
      <c r="O100" s="23"/>
      <c r="P100" s="27">
        <v>2021</v>
      </c>
      <c r="Q100" s="14">
        <v>50</v>
      </c>
      <c r="R100" s="23" t="s">
        <v>1660</v>
      </c>
      <c r="S100" s="7">
        <v>2021</v>
      </c>
      <c r="T100" s="21">
        <v>0</v>
      </c>
      <c r="U100" s="23"/>
      <c r="V100" s="7">
        <v>2021</v>
      </c>
      <c r="W100" s="80">
        <v>100</v>
      </c>
      <c r="X100" s="23"/>
      <c r="Y100" s="7">
        <v>2021</v>
      </c>
      <c r="Z100" s="80">
        <v>100</v>
      </c>
      <c r="AA100" s="23"/>
      <c r="AB100" s="7">
        <v>2021</v>
      </c>
      <c r="AC100" s="80">
        <v>100</v>
      </c>
      <c r="AD100" s="23"/>
      <c r="AE100" s="7">
        <v>2021</v>
      </c>
      <c r="AF100" s="14">
        <v>50</v>
      </c>
      <c r="AG100" s="23"/>
      <c r="AH100" s="7">
        <v>2021</v>
      </c>
      <c r="AI100" s="21">
        <v>100</v>
      </c>
      <c r="AJ100" s="23"/>
      <c r="AK100" s="7">
        <v>2021</v>
      </c>
      <c r="AL100" s="21">
        <v>0</v>
      </c>
      <c r="AM100" s="23" t="s">
        <v>1661</v>
      </c>
      <c r="AN100" s="40"/>
      <c r="AO100" s="40"/>
      <c r="AP100" s="40"/>
      <c r="AQ100" s="40"/>
      <c r="AR100" s="40"/>
      <c r="AS100" s="40"/>
      <c r="AT100" s="40"/>
      <c r="AU100" s="40"/>
      <c r="AV100" s="40"/>
      <c r="AW100" s="40"/>
      <c r="AX100" s="40"/>
      <c r="AY100" s="40"/>
    </row>
    <row r="101" spans="1:51" s="38" customFormat="1" ht="24.75" customHeight="1">
      <c r="A101" s="27">
        <v>2022</v>
      </c>
      <c r="B101" s="43">
        <f t="shared" si="11"/>
        <v>70.833333333333329</v>
      </c>
      <c r="C101" s="49"/>
      <c r="D101" s="27">
        <v>2022</v>
      </c>
      <c r="E101" s="14">
        <v>100</v>
      </c>
      <c r="F101" s="23"/>
      <c r="G101" s="27">
        <v>2022</v>
      </c>
      <c r="H101" s="44">
        <v>50</v>
      </c>
      <c r="I101" s="23"/>
      <c r="J101" s="27">
        <v>2022</v>
      </c>
      <c r="K101" s="74">
        <v>100</v>
      </c>
      <c r="L101" s="23"/>
      <c r="M101" s="27">
        <v>2022</v>
      </c>
      <c r="N101" s="21">
        <v>50</v>
      </c>
      <c r="O101" s="23"/>
      <c r="P101" s="27">
        <v>2022</v>
      </c>
      <c r="Q101" s="14">
        <v>50</v>
      </c>
      <c r="R101" s="23"/>
      <c r="S101" s="27">
        <v>2022</v>
      </c>
      <c r="T101" s="21">
        <v>0</v>
      </c>
      <c r="U101" s="23"/>
      <c r="V101" s="27">
        <v>2022</v>
      </c>
      <c r="W101" s="80">
        <v>100</v>
      </c>
      <c r="X101" s="23"/>
      <c r="Y101" s="27">
        <v>2022</v>
      </c>
      <c r="Z101" s="80">
        <v>100</v>
      </c>
      <c r="AA101" s="23"/>
      <c r="AB101" s="27">
        <v>2022</v>
      </c>
      <c r="AC101" s="80">
        <v>100</v>
      </c>
      <c r="AD101" s="23"/>
      <c r="AE101" s="27">
        <v>2022</v>
      </c>
      <c r="AF101" s="14">
        <v>50</v>
      </c>
      <c r="AG101" s="23"/>
      <c r="AH101" s="27">
        <v>2022</v>
      </c>
      <c r="AI101" s="21">
        <v>100</v>
      </c>
      <c r="AJ101" s="23"/>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3">
        <f t="shared" si="11"/>
        <v>70.833333333333329</v>
      </c>
      <c r="C102" s="49"/>
      <c r="D102" s="27">
        <v>2023</v>
      </c>
      <c r="E102" s="14">
        <v>100</v>
      </c>
      <c r="F102" s="23"/>
      <c r="G102" s="27">
        <v>2023</v>
      </c>
      <c r="H102" s="44">
        <v>50</v>
      </c>
      <c r="I102" s="23"/>
      <c r="J102" s="27">
        <v>2023</v>
      </c>
      <c r="K102" s="74">
        <v>100</v>
      </c>
      <c r="L102" s="23"/>
      <c r="M102" s="27">
        <v>2023</v>
      </c>
      <c r="N102" s="21">
        <v>50</v>
      </c>
      <c r="O102" s="23"/>
      <c r="P102" s="27">
        <v>2023</v>
      </c>
      <c r="Q102" s="14">
        <v>50</v>
      </c>
      <c r="R102" s="23"/>
      <c r="S102" s="27">
        <v>2023</v>
      </c>
      <c r="T102" s="21">
        <v>0</v>
      </c>
      <c r="U102" s="23"/>
      <c r="V102" s="27">
        <v>2023</v>
      </c>
      <c r="W102" s="80">
        <v>100</v>
      </c>
      <c r="X102" s="23"/>
      <c r="Y102" s="27">
        <v>2023</v>
      </c>
      <c r="Z102" s="80">
        <v>100</v>
      </c>
      <c r="AA102" s="23"/>
      <c r="AB102" s="27">
        <v>2023</v>
      </c>
      <c r="AC102" s="80">
        <v>100</v>
      </c>
      <c r="AD102" s="23"/>
      <c r="AE102" s="27">
        <v>2023</v>
      </c>
      <c r="AF102" s="14">
        <v>50</v>
      </c>
      <c r="AG102" s="23"/>
      <c r="AH102" s="27">
        <v>2023</v>
      </c>
      <c r="AI102" s="21">
        <v>100</v>
      </c>
      <c r="AJ102" s="23"/>
      <c r="AK102" s="27">
        <v>2023</v>
      </c>
      <c r="AL102" s="21">
        <v>0</v>
      </c>
      <c r="AM102" s="23"/>
    </row>
    <row r="103" spans="1:51" ht="15" customHeight="1">
      <c r="E103" s="32"/>
      <c r="H103" s="32"/>
      <c r="K103" s="32"/>
      <c r="N103" s="32"/>
      <c r="O103" s="32"/>
      <c r="Q103" s="32"/>
      <c r="T103" s="32"/>
      <c r="AC103" s="32"/>
      <c r="AE103" s="228"/>
      <c r="AF103" s="32"/>
      <c r="AL103" s="32"/>
    </row>
    <row r="104" spans="1:51" ht="15" customHeight="1">
      <c r="AG104" s="229"/>
      <c r="AL104" s="32"/>
    </row>
    <row r="105" spans="1:51" ht="15" customHeight="1">
      <c r="E105" s="32"/>
      <c r="R105" s="32"/>
    </row>
    <row r="106" spans="1:51" ht="15" customHeight="1">
      <c r="E106" s="32"/>
    </row>
    <row r="107" spans="1:51" ht="15" customHeight="1">
      <c r="E107" s="32"/>
    </row>
    <row r="108" spans="1:51" ht="15" customHeight="1">
      <c r="E108" s="32"/>
    </row>
    <row r="109" spans="1:51" ht="15" customHeight="1">
      <c r="E109" s="32"/>
    </row>
    <row r="110" spans="1:51" ht="15" customHeight="1">
      <c r="E110" s="32"/>
    </row>
    <row r="111" spans="1:51" ht="15" customHeight="1">
      <c r="E111" s="32"/>
    </row>
    <row r="112" spans="1:51" ht="15" customHeight="1">
      <c r="E112" s="32"/>
    </row>
    <row r="113" spans="5:5" ht="15" customHeight="1">
      <c r="E113" s="32"/>
    </row>
    <row r="114" spans="5:5" ht="15" customHeight="1">
      <c r="E114" s="32"/>
    </row>
    <row r="115" spans="5:5" ht="15" customHeight="1">
      <c r="E115" s="32"/>
    </row>
    <row r="116" spans="5:5" ht="15" customHeight="1">
      <c r="E116" s="32"/>
    </row>
    <row r="117" spans="5:5" ht="15" customHeight="1">
      <c r="E117" s="32"/>
    </row>
    <row r="118" spans="5:5" ht="15" customHeight="1">
      <c r="E118" s="32"/>
    </row>
    <row r="119" spans="5:5" ht="15" customHeight="1">
      <c r="E119" s="32"/>
    </row>
    <row r="120" spans="5:5" ht="15" customHeight="1">
      <c r="E120" s="32"/>
    </row>
    <row r="121" spans="5:5" ht="15" customHeight="1">
      <c r="E121" s="32"/>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4039-5292-4B8E-8BD5-B055CD92DDC2}">
  <dimension ref="A1:CC102"/>
  <sheetViews>
    <sheetView topLeftCell="A87" zoomScale="85" zoomScaleNormal="55" workbookViewId="0">
      <selection activeCell="AD105" sqref="AD105"/>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21" customHeight="1">
      <c r="A1" s="323" t="s">
        <v>0</v>
      </c>
      <c r="B1" s="323"/>
      <c r="C1" s="323"/>
      <c r="D1" s="323"/>
    </row>
    <row r="2" spans="1:81" ht="26.4" customHeight="1">
      <c r="A2" s="2" t="s">
        <v>1</v>
      </c>
      <c r="B2" s="2" t="s">
        <v>2</v>
      </c>
      <c r="C2" s="2" t="s">
        <v>3</v>
      </c>
      <c r="D2" s="2" t="s">
        <v>4</v>
      </c>
    </row>
    <row r="3" spans="1:81" ht="15" customHeight="1">
      <c r="A3" s="3">
        <v>2020</v>
      </c>
      <c r="B3" s="4">
        <f>AVERAGE(B15,B27,B39,B51,B63,B75,B87,B99)</f>
        <v>51.230654761904759</v>
      </c>
      <c r="C3" s="4">
        <f>AVERAGE(B15,B27,B39,B51,B63,B75,B87)</f>
        <v>51.692176870748298</v>
      </c>
      <c r="D3" s="4">
        <f>AVERAGE(B15,B27,B51,B63,B75,B87)</f>
        <v>51.958333333333336</v>
      </c>
    </row>
    <row r="4" spans="1:81" ht="15" customHeight="1">
      <c r="A4" s="3">
        <v>2021</v>
      </c>
      <c r="B4" s="4">
        <f>AVERAGE(B16,B28,B40,B52,B64,B76,B88,B100)</f>
        <v>51.230654761904759</v>
      </c>
      <c r="C4" s="4">
        <f>AVERAGE(B16,B28,B40,B52,B64,B76,B88)</f>
        <v>51.692176870748298</v>
      </c>
      <c r="D4" s="4">
        <f>AVERAGE(B16,B28,B52,B64,B76,B88)</f>
        <v>51.958333333333336</v>
      </c>
    </row>
    <row r="5" spans="1:81" ht="15" customHeight="1">
      <c r="A5" s="3">
        <v>2022</v>
      </c>
      <c r="B5" s="4">
        <f>AVERAGE(B17,B29,B41,B53,B65,B77,B89,B101)</f>
        <v>52.011904761904759</v>
      </c>
      <c r="C5" s="4">
        <f>AVERAGE(B17,B29,B41,B53,B65,B77,B89)</f>
        <v>51.692176870748298</v>
      </c>
      <c r="D5" s="4">
        <f>AVERAGE(B17,B29,B53,B65,B77,B89)</f>
        <v>51.958333333333336</v>
      </c>
    </row>
    <row r="6" spans="1:81" ht="15" customHeight="1">
      <c r="A6" s="3">
        <v>2023</v>
      </c>
      <c r="B6" s="4">
        <f>AVERAGE(B18,B30,B42,B54,B66,B78,B90,B102)</f>
        <v>52.011904761904759</v>
      </c>
      <c r="C6" s="4">
        <f>AVERAGE(B18,B30,B42,B54,B66,B78,B90)</f>
        <v>51.692176870748298</v>
      </c>
      <c r="D6" s="4">
        <f>AVERAGE(B18,B30,B54,B66,B78,B90)</f>
        <v>51.958333333333336</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8" si="0">AVERAGE(E15, H15,K15,N15,Q15,T15,W15,Z15,AC15)</f>
        <v>46.333333333333336</v>
      </c>
      <c r="C15" s="16"/>
      <c r="D15" s="7">
        <v>2020</v>
      </c>
      <c r="E15" s="14">
        <v>50</v>
      </c>
      <c r="F15" s="81" t="s">
        <v>1662</v>
      </c>
      <c r="G15" s="7">
        <v>2020</v>
      </c>
      <c r="H15" s="14">
        <v>50</v>
      </c>
      <c r="I15" s="81" t="s">
        <v>1663</v>
      </c>
      <c r="J15" s="7">
        <v>2020</v>
      </c>
      <c r="K15" s="14">
        <v>0</v>
      </c>
      <c r="L15" s="153" t="s">
        <v>1664</v>
      </c>
      <c r="M15" s="7">
        <v>2020</v>
      </c>
      <c r="N15" s="14">
        <v>100</v>
      </c>
      <c r="O15" s="17" t="s">
        <v>1353</v>
      </c>
      <c r="P15" s="7">
        <v>2020</v>
      </c>
      <c r="Q15" s="14">
        <v>67</v>
      </c>
      <c r="R15" s="17" t="s">
        <v>1665</v>
      </c>
      <c r="S15" s="7">
        <v>2020</v>
      </c>
      <c r="T15" s="80">
        <v>50</v>
      </c>
      <c r="U15" s="81" t="s">
        <v>1666</v>
      </c>
      <c r="V15" s="7">
        <v>2020</v>
      </c>
      <c r="W15" s="14">
        <v>0</v>
      </c>
      <c r="X15" s="17" t="s">
        <v>1667</v>
      </c>
      <c r="Y15" s="7">
        <v>2020</v>
      </c>
      <c r="Z15" s="14">
        <v>0</v>
      </c>
      <c r="AA15" s="17" t="s">
        <v>1668</v>
      </c>
      <c r="AB15" s="7">
        <v>2020</v>
      </c>
      <c r="AC15" s="21">
        <v>100</v>
      </c>
      <c r="AD15" s="23" t="s">
        <v>1353</v>
      </c>
    </row>
    <row r="16" spans="1:81" ht="24.75" customHeight="1">
      <c r="A16" s="7">
        <v>2021</v>
      </c>
      <c r="B16" s="15">
        <f t="shared" si="0"/>
        <v>46.333333333333336</v>
      </c>
      <c r="C16" s="16"/>
      <c r="D16" s="7">
        <v>2021</v>
      </c>
      <c r="E16" s="14">
        <v>50</v>
      </c>
      <c r="F16" s="17"/>
      <c r="G16" s="7">
        <v>2021</v>
      </c>
      <c r="H16" s="14">
        <v>50</v>
      </c>
      <c r="I16" s="17"/>
      <c r="J16" s="7">
        <v>2021</v>
      </c>
      <c r="K16" s="14">
        <v>0</v>
      </c>
      <c r="L16" s="17"/>
      <c r="M16" s="7">
        <v>2021</v>
      </c>
      <c r="N16" s="14">
        <v>100</v>
      </c>
      <c r="O16" s="17"/>
      <c r="P16" s="7">
        <v>2021</v>
      </c>
      <c r="Q16" s="14">
        <v>67</v>
      </c>
      <c r="R16" s="17"/>
      <c r="S16" s="7">
        <v>2021</v>
      </c>
      <c r="T16" s="80">
        <v>50</v>
      </c>
      <c r="U16" s="17"/>
      <c r="V16" s="7">
        <v>2021</v>
      </c>
      <c r="W16" s="14">
        <v>0</v>
      </c>
      <c r="X16" s="17"/>
      <c r="Y16" s="7">
        <v>2021</v>
      </c>
      <c r="Z16" s="14">
        <v>0</v>
      </c>
      <c r="AA16" s="17"/>
      <c r="AB16" s="7">
        <v>2021</v>
      </c>
      <c r="AC16" s="21">
        <v>100</v>
      </c>
      <c r="AD16" s="23"/>
    </row>
    <row r="17" spans="1:51" ht="24.75" customHeight="1">
      <c r="A17" s="7">
        <v>2022</v>
      </c>
      <c r="B17" s="15">
        <f t="shared" si="0"/>
        <v>46.333333333333336</v>
      </c>
      <c r="C17" s="16"/>
      <c r="D17" s="7">
        <v>2022</v>
      </c>
      <c r="E17" s="14">
        <v>50</v>
      </c>
      <c r="F17" s="17"/>
      <c r="G17" s="7">
        <v>2022</v>
      </c>
      <c r="H17" s="14">
        <v>50</v>
      </c>
      <c r="I17" s="17"/>
      <c r="J17" s="7">
        <v>2022</v>
      </c>
      <c r="K17" s="14">
        <v>0</v>
      </c>
      <c r="L17" s="17"/>
      <c r="M17" s="7">
        <v>2022</v>
      </c>
      <c r="N17" s="14">
        <v>100</v>
      </c>
      <c r="O17" s="17"/>
      <c r="P17" s="7">
        <v>2022</v>
      </c>
      <c r="Q17" s="14">
        <v>67</v>
      </c>
      <c r="R17" s="17"/>
      <c r="S17" s="7">
        <v>2022</v>
      </c>
      <c r="T17" s="80">
        <v>50</v>
      </c>
      <c r="U17" s="17"/>
      <c r="V17" s="7">
        <v>2022</v>
      </c>
      <c r="W17" s="14">
        <v>0</v>
      </c>
      <c r="X17" s="17"/>
      <c r="Y17" s="7">
        <v>2022</v>
      </c>
      <c r="Z17" s="14">
        <v>0</v>
      </c>
      <c r="AA17" s="17"/>
      <c r="AB17" s="7">
        <v>2022</v>
      </c>
      <c r="AC17" s="21">
        <v>100</v>
      </c>
      <c r="AD17" s="23"/>
    </row>
    <row r="18" spans="1:51" ht="24.75" customHeight="1">
      <c r="A18" s="7">
        <v>2023</v>
      </c>
      <c r="B18" s="15">
        <f t="shared" si="0"/>
        <v>46.333333333333336</v>
      </c>
      <c r="C18" s="16"/>
      <c r="D18" s="7">
        <v>2023</v>
      </c>
      <c r="E18" s="14">
        <v>50</v>
      </c>
      <c r="F18" s="17"/>
      <c r="G18" s="7">
        <v>2023</v>
      </c>
      <c r="H18" s="14">
        <v>50</v>
      </c>
      <c r="I18" s="17"/>
      <c r="J18" s="7">
        <v>2023</v>
      </c>
      <c r="K18" s="14">
        <v>0</v>
      </c>
      <c r="L18" s="17"/>
      <c r="M18" s="7">
        <v>2023</v>
      </c>
      <c r="N18" s="14">
        <v>100</v>
      </c>
      <c r="O18" s="17"/>
      <c r="P18" s="7">
        <v>2023</v>
      </c>
      <c r="Q18" s="14">
        <v>67</v>
      </c>
      <c r="R18" s="17"/>
      <c r="S18" s="7">
        <v>2023</v>
      </c>
      <c r="T18" s="80">
        <v>50</v>
      </c>
      <c r="U18" s="17"/>
      <c r="V18" s="7">
        <v>2023</v>
      </c>
      <c r="W18" s="14">
        <v>0</v>
      </c>
      <c r="X18" s="17"/>
      <c r="Y18" s="7">
        <v>2023</v>
      </c>
      <c r="Z18" s="14">
        <v>0</v>
      </c>
      <c r="AA18" s="17"/>
      <c r="AB18" s="7">
        <v>2023</v>
      </c>
      <c r="AC18" s="21">
        <v>100</v>
      </c>
      <c r="AD18" s="23"/>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t="s">
        <v>427</v>
      </c>
      <c r="L24" s="325"/>
      <c r="M24" s="27" t="s">
        <v>30</v>
      </c>
      <c r="N24" s="325" t="s">
        <v>96</v>
      </c>
      <c r="O24" s="325"/>
      <c r="P24" s="27" t="s">
        <v>30</v>
      </c>
      <c r="Q24" s="325" t="s">
        <v>97</v>
      </c>
      <c r="R24" s="325"/>
      <c r="S24" s="27" t="s">
        <v>30</v>
      </c>
      <c r="T24" s="325" t="s">
        <v>428</v>
      </c>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329" t="s">
        <v>429</v>
      </c>
      <c r="L25" s="325"/>
      <c r="M25" s="27" t="s">
        <v>41</v>
      </c>
      <c r="N25" s="325" t="s">
        <v>109</v>
      </c>
      <c r="O25" s="325"/>
      <c r="P25" s="27" t="s">
        <v>41</v>
      </c>
      <c r="Q25" s="325" t="s">
        <v>110</v>
      </c>
      <c r="R25" s="325"/>
      <c r="S25" s="27" t="s">
        <v>41</v>
      </c>
      <c r="T25" s="329" t="s">
        <v>429</v>
      </c>
      <c r="U25" s="325"/>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66.666666666666671</v>
      </c>
      <c r="C27" s="16"/>
      <c r="D27" s="7">
        <v>2020</v>
      </c>
      <c r="E27" s="21">
        <v>100</v>
      </c>
      <c r="F27" s="17" t="s">
        <v>1669</v>
      </c>
      <c r="G27" s="7">
        <v>2020</v>
      </c>
      <c r="H27" s="14">
        <v>50</v>
      </c>
      <c r="I27" s="23" t="s">
        <v>1670</v>
      </c>
      <c r="J27" s="7">
        <v>2020</v>
      </c>
      <c r="K27" s="14">
        <v>100</v>
      </c>
      <c r="L27" s="17"/>
      <c r="M27" s="7">
        <v>2020</v>
      </c>
      <c r="N27" s="14">
        <v>100</v>
      </c>
      <c r="O27" s="17" t="s">
        <v>1671</v>
      </c>
      <c r="P27" s="7">
        <v>2020</v>
      </c>
      <c r="Q27" s="14">
        <v>100</v>
      </c>
      <c r="R27" s="17" t="s">
        <v>1671</v>
      </c>
      <c r="S27" s="7">
        <v>2020</v>
      </c>
      <c r="T27" s="14">
        <v>100</v>
      </c>
      <c r="U27" s="17"/>
      <c r="V27" s="7">
        <v>2020</v>
      </c>
      <c r="W27" s="14">
        <v>100</v>
      </c>
      <c r="X27" s="17" t="s">
        <v>1671</v>
      </c>
      <c r="Y27" s="7">
        <v>2020</v>
      </c>
      <c r="Z27" s="14">
        <v>100</v>
      </c>
      <c r="AA27" s="17" t="s">
        <v>1671</v>
      </c>
      <c r="AB27" s="7">
        <v>2020</v>
      </c>
      <c r="AC27" s="14">
        <v>100</v>
      </c>
      <c r="AD27" s="17" t="s">
        <v>1671</v>
      </c>
      <c r="AE27" s="7">
        <v>2020</v>
      </c>
      <c r="AF27" s="31">
        <f t="shared" ref="AF27:AF30" si="1">0.67*AI27+0.33*AL27</f>
        <v>50</v>
      </c>
      <c r="AG27" s="17"/>
      <c r="AH27" s="7">
        <v>2020</v>
      </c>
      <c r="AI27" s="14">
        <v>50</v>
      </c>
      <c r="AJ27" s="81" t="s">
        <v>1672</v>
      </c>
      <c r="AK27" s="7">
        <v>2020</v>
      </c>
      <c r="AL27" s="14">
        <v>50</v>
      </c>
      <c r="AM27" s="81" t="s">
        <v>1673</v>
      </c>
      <c r="AN27" s="7">
        <v>2020</v>
      </c>
      <c r="AO27" s="14">
        <v>100</v>
      </c>
      <c r="AP27" s="17" t="s">
        <v>1674</v>
      </c>
      <c r="AQ27" s="7">
        <v>2020</v>
      </c>
      <c r="AR27" s="14">
        <v>0</v>
      </c>
      <c r="AS27" s="17" t="s">
        <v>1675</v>
      </c>
      <c r="AT27" s="7">
        <v>2020</v>
      </c>
      <c r="AU27" s="14">
        <v>50</v>
      </c>
      <c r="AV27" s="17" t="s">
        <v>1676</v>
      </c>
      <c r="AW27" s="7">
        <v>2020</v>
      </c>
      <c r="AX27" s="14">
        <v>50</v>
      </c>
      <c r="AY27" s="23" t="s">
        <v>1677</v>
      </c>
    </row>
    <row r="28" spans="1:51" ht="24.75" customHeight="1">
      <c r="A28" s="7">
        <v>2021</v>
      </c>
      <c r="B28" s="15">
        <f>AVERAGE(E28,H28,K28,T28,AF28,AO28,AU28,AX28,AR28)</f>
        <v>66.666666666666671</v>
      </c>
      <c r="C28" s="15"/>
      <c r="D28" s="7">
        <v>2021</v>
      </c>
      <c r="E28" s="21">
        <v>100</v>
      </c>
      <c r="F28" s="17"/>
      <c r="G28" s="7">
        <v>2021</v>
      </c>
      <c r="H28" s="14">
        <v>50</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si="1"/>
        <v>50</v>
      </c>
      <c r="AG28" s="17"/>
      <c r="AH28" s="7">
        <v>2021</v>
      </c>
      <c r="AI28" s="14">
        <v>50</v>
      </c>
      <c r="AJ28" s="17"/>
      <c r="AK28" s="7">
        <v>2021</v>
      </c>
      <c r="AL28" s="14">
        <v>50</v>
      </c>
      <c r="AM28" s="17"/>
      <c r="AN28" s="7">
        <v>2021</v>
      </c>
      <c r="AO28" s="14">
        <v>100</v>
      </c>
      <c r="AP28" s="17"/>
      <c r="AQ28" s="7">
        <v>2021</v>
      </c>
      <c r="AR28" s="14">
        <v>0</v>
      </c>
      <c r="AS28" s="17"/>
      <c r="AT28" s="7">
        <v>2021</v>
      </c>
      <c r="AU28" s="14">
        <v>50</v>
      </c>
      <c r="AV28" s="17"/>
      <c r="AW28" s="7">
        <v>2021</v>
      </c>
      <c r="AX28" s="14">
        <v>50</v>
      </c>
      <c r="AY28" s="23"/>
    </row>
    <row r="29" spans="1:51" ht="24.75" customHeight="1">
      <c r="A29" s="7">
        <v>2022</v>
      </c>
      <c r="B29" s="15">
        <f>AVERAGE(E29,H29,K29,T29,AF29,AO29,AU29,AX29,AR29)</f>
        <v>66.666666666666671</v>
      </c>
      <c r="C29" s="15"/>
      <c r="D29" s="7">
        <v>2022</v>
      </c>
      <c r="E29" s="21">
        <v>100</v>
      </c>
      <c r="F29" s="17"/>
      <c r="G29" s="7">
        <v>2022</v>
      </c>
      <c r="H29" s="14">
        <v>50</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 t="shared" si="1"/>
        <v>50</v>
      </c>
      <c r="AG29" s="17"/>
      <c r="AH29" s="7">
        <v>2022</v>
      </c>
      <c r="AI29" s="14">
        <v>50</v>
      </c>
      <c r="AJ29" s="17"/>
      <c r="AK29" s="7">
        <v>2022</v>
      </c>
      <c r="AL29" s="14">
        <v>50</v>
      </c>
      <c r="AM29" s="17"/>
      <c r="AN29" s="7">
        <v>2022</v>
      </c>
      <c r="AO29" s="14">
        <v>100</v>
      </c>
      <c r="AP29" s="17"/>
      <c r="AQ29" s="7">
        <v>2022</v>
      </c>
      <c r="AR29" s="14">
        <v>0</v>
      </c>
      <c r="AS29" s="17"/>
      <c r="AT29" s="7">
        <v>2022</v>
      </c>
      <c r="AU29" s="14">
        <v>50</v>
      </c>
      <c r="AV29" s="17"/>
      <c r="AW29" s="7">
        <v>2022</v>
      </c>
      <c r="AX29" s="14">
        <v>50</v>
      </c>
      <c r="AY29" s="23"/>
    </row>
    <row r="30" spans="1:51" ht="24.75" customHeight="1">
      <c r="A30" s="7">
        <v>2023</v>
      </c>
      <c r="B30" s="15">
        <f>AVERAGE(E30,H30,K30,T30,AF30,AO30,AU30,AX30,AR30)</f>
        <v>66.666666666666671</v>
      </c>
      <c r="C30" s="15"/>
      <c r="D30" s="7">
        <v>2023</v>
      </c>
      <c r="E30" s="21">
        <v>100</v>
      </c>
      <c r="F30" s="17"/>
      <c r="G30" s="7">
        <v>2023</v>
      </c>
      <c r="H30" s="14">
        <v>50</v>
      </c>
      <c r="I30" s="17"/>
      <c r="J30" s="7">
        <v>2023</v>
      </c>
      <c r="K30" s="14">
        <v>100</v>
      </c>
      <c r="L30" s="17"/>
      <c r="M30" s="7">
        <v>2023</v>
      </c>
      <c r="N30" s="14">
        <v>100</v>
      </c>
      <c r="O30" s="17"/>
      <c r="P30" s="7">
        <v>2023</v>
      </c>
      <c r="Q30" s="14">
        <v>100</v>
      </c>
      <c r="R30" s="17"/>
      <c r="S30" s="7">
        <v>2023</v>
      </c>
      <c r="T30" s="14">
        <v>100</v>
      </c>
      <c r="U30" s="17"/>
      <c r="V30" s="7">
        <v>2023</v>
      </c>
      <c r="W30" s="14">
        <v>100</v>
      </c>
      <c r="X30" s="17"/>
      <c r="Y30" s="7">
        <v>2023</v>
      </c>
      <c r="Z30" s="14">
        <v>100</v>
      </c>
      <c r="AA30" s="17"/>
      <c r="AB30" s="7">
        <v>2023</v>
      </c>
      <c r="AC30" s="14">
        <v>100</v>
      </c>
      <c r="AD30" s="17"/>
      <c r="AE30" s="7">
        <v>2023</v>
      </c>
      <c r="AF30" s="31">
        <f t="shared" si="1"/>
        <v>50</v>
      </c>
      <c r="AG30" s="17"/>
      <c r="AH30" s="7">
        <v>2023</v>
      </c>
      <c r="AI30" s="14">
        <v>50</v>
      </c>
      <c r="AJ30" s="17"/>
      <c r="AK30" s="7">
        <v>2023</v>
      </c>
      <c r="AL30" s="14">
        <v>50</v>
      </c>
      <c r="AM30" s="17"/>
      <c r="AN30" s="7">
        <v>2023</v>
      </c>
      <c r="AO30" s="14">
        <v>100</v>
      </c>
      <c r="AP30" s="17"/>
      <c r="AQ30" s="7">
        <v>2023</v>
      </c>
      <c r="AR30" s="14">
        <v>0</v>
      </c>
      <c r="AS30" s="17"/>
      <c r="AT30" s="7">
        <v>2023</v>
      </c>
      <c r="AU30" s="14">
        <v>50</v>
      </c>
      <c r="AV30" s="17"/>
      <c r="AW30" s="7">
        <v>2023</v>
      </c>
      <c r="AX30" s="14">
        <v>50</v>
      </c>
      <c r="AY30" s="23"/>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t="s">
        <v>432</v>
      </c>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308" t="s">
        <v>433</v>
      </c>
      <c r="AG37" s="310"/>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50.095238095238095</v>
      </c>
      <c r="C39" s="16"/>
      <c r="D39" s="7">
        <v>2020</v>
      </c>
      <c r="E39" s="14">
        <v>67</v>
      </c>
      <c r="F39" s="17" t="s">
        <v>1678</v>
      </c>
      <c r="G39" s="7">
        <v>2020</v>
      </c>
      <c r="H39" s="14">
        <v>0</v>
      </c>
      <c r="I39" s="17" t="s">
        <v>1679</v>
      </c>
      <c r="J39" s="7">
        <v>2020</v>
      </c>
      <c r="K39" s="14">
        <v>50</v>
      </c>
      <c r="L39" s="17" t="s">
        <v>1680</v>
      </c>
      <c r="M39" s="7">
        <v>2020</v>
      </c>
      <c r="N39" s="31">
        <f t="shared" ref="N39:N42" si="2">AVERAGE(Q39,T39,W39)</f>
        <v>66.666666666666671</v>
      </c>
      <c r="O39" s="14"/>
      <c r="P39" s="7">
        <v>2020</v>
      </c>
      <c r="Q39" s="14">
        <v>50</v>
      </c>
      <c r="R39" s="17" t="s">
        <v>1681</v>
      </c>
      <c r="S39" s="7">
        <v>2020</v>
      </c>
      <c r="T39" s="14">
        <v>50</v>
      </c>
      <c r="U39" s="17" t="s">
        <v>1681</v>
      </c>
      <c r="V39" s="7">
        <v>2020</v>
      </c>
      <c r="W39" s="14">
        <v>100</v>
      </c>
      <c r="X39" s="17" t="s">
        <v>1682</v>
      </c>
      <c r="Y39" s="7">
        <v>2020</v>
      </c>
      <c r="Z39" s="14">
        <v>50</v>
      </c>
      <c r="AA39" s="17" t="s">
        <v>1683</v>
      </c>
      <c r="AB39" s="7">
        <v>2020</v>
      </c>
      <c r="AC39" s="82">
        <v>50</v>
      </c>
      <c r="AD39" s="83" t="s">
        <v>1684</v>
      </c>
      <c r="AE39" s="7">
        <v>2020</v>
      </c>
      <c r="AF39" s="14">
        <v>67</v>
      </c>
      <c r="AG39" s="14"/>
      <c r="AH39" s="7">
        <v>2020</v>
      </c>
      <c r="AI39" s="84">
        <v>0</v>
      </c>
      <c r="AJ39" s="83"/>
      <c r="AK39" s="7">
        <v>2020</v>
      </c>
      <c r="AL39" s="82">
        <v>100</v>
      </c>
      <c r="AM39" s="86" t="s">
        <v>1685</v>
      </c>
    </row>
    <row r="40" spans="1:39" ht="24.75" customHeight="1">
      <c r="A40" s="7">
        <v>2021</v>
      </c>
      <c r="B40" s="16">
        <f>AVERAGE(E40,H40,K40,N40,Z40,AC40,AF40)</f>
        <v>50.095238095238095</v>
      </c>
      <c r="C40" s="16"/>
      <c r="D40" s="7">
        <v>2021</v>
      </c>
      <c r="E40" s="14">
        <v>67</v>
      </c>
      <c r="F40" s="17"/>
      <c r="G40" s="7">
        <v>2021</v>
      </c>
      <c r="H40" s="14">
        <v>0</v>
      </c>
      <c r="I40" s="17" t="s">
        <v>1679</v>
      </c>
      <c r="J40" s="7">
        <v>2021</v>
      </c>
      <c r="K40" s="14">
        <v>50</v>
      </c>
      <c r="L40" s="17"/>
      <c r="M40" s="7">
        <v>2021</v>
      </c>
      <c r="N40" s="31">
        <f t="shared" si="2"/>
        <v>66.666666666666671</v>
      </c>
      <c r="O40" s="14"/>
      <c r="P40" s="7">
        <v>2021</v>
      </c>
      <c r="Q40" s="14">
        <v>50</v>
      </c>
      <c r="R40" s="17"/>
      <c r="S40" s="7">
        <v>2021</v>
      </c>
      <c r="T40" s="14">
        <v>50</v>
      </c>
      <c r="U40" s="17"/>
      <c r="V40" s="7">
        <v>2021</v>
      </c>
      <c r="W40" s="14">
        <v>100</v>
      </c>
      <c r="X40" s="17"/>
      <c r="Y40" s="7">
        <v>2021</v>
      </c>
      <c r="Z40" s="14">
        <v>50</v>
      </c>
      <c r="AA40" s="17"/>
      <c r="AB40" s="7">
        <v>2021</v>
      </c>
      <c r="AC40" s="82">
        <v>50</v>
      </c>
      <c r="AD40" s="83" t="s">
        <v>1686</v>
      </c>
      <c r="AE40" s="7">
        <v>2021</v>
      </c>
      <c r="AF40" s="14">
        <v>67</v>
      </c>
      <c r="AG40" s="14"/>
      <c r="AH40" s="7">
        <v>2021</v>
      </c>
      <c r="AI40" s="84">
        <v>0</v>
      </c>
      <c r="AJ40" s="83"/>
      <c r="AK40" s="7">
        <v>2021</v>
      </c>
      <c r="AL40" s="82">
        <v>100</v>
      </c>
      <c r="AM40" s="86" t="s">
        <v>1687</v>
      </c>
    </row>
    <row r="41" spans="1:39" ht="24.75" customHeight="1">
      <c r="A41" s="7">
        <v>2022</v>
      </c>
      <c r="B41" s="16">
        <f>AVERAGE(E41,H41,K41,N41,Z41,AC41,AF41)</f>
        <v>50.095238095238095</v>
      </c>
      <c r="C41" s="16"/>
      <c r="D41" s="7">
        <v>2022</v>
      </c>
      <c r="E41" s="14">
        <v>67</v>
      </c>
      <c r="F41" s="17"/>
      <c r="G41" s="7">
        <v>2022</v>
      </c>
      <c r="H41" s="82">
        <v>0</v>
      </c>
      <c r="I41" s="83" t="s">
        <v>1688</v>
      </c>
      <c r="J41" s="7">
        <v>2022</v>
      </c>
      <c r="K41" s="14">
        <v>50</v>
      </c>
      <c r="L41" s="17"/>
      <c r="M41" s="7">
        <v>2022</v>
      </c>
      <c r="N41" s="31">
        <f t="shared" si="2"/>
        <v>66.666666666666671</v>
      </c>
      <c r="O41" s="14"/>
      <c r="P41" s="7">
        <v>2022</v>
      </c>
      <c r="Q41" s="14">
        <v>50</v>
      </c>
      <c r="R41" s="17"/>
      <c r="S41" s="7">
        <v>2022</v>
      </c>
      <c r="T41" s="14">
        <v>50</v>
      </c>
      <c r="U41" s="17"/>
      <c r="V41" s="7">
        <v>2022</v>
      </c>
      <c r="W41" s="14">
        <v>100</v>
      </c>
      <c r="X41" s="17"/>
      <c r="Y41" s="7">
        <v>2022</v>
      </c>
      <c r="Z41" s="14">
        <v>50</v>
      </c>
      <c r="AA41" s="17"/>
      <c r="AB41" s="7">
        <v>2022</v>
      </c>
      <c r="AC41" s="82">
        <v>50</v>
      </c>
      <c r="AD41" s="83"/>
      <c r="AE41" s="7">
        <v>2022</v>
      </c>
      <c r="AF41" s="14">
        <v>67</v>
      </c>
      <c r="AG41" s="14"/>
      <c r="AH41" s="7">
        <v>2022</v>
      </c>
      <c r="AI41" s="84">
        <v>0</v>
      </c>
      <c r="AJ41" s="83"/>
      <c r="AK41" s="7">
        <v>2022</v>
      </c>
      <c r="AL41" s="82">
        <v>100</v>
      </c>
      <c r="AM41" s="86"/>
    </row>
    <row r="42" spans="1:39" ht="24.75" customHeight="1">
      <c r="A42" s="7">
        <v>2023</v>
      </c>
      <c r="B42" s="16">
        <f>AVERAGE(E42,H42,K42,N42,Z42,AC42,AF42)</f>
        <v>50.095238095238095</v>
      </c>
      <c r="C42" s="16"/>
      <c r="D42" s="7">
        <v>2023</v>
      </c>
      <c r="E42" s="14">
        <v>67</v>
      </c>
      <c r="F42" s="17"/>
      <c r="G42" s="7">
        <v>2023</v>
      </c>
      <c r="H42" s="82">
        <v>0</v>
      </c>
      <c r="I42" s="83" t="s">
        <v>1689</v>
      </c>
      <c r="J42" s="7">
        <v>2023</v>
      </c>
      <c r="K42" s="14">
        <v>50</v>
      </c>
      <c r="L42" s="17"/>
      <c r="M42" s="7">
        <v>2023</v>
      </c>
      <c r="N42" s="31">
        <f t="shared" si="2"/>
        <v>66.666666666666671</v>
      </c>
      <c r="O42" s="14"/>
      <c r="P42" s="7">
        <v>2023</v>
      </c>
      <c r="Q42" s="14">
        <v>50</v>
      </c>
      <c r="R42" s="17"/>
      <c r="S42" s="7">
        <v>2023</v>
      </c>
      <c r="T42" s="14">
        <v>50</v>
      </c>
      <c r="U42" s="17"/>
      <c r="V42" s="7">
        <v>2023</v>
      </c>
      <c r="W42" s="14">
        <v>100</v>
      </c>
      <c r="X42" s="17"/>
      <c r="Y42" s="7">
        <v>2023</v>
      </c>
      <c r="Z42" s="14">
        <v>50</v>
      </c>
      <c r="AA42" s="17"/>
      <c r="AB42" s="7">
        <v>2023</v>
      </c>
      <c r="AC42" s="82">
        <v>50</v>
      </c>
      <c r="AD42" s="83"/>
      <c r="AE42" s="7">
        <v>2023</v>
      </c>
      <c r="AF42" s="14">
        <v>67</v>
      </c>
      <c r="AG42" s="14"/>
      <c r="AH42" s="7">
        <v>2023</v>
      </c>
      <c r="AI42" s="84">
        <v>0</v>
      </c>
      <c r="AJ42" s="83"/>
      <c r="AK42" s="7">
        <v>2023</v>
      </c>
      <c r="AL42" s="82">
        <v>100</v>
      </c>
      <c r="AM42" s="86"/>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 t="shared" ref="B51:B54" si="3">AVERAGE(E51,H51,K51,N51,Q51)</f>
        <v>5</v>
      </c>
      <c r="C51" s="16"/>
      <c r="D51" s="7">
        <v>2020</v>
      </c>
      <c r="E51" s="14">
        <v>0</v>
      </c>
      <c r="F51" s="17" t="s">
        <v>1690</v>
      </c>
      <c r="G51" s="7">
        <v>2020</v>
      </c>
      <c r="H51" s="14">
        <v>0</v>
      </c>
      <c r="I51" s="17" t="s">
        <v>1691</v>
      </c>
      <c r="J51" s="7">
        <v>2020</v>
      </c>
      <c r="K51" s="14">
        <v>25</v>
      </c>
      <c r="L51" s="17" t="s">
        <v>1692</v>
      </c>
      <c r="M51" s="7">
        <v>2020</v>
      </c>
      <c r="N51" s="14">
        <v>0</v>
      </c>
      <c r="O51" s="17" t="s">
        <v>1693</v>
      </c>
      <c r="P51" s="7">
        <v>2020</v>
      </c>
      <c r="Q51" s="14">
        <v>0</v>
      </c>
      <c r="R51" s="23" t="s">
        <v>1694</v>
      </c>
    </row>
    <row r="52" spans="1:24" ht="24.75" customHeight="1">
      <c r="A52" s="7">
        <v>2021</v>
      </c>
      <c r="B52" s="15">
        <f t="shared" si="3"/>
        <v>5</v>
      </c>
      <c r="C52" s="15"/>
      <c r="D52" s="7">
        <v>2021</v>
      </c>
      <c r="E52" s="14">
        <v>0</v>
      </c>
      <c r="F52" s="17"/>
      <c r="G52" s="7">
        <v>2021</v>
      </c>
      <c r="H52" s="14">
        <v>0</v>
      </c>
      <c r="I52" s="17"/>
      <c r="J52" s="7">
        <v>2021</v>
      </c>
      <c r="K52" s="14">
        <v>25</v>
      </c>
      <c r="L52" s="17"/>
      <c r="M52" s="7">
        <v>2021</v>
      </c>
      <c r="N52" s="14">
        <v>0</v>
      </c>
      <c r="O52" s="17"/>
      <c r="P52" s="7">
        <v>2021</v>
      </c>
      <c r="Q52" s="14">
        <v>0</v>
      </c>
      <c r="R52" s="23"/>
    </row>
    <row r="53" spans="1:24" ht="24.75" customHeight="1">
      <c r="A53" s="7">
        <v>2022</v>
      </c>
      <c r="B53" s="15">
        <f t="shared" si="3"/>
        <v>5</v>
      </c>
      <c r="C53" s="15"/>
      <c r="D53" s="7">
        <v>2022</v>
      </c>
      <c r="E53" s="14">
        <v>0</v>
      </c>
      <c r="F53" s="17"/>
      <c r="G53" s="7">
        <v>2022</v>
      </c>
      <c r="H53" s="14">
        <v>0</v>
      </c>
      <c r="I53" s="17"/>
      <c r="J53" s="7">
        <v>2022</v>
      </c>
      <c r="K53" s="14">
        <v>25</v>
      </c>
      <c r="L53" s="17"/>
      <c r="M53" s="7">
        <v>2022</v>
      </c>
      <c r="N53" s="14">
        <v>0</v>
      </c>
      <c r="O53" s="17"/>
      <c r="P53" s="7">
        <v>2022</v>
      </c>
      <c r="Q53" s="14">
        <v>0</v>
      </c>
      <c r="R53" s="23"/>
    </row>
    <row r="54" spans="1:24" ht="24.75" customHeight="1">
      <c r="A54" s="7">
        <v>2023</v>
      </c>
      <c r="B54" s="15">
        <f t="shared" si="3"/>
        <v>5</v>
      </c>
      <c r="C54" s="15"/>
      <c r="D54" s="7">
        <v>2023</v>
      </c>
      <c r="E54" s="14">
        <v>0</v>
      </c>
      <c r="F54" s="17"/>
      <c r="G54" s="7">
        <v>2023</v>
      </c>
      <c r="H54" s="14">
        <v>0</v>
      </c>
      <c r="I54" s="17"/>
      <c r="J54" s="7">
        <v>2023</v>
      </c>
      <c r="K54" s="14">
        <v>25</v>
      </c>
      <c r="L54" s="17"/>
      <c r="M54" s="7">
        <v>2023</v>
      </c>
      <c r="N54" s="14">
        <v>0</v>
      </c>
      <c r="O54" s="17"/>
      <c r="P54" s="7">
        <v>2023</v>
      </c>
      <c r="Q54" s="14">
        <v>0</v>
      </c>
      <c r="R54" s="2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 t="shared" ref="B63:B66" si="4">AVERAGE(E63,((H63+K63)/2),((N63+Q63+T63)/3),W63)</f>
        <v>56.25</v>
      </c>
      <c r="C63" s="16"/>
      <c r="D63" s="7">
        <v>2020</v>
      </c>
      <c r="E63" s="21">
        <v>50</v>
      </c>
      <c r="F63" s="17" t="s">
        <v>1695</v>
      </c>
      <c r="G63" s="7">
        <v>2020</v>
      </c>
      <c r="H63" s="14">
        <v>0</v>
      </c>
      <c r="I63" s="17" t="s">
        <v>1696</v>
      </c>
      <c r="J63" s="7">
        <v>2020</v>
      </c>
      <c r="K63" s="73">
        <v>50</v>
      </c>
      <c r="L63" s="81" t="s">
        <v>1697</v>
      </c>
      <c r="M63" s="7">
        <v>2020</v>
      </c>
      <c r="N63" s="14">
        <v>50</v>
      </c>
      <c r="O63" s="17" t="s">
        <v>1698</v>
      </c>
      <c r="P63" s="7">
        <v>2020</v>
      </c>
      <c r="Q63" s="82">
        <v>100</v>
      </c>
      <c r="R63" s="83" t="s">
        <v>1699</v>
      </c>
      <c r="S63" s="7">
        <v>2020</v>
      </c>
      <c r="T63" s="14">
        <v>0</v>
      </c>
      <c r="U63" s="17" t="s">
        <v>1700</v>
      </c>
      <c r="V63" s="7">
        <v>2020</v>
      </c>
      <c r="W63" s="14">
        <v>100</v>
      </c>
      <c r="X63" s="23" t="s">
        <v>1701</v>
      </c>
    </row>
    <row r="64" spans="1:24" ht="24.75" customHeight="1">
      <c r="A64" s="7">
        <v>2021</v>
      </c>
      <c r="B64" s="15">
        <f t="shared" si="4"/>
        <v>56.25</v>
      </c>
      <c r="C64" s="15"/>
      <c r="D64" s="7">
        <v>2021</v>
      </c>
      <c r="E64" s="21">
        <v>50</v>
      </c>
      <c r="F64" s="17"/>
      <c r="G64" s="7">
        <v>2021</v>
      </c>
      <c r="H64" s="14">
        <v>0</v>
      </c>
      <c r="I64" s="17"/>
      <c r="J64" s="7">
        <v>2021</v>
      </c>
      <c r="K64" s="73">
        <v>50</v>
      </c>
      <c r="L64" s="17"/>
      <c r="M64" s="7">
        <v>2021</v>
      </c>
      <c r="N64" s="14">
        <v>50</v>
      </c>
      <c r="O64" s="17"/>
      <c r="P64" s="7">
        <v>2021</v>
      </c>
      <c r="Q64" s="82">
        <v>100</v>
      </c>
      <c r="R64" s="83" t="s">
        <v>1702</v>
      </c>
      <c r="S64" s="7">
        <v>2021</v>
      </c>
      <c r="T64" s="14">
        <v>0</v>
      </c>
      <c r="U64" s="17"/>
      <c r="V64" s="7">
        <v>2021</v>
      </c>
      <c r="W64" s="14">
        <v>100</v>
      </c>
      <c r="X64" s="23"/>
    </row>
    <row r="65" spans="1:33" ht="24.75" customHeight="1">
      <c r="A65" s="7">
        <v>2022</v>
      </c>
      <c r="B65" s="15">
        <f t="shared" si="4"/>
        <v>56.25</v>
      </c>
      <c r="C65" s="15"/>
      <c r="D65" s="7">
        <v>2022</v>
      </c>
      <c r="E65" s="21">
        <v>50</v>
      </c>
      <c r="F65" s="17"/>
      <c r="G65" s="7">
        <v>2022</v>
      </c>
      <c r="H65" s="14">
        <v>0</v>
      </c>
      <c r="I65" s="17"/>
      <c r="J65" s="7">
        <v>2022</v>
      </c>
      <c r="K65" s="73">
        <v>50</v>
      </c>
      <c r="L65" s="17"/>
      <c r="M65" s="7">
        <v>2022</v>
      </c>
      <c r="N65" s="14">
        <v>50</v>
      </c>
      <c r="O65" s="17"/>
      <c r="P65" s="7">
        <v>2022</v>
      </c>
      <c r="Q65" s="82">
        <v>100</v>
      </c>
      <c r="R65" s="83"/>
      <c r="S65" s="7">
        <v>2022</v>
      </c>
      <c r="T65" s="14">
        <v>0</v>
      </c>
      <c r="U65" s="17"/>
      <c r="V65" s="7">
        <v>2022</v>
      </c>
      <c r="W65" s="14">
        <v>100</v>
      </c>
      <c r="X65" s="23"/>
    </row>
    <row r="66" spans="1:33" ht="24.75" customHeight="1">
      <c r="A66" s="7">
        <v>2023</v>
      </c>
      <c r="B66" s="15">
        <f t="shared" si="4"/>
        <v>56.25</v>
      </c>
      <c r="C66" s="15"/>
      <c r="D66" s="7">
        <v>2023</v>
      </c>
      <c r="E66" s="21">
        <v>50</v>
      </c>
      <c r="F66" s="17"/>
      <c r="G66" s="7">
        <v>2023</v>
      </c>
      <c r="H66" s="14">
        <v>0</v>
      </c>
      <c r="I66" s="17"/>
      <c r="J66" s="7">
        <v>2023</v>
      </c>
      <c r="K66" s="73">
        <v>50</v>
      </c>
      <c r="L66" s="17"/>
      <c r="M66" s="7">
        <v>2023</v>
      </c>
      <c r="N66" s="14">
        <v>50</v>
      </c>
      <c r="O66" s="17"/>
      <c r="P66" s="7">
        <v>2023</v>
      </c>
      <c r="Q66" s="82">
        <v>100</v>
      </c>
      <c r="R66" s="83"/>
      <c r="S66" s="7">
        <v>2023</v>
      </c>
      <c r="T66" s="14">
        <v>0</v>
      </c>
      <c r="U66" s="17"/>
      <c r="V66" s="7">
        <v>2023</v>
      </c>
      <c r="W66" s="14">
        <v>100</v>
      </c>
      <c r="X66" s="23"/>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5">AVERAGE(E75,H75,K75,Z75)</f>
        <v>37.5</v>
      </c>
      <c r="C75" s="15"/>
      <c r="D75" s="7">
        <v>2020</v>
      </c>
      <c r="E75" s="14">
        <v>50</v>
      </c>
      <c r="F75" s="17" t="s">
        <v>1703</v>
      </c>
      <c r="G75" s="7">
        <v>2020</v>
      </c>
      <c r="H75" s="14">
        <v>0</v>
      </c>
      <c r="I75" s="17" t="s">
        <v>1704</v>
      </c>
      <c r="J75" s="7">
        <v>2020</v>
      </c>
      <c r="K75" s="31">
        <f>AVERAGE(N75,Q75,T75,W75)</f>
        <v>0</v>
      </c>
      <c r="L75" s="14"/>
      <c r="M75" s="7">
        <v>2020</v>
      </c>
      <c r="N75" s="21">
        <v>0</v>
      </c>
      <c r="O75" s="81" t="s">
        <v>1705</v>
      </c>
      <c r="P75" s="7">
        <v>2020</v>
      </c>
      <c r="Q75" s="73">
        <v>0</v>
      </c>
      <c r="R75" s="81" t="s">
        <v>1706</v>
      </c>
      <c r="S75" s="7">
        <v>2020</v>
      </c>
      <c r="T75" s="73">
        <v>0</v>
      </c>
      <c r="U75" s="81" t="s">
        <v>1707</v>
      </c>
      <c r="V75" s="7">
        <v>2020</v>
      </c>
      <c r="W75" s="230">
        <v>0</v>
      </c>
      <c r="X75" s="231" t="s">
        <v>1708</v>
      </c>
      <c r="Y75" s="7">
        <v>2020</v>
      </c>
      <c r="Z75" s="14">
        <v>100</v>
      </c>
      <c r="AA75" s="23" t="s">
        <v>1709</v>
      </c>
    </row>
    <row r="76" spans="1:33" ht="24.75" customHeight="1">
      <c r="A76" s="7">
        <v>2021</v>
      </c>
      <c r="B76" s="15">
        <f t="shared" si="5"/>
        <v>37.5</v>
      </c>
      <c r="C76" s="15"/>
      <c r="D76" s="7">
        <v>2021</v>
      </c>
      <c r="E76" s="14">
        <v>50</v>
      </c>
      <c r="F76" s="17"/>
      <c r="G76" s="7">
        <v>2021</v>
      </c>
      <c r="H76" s="14">
        <v>0</v>
      </c>
      <c r="I76" s="17"/>
      <c r="J76" s="7">
        <v>2021</v>
      </c>
      <c r="K76" s="31">
        <f t="shared" ref="K76:K78" si="6">AVERAGE(N76,Q76,T76,W76)</f>
        <v>0</v>
      </c>
      <c r="L76" s="14"/>
      <c r="M76" s="7">
        <v>2021</v>
      </c>
      <c r="N76" s="21">
        <v>0</v>
      </c>
      <c r="O76" s="17"/>
      <c r="P76" s="7">
        <v>2021</v>
      </c>
      <c r="Q76" s="73">
        <v>0</v>
      </c>
      <c r="R76" s="17"/>
      <c r="S76" s="7">
        <v>2021</v>
      </c>
      <c r="T76" s="73">
        <v>0</v>
      </c>
      <c r="U76" s="17"/>
      <c r="V76" s="7">
        <v>2021</v>
      </c>
      <c r="W76" s="230">
        <v>0</v>
      </c>
      <c r="X76" s="83"/>
      <c r="Y76" s="7">
        <v>2021</v>
      </c>
      <c r="Z76" s="14">
        <v>100</v>
      </c>
      <c r="AA76" s="23"/>
    </row>
    <row r="77" spans="1:33" ht="24.75" customHeight="1">
      <c r="A77" s="7">
        <v>2022</v>
      </c>
      <c r="B77" s="15">
        <f t="shared" si="5"/>
        <v>37.5</v>
      </c>
      <c r="C77" s="15"/>
      <c r="D77" s="7">
        <v>2022</v>
      </c>
      <c r="E77" s="14">
        <v>50</v>
      </c>
      <c r="F77" s="17"/>
      <c r="G77" s="7">
        <v>2022</v>
      </c>
      <c r="H77" s="14">
        <v>0</v>
      </c>
      <c r="I77" s="17"/>
      <c r="J77" s="7">
        <v>2022</v>
      </c>
      <c r="K77" s="31">
        <f>AVERAGE(N77,Q77,T77,W77)</f>
        <v>0</v>
      </c>
      <c r="L77" s="14"/>
      <c r="M77" s="7">
        <v>2022</v>
      </c>
      <c r="N77" s="21">
        <v>0</v>
      </c>
      <c r="O77" s="17"/>
      <c r="P77" s="7">
        <v>2022</v>
      </c>
      <c r="Q77" s="73">
        <v>0</v>
      </c>
      <c r="R77" s="17"/>
      <c r="S77" s="7">
        <v>2022</v>
      </c>
      <c r="T77" s="73">
        <v>0</v>
      </c>
      <c r="U77" s="17"/>
      <c r="V77" s="7">
        <v>2022</v>
      </c>
      <c r="W77" s="230">
        <v>0</v>
      </c>
      <c r="X77" s="83"/>
      <c r="Y77" s="7">
        <v>2022</v>
      </c>
      <c r="Z77" s="14">
        <v>100</v>
      </c>
      <c r="AA77" s="23"/>
    </row>
    <row r="78" spans="1:33" ht="24.75" customHeight="1">
      <c r="A78" s="7">
        <v>2023</v>
      </c>
      <c r="B78" s="15">
        <f t="shared" si="5"/>
        <v>37.5</v>
      </c>
      <c r="C78" s="15"/>
      <c r="D78" s="7">
        <v>2023</v>
      </c>
      <c r="E78" s="14">
        <v>50</v>
      </c>
      <c r="F78" s="17"/>
      <c r="G78" s="7">
        <v>2023</v>
      </c>
      <c r="H78" s="14">
        <v>0</v>
      </c>
      <c r="I78" s="17"/>
      <c r="J78" s="7">
        <v>2023</v>
      </c>
      <c r="K78" s="31">
        <f t="shared" si="6"/>
        <v>0</v>
      </c>
      <c r="L78" s="14"/>
      <c r="M78" s="7">
        <v>2023</v>
      </c>
      <c r="N78" s="21">
        <v>0</v>
      </c>
      <c r="O78" s="17"/>
      <c r="P78" s="7">
        <v>2023</v>
      </c>
      <c r="Q78" s="73">
        <v>0</v>
      </c>
      <c r="R78" s="17"/>
      <c r="S78" s="7">
        <v>2023</v>
      </c>
      <c r="T78" s="73">
        <v>0</v>
      </c>
      <c r="U78" s="17"/>
      <c r="V78" s="7">
        <v>2023</v>
      </c>
      <c r="W78" s="230">
        <v>0</v>
      </c>
      <c r="X78" s="83"/>
      <c r="Y78" s="7">
        <v>2023</v>
      </c>
      <c r="Z78" s="14">
        <v>100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4.75" customHeight="1">
      <c r="A87" s="7">
        <v>2020</v>
      </c>
      <c r="B87" s="15">
        <f>AVERAGE(E87,H87, W87,((Z87+AC87+AF87)/3))</f>
        <v>100</v>
      </c>
      <c r="C87" s="15"/>
      <c r="D87" s="7">
        <v>2020</v>
      </c>
      <c r="E87" s="21">
        <v>100</v>
      </c>
      <c r="F87" s="17" t="s">
        <v>1710</v>
      </c>
      <c r="G87" s="7">
        <v>2020</v>
      </c>
      <c r="H87" s="31">
        <f t="shared" ref="H87:H90" si="7">AVERAGE(K87,N87,Q87,T87)</f>
        <v>100</v>
      </c>
      <c r="I87" s="14"/>
      <c r="J87" s="7">
        <v>2020</v>
      </c>
      <c r="K87" s="21">
        <v>100</v>
      </c>
      <c r="L87" s="17" t="s">
        <v>1710</v>
      </c>
      <c r="M87" s="7">
        <v>2020</v>
      </c>
      <c r="N87" s="21">
        <v>100</v>
      </c>
      <c r="O87" s="17" t="s">
        <v>1710</v>
      </c>
      <c r="P87" s="7">
        <v>2020</v>
      </c>
      <c r="Q87" s="21">
        <v>100</v>
      </c>
      <c r="R87" s="17" t="s">
        <v>1710</v>
      </c>
      <c r="S87" s="7">
        <v>2020</v>
      </c>
      <c r="T87" s="21">
        <v>100</v>
      </c>
      <c r="U87" s="17" t="s">
        <v>1710</v>
      </c>
      <c r="V87" s="7">
        <v>2020</v>
      </c>
      <c r="W87" s="21">
        <v>100</v>
      </c>
      <c r="X87" s="17" t="s">
        <v>1711</v>
      </c>
      <c r="Y87" s="7">
        <v>2020</v>
      </c>
      <c r="Z87" s="21">
        <v>100</v>
      </c>
      <c r="AA87" s="17" t="s">
        <v>1710</v>
      </c>
      <c r="AB87" s="7">
        <v>2020</v>
      </c>
      <c r="AC87" s="14">
        <v>100</v>
      </c>
      <c r="AD87" s="17" t="s">
        <v>1712</v>
      </c>
      <c r="AE87" s="7">
        <v>2020</v>
      </c>
      <c r="AF87" s="82">
        <v>100</v>
      </c>
      <c r="AG87" s="86" t="s">
        <v>1713</v>
      </c>
    </row>
    <row r="88" spans="1:51" ht="24.75" customHeight="1">
      <c r="A88" s="7">
        <v>2021</v>
      </c>
      <c r="B88" s="15">
        <f>AVERAGE(E88,H88, W88,((Z88+AC88+AF88)/3))</f>
        <v>100</v>
      </c>
      <c r="C88" s="15"/>
      <c r="D88" s="7">
        <v>2021</v>
      </c>
      <c r="E88" s="21">
        <v>100</v>
      </c>
      <c r="F88" s="17"/>
      <c r="G88" s="7">
        <v>2021</v>
      </c>
      <c r="H88" s="31">
        <f t="shared" si="7"/>
        <v>100</v>
      </c>
      <c r="I88" s="14"/>
      <c r="J88" s="7">
        <v>2021</v>
      </c>
      <c r="K88" s="21">
        <v>100</v>
      </c>
      <c r="L88" s="17"/>
      <c r="M88" s="7">
        <v>2021</v>
      </c>
      <c r="N88" s="21">
        <v>100</v>
      </c>
      <c r="O88" s="17"/>
      <c r="P88" s="7">
        <v>2021</v>
      </c>
      <c r="Q88" s="21">
        <v>100</v>
      </c>
      <c r="R88" s="17"/>
      <c r="S88" s="7">
        <v>2021</v>
      </c>
      <c r="T88" s="21">
        <v>100</v>
      </c>
      <c r="U88" s="17"/>
      <c r="V88" s="7">
        <v>2021</v>
      </c>
      <c r="W88" s="21">
        <v>100</v>
      </c>
      <c r="X88" s="17"/>
      <c r="Y88" s="7">
        <v>2021</v>
      </c>
      <c r="Z88" s="21">
        <v>100</v>
      </c>
      <c r="AA88" s="17"/>
      <c r="AB88" s="7">
        <v>2021</v>
      </c>
      <c r="AC88" s="14">
        <v>100</v>
      </c>
      <c r="AD88" s="17"/>
      <c r="AE88" s="7">
        <v>2021</v>
      </c>
      <c r="AF88" s="82">
        <v>100</v>
      </c>
      <c r="AG88" s="86"/>
    </row>
    <row r="89" spans="1:51" ht="24.75" customHeight="1">
      <c r="A89" s="7">
        <v>2022</v>
      </c>
      <c r="B89" s="15">
        <f>AVERAGE(E89,H89, W89,((Z89+AC89+AF89)/3))</f>
        <v>100</v>
      </c>
      <c r="C89" s="15"/>
      <c r="D89" s="7">
        <v>2022</v>
      </c>
      <c r="E89" s="21">
        <v>100</v>
      </c>
      <c r="F89" s="17"/>
      <c r="G89" s="7">
        <v>2022</v>
      </c>
      <c r="H89" s="31">
        <f t="shared" si="7"/>
        <v>100</v>
      </c>
      <c r="I89" s="14"/>
      <c r="J89" s="7">
        <v>2022</v>
      </c>
      <c r="K89" s="21">
        <v>100</v>
      </c>
      <c r="L89" s="17"/>
      <c r="M89" s="7">
        <v>2022</v>
      </c>
      <c r="N89" s="21">
        <v>100</v>
      </c>
      <c r="O89" s="17"/>
      <c r="P89" s="7">
        <v>2022</v>
      </c>
      <c r="Q89" s="21">
        <v>100</v>
      </c>
      <c r="R89" s="17"/>
      <c r="S89" s="7">
        <v>2022</v>
      </c>
      <c r="T89" s="21">
        <v>100</v>
      </c>
      <c r="U89" s="17"/>
      <c r="V89" s="7">
        <v>2022</v>
      </c>
      <c r="W89" s="21">
        <v>100</v>
      </c>
      <c r="X89" s="17"/>
      <c r="Y89" s="7">
        <v>2022</v>
      </c>
      <c r="Z89" s="21">
        <v>100</v>
      </c>
      <c r="AA89" s="17"/>
      <c r="AB89" s="7">
        <v>2022</v>
      </c>
      <c r="AC89" s="14">
        <v>100</v>
      </c>
      <c r="AD89" s="17"/>
      <c r="AE89" s="7">
        <v>2022</v>
      </c>
      <c r="AF89" s="82">
        <v>100</v>
      </c>
      <c r="AG89" s="86"/>
    </row>
    <row r="90" spans="1:51" ht="24.75" customHeight="1">
      <c r="A90" s="7">
        <v>2023</v>
      </c>
      <c r="B90" s="15">
        <f>AVERAGE(E90,H90, W90,((Z90+AC90+AF90)/3))</f>
        <v>100</v>
      </c>
      <c r="C90" s="15"/>
      <c r="D90" s="7">
        <v>2023</v>
      </c>
      <c r="E90" s="21">
        <v>100</v>
      </c>
      <c r="F90" s="17"/>
      <c r="G90" s="7">
        <v>2023</v>
      </c>
      <c r="H90" s="31">
        <f t="shared" si="7"/>
        <v>100</v>
      </c>
      <c r="I90" s="14"/>
      <c r="J90" s="7">
        <v>2023</v>
      </c>
      <c r="K90" s="21">
        <v>100</v>
      </c>
      <c r="L90" s="17"/>
      <c r="M90" s="7">
        <v>2023</v>
      </c>
      <c r="N90" s="21">
        <v>100</v>
      </c>
      <c r="O90" s="17"/>
      <c r="P90" s="7">
        <v>2023</v>
      </c>
      <c r="Q90" s="21">
        <v>100</v>
      </c>
      <c r="R90" s="17"/>
      <c r="S90" s="7">
        <v>2023</v>
      </c>
      <c r="T90" s="21">
        <v>100</v>
      </c>
      <c r="U90" s="17"/>
      <c r="V90" s="7">
        <v>2023</v>
      </c>
      <c r="W90" s="21">
        <v>100</v>
      </c>
      <c r="X90" s="17"/>
      <c r="Y90" s="7">
        <v>2023</v>
      </c>
      <c r="Z90" s="21">
        <v>100</v>
      </c>
      <c r="AA90" s="17"/>
      <c r="AB90" s="7">
        <v>2023</v>
      </c>
      <c r="AC90" s="14">
        <v>100</v>
      </c>
      <c r="AD90" s="17"/>
      <c r="AE90" s="7">
        <v>2023</v>
      </c>
      <c r="AF90" s="82">
        <v>100</v>
      </c>
      <c r="AG90" s="86"/>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48</v>
      </c>
      <c r="C99" s="43"/>
      <c r="D99" s="27">
        <v>2020</v>
      </c>
      <c r="E99" s="82">
        <v>50</v>
      </c>
      <c r="F99" s="86" t="s">
        <v>1714</v>
      </c>
      <c r="G99" s="7">
        <v>2020</v>
      </c>
      <c r="H99" s="129">
        <v>100</v>
      </c>
      <c r="I99" s="86" t="s">
        <v>1715</v>
      </c>
      <c r="J99" s="27">
        <v>2020</v>
      </c>
      <c r="K99" s="74">
        <v>100</v>
      </c>
      <c r="L99" s="23" t="s">
        <v>1716</v>
      </c>
      <c r="M99" s="7">
        <v>2020</v>
      </c>
      <c r="N99" s="21">
        <v>100</v>
      </c>
      <c r="O99" s="23" t="s">
        <v>1595</v>
      </c>
      <c r="P99" s="27">
        <v>2020</v>
      </c>
      <c r="Q99" s="82">
        <v>100</v>
      </c>
      <c r="R99" s="86" t="s">
        <v>1717</v>
      </c>
      <c r="S99" s="7">
        <v>2020</v>
      </c>
      <c r="T99" s="21">
        <v>0</v>
      </c>
      <c r="U99" s="23" t="s">
        <v>1718</v>
      </c>
      <c r="V99" s="7">
        <v>2020</v>
      </c>
      <c r="W99" s="14">
        <v>67</v>
      </c>
      <c r="X99" s="23" t="s">
        <v>1719</v>
      </c>
      <c r="Y99" s="7">
        <v>2020</v>
      </c>
      <c r="Z99" s="14">
        <v>67</v>
      </c>
      <c r="AA99" s="23" t="s">
        <v>1719</v>
      </c>
      <c r="AB99" s="7">
        <v>2020</v>
      </c>
      <c r="AC99" s="21">
        <v>0</v>
      </c>
      <c r="AD99" s="23" t="s">
        <v>1407</v>
      </c>
      <c r="AE99" s="7">
        <v>2020</v>
      </c>
      <c r="AF99" s="14">
        <v>50</v>
      </c>
      <c r="AG99" s="23" t="s">
        <v>1352</v>
      </c>
      <c r="AH99" s="7">
        <v>2020</v>
      </c>
      <c r="AI99" s="21">
        <v>50</v>
      </c>
      <c r="AJ99" s="23" t="s">
        <v>1720</v>
      </c>
      <c r="AK99" s="7">
        <v>2020</v>
      </c>
      <c r="AL99" s="21">
        <v>0</v>
      </c>
      <c r="AM99" s="23" t="s">
        <v>1721</v>
      </c>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48</v>
      </c>
      <c r="C100" s="49"/>
      <c r="D100" s="27">
        <v>2021</v>
      </c>
      <c r="E100" s="82">
        <v>50</v>
      </c>
      <c r="F100" s="86"/>
      <c r="G100" s="7">
        <v>2021</v>
      </c>
      <c r="H100" s="129">
        <v>100</v>
      </c>
      <c r="I100" s="86"/>
      <c r="J100" s="27">
        <v>2021</v>
      </c>
      <c r="K100" s="74">
        <v>100</v>
      </c>
      <c r="L100" s="23"/>
      <c r="M100" s="7">
        <v>2021</v>
      </c>
      <c r="N100" s="21">
        <v>100</v>
      </c>
      <c r="O100" s="23"/>
      <c r="P100" s="27">
        <v>2021</v>
      </c>
      <c r="Q100" s="82">
        <v>100</v>
      </c>
      <c r="R100" s="86"/>
      <c r="S100" s="7">
        <v>2021</v>
      </c>
      <c r="T100" s="21">
        <v>0</v>
      </c>
      <c r="U100" s="23"/>
      <c r="V100" s="7">
        <v>2021</v>
      </c>
      <c r="W100" s="14">
        <v>67</v>
      </c>
      <c r="X100" s="23"/>
      <c r="Y100" s="7">
        <v>2021</v>
      </c>
      <c r="Z100" s="14">
        <v>67</v>
      </c>
      <c r="AA100" s="23"/>
      <c r="AB100" s="7">
        <v>2021</v>
      </c>
      <c r="AC100" s="21">
        <v>0</v>
      </c>
      <c r="AD100" s="23"/>
      <c r="AE100" s="7">
        <v>2021</v>
      </c>
      <c r="AF100" s="14">
        <v>50</v>
      </c>
      <c r="AG100" s="23"/>
      <c r="AH100" s="7">
        <v>2021</v>
      </c>
      <c r="AI100" s="21">
        <v>50</v>
      </c>
      <c r="AJ100" s="23"/>
      <c r="AK100" s="7">
        <v>2021</v>
      </c>
      <c r="AL100" s="21">
        <v>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54.25</v>
      </c>
      <c r="C101" s="49"/>
      <c r="D101" s="27">
        <v>2022</v>
      </c>
      <c r="E101" s="82">
        <v>50</v>
      </c>
      <c r="F101" s="86" t="s">
        <v>1722</v>
      </c>
      <c r="G101" s="27">
        <v>2022</v>
      </c>
      <c r="H101" s="129">
        <v>100</v>
      </c>
      <c r="I101" s="86" t="s">
        <v>1722</v>
      </c>
      <c r="J101" s="27">
        <v>2022</v>
      </c>
      <c r="K101" s="74">
        <v>100</v>
      </c>
      <c r="L101" s="23"/>
      <c r="M101" s="27">
        <v>2022</v>
      </c>
      <c r="N101" s="21">
        <v>100</v>
      </c>
      <c r="O101" s="23"/>
      <c r="P101" s="27">
        <v>2022</v>
      </c>
      <c r="Q101" s="82">
        <v>100</v>
      </c>
      <c r="R101" s="86" t="s">
        <v>1723</v>
      </c>
      <c r="S101" s="27">
        <v>2022</v>
      </c>
      <c r="T101" s="21">
        <v>0</v>
      </c>
      <c r="U101" s="23"/>
      <c r="V101" s="27">
        <v>2022</v>
      </c>
      <c r="W101" s="14">
        <v>67</v>
      </c>
      <c r="X101" s="23"/>
      <c r="Y101" s="27">
        <v>2022</v>
      </c>
      <c r="Z101" s="14">
        <v>67</v>
      </c>
      <c r="AA101" s="23"/>
      <c r="AB101" s="27">
        <v>2022</v>
      </c>
      <c r="AC101" s="21">
        <v>0</v>
      </c>
      <c r="AD101" s="23"/>
      <c r="AE101" s="27">
        <v>2022</v>
      </c>
      <c r="AF101" s="135">
        <v>100</v>
      </c>
      <c r="AG101" s="232" t="s">
        <v>1724</v>
      </c>
      <c r="AH101" s="27">
        <v>2022</v>
      </c>
      <c r="AI101" s="21">
        <v>50</v>
      </c>
      <c r="AJ101" s="23"/>
      <c r="AK101" s="27">
        <v>2022</v>
      </c>
      <c r="AL101" s="21">
        <v>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54.25</v>
      </c>
      <c r="C102" s="49"/>
      <c r="D102" s="27">
        <v>2023</v>
      </c>
      <c r="E102" s="82">
        <v>50</v>
      </c>
      <c r="F102" s="86"/>
      <c r="G102" s="27">
        <v>2023</v>
      </c>
      <c r="H102" s="129">
        <v>100</v>
      </c>
      <c r="I102" s="86"/>
      <c r="J102" s="27">
        <v>2023</v>
      </c>
      <c r="K102" s="74">
        <v>100</v>
      </c>
      <c r="L102" s="23"/>
      <c r="M102" s="27">
        <v>2023</v>
      </c>
      <c r="N102" s="21">
        <v>100</v>
      </c>
      <c r="O102" s="23"/>
      <c r="P102" s="27">
        <v>2023</v>
      </c>
      <c r="Q102" s="82">
        <v>100</v>
      </c>
      <c r="R102" s="86"/>
      <c r="S102" s="27">
        <v>2023</v>
      </c>
      <c r="T102" s="21">
        <v>0</v>
      </c>
      <c r="U102" s="23"/>
      <c r="V102" s="27">
        <v>2023</v>
      </c>
      <c r="W102" s="14">
        <v>67</v>
      </c>
      <c r="X102" s="23"/>
      <c r="Y102" s="27">
        <v>2023</v>
      </c>
      <c r="Z102" s="14">
        <v>67</v>
      </c>
      <c r="AA102" s="23"/>
      <c r="AB102" s="27">
        <v>2023</v>
      </c>
      <c r="AC102" s="21">
        <v>0</v>
      </c>
      <c r="AD102" s="23"/>
      <c r="AE102" s="27">
        <v>2023</v>
      </c>
      <c r="AF102" s="135">
        <v>100</v>
      </c>
      <c r="AG102" s="232"/>
      <c r="AH102" s="27">
        <v>2023</v>
      </c>
      <c r="AI102" s="21">
        <v>50</v>
      </c>
      <c r="AJ102" s="23"/>
      <c r="AK102" s="27">
        <v>2023</v>
      </c>
      <c r="AL102" s="21">
        <v>0</v>
      </c>
      <c r="AM102" s="23"/>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72BCA-FE12-4EDF-938C-3BC6947CF2C5}">
  <dimension ref="A1:CC103"/>
  <sheetViews>
    <sheetView topLeftCell="AC94" zoomScale="87" zoomScaleNormal="118" workbookViewId="0">
      <selection activeCell="AJ100" sqref="AJ100"/>
    </sheetView>
  </sheetViews>
  <sheetFormatPr defaultColWidth="8.90625" defaultRowHeight="15" customHeight="1"/>
  <cols>
    <col min="1" max="1" width="17.453125" style="1" customWidth="1"/>
    <col min="2" max="2" width="13.45312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35.6328125" style="1" customWidth="1"/>
    <col min="10" max="10" width="17.453125" style="1" customWidth="1"/>
    <col min="11" max="11" width="13.453125" style="1" customWidth="1"/>
    <col min="12" max="12" width="35.3632812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32.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9"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37.632812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31.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38.90625" style="1" customWidth="1"/>
    <col min="52" max="52" width="41.90625" style="1" customWidth="1"/>
    <col min="53" max="16384" width="8.90625" style="1"/>
  </cols>
  <sheetData>
    <row r="1" spans="1:81" ht="15" customHeight="1">
      <c r="A1" s="323" t="s">
        <v>0</v>
      </c>
      <c r="B1" s="323"/>
      <c r="C1" s="323"/>
      <c r="D1" s="323"/>
    </row>
    <row r="2" spans="1:81" ht="51" customHeight="1">
      <c r="A2" s="2" t="s">
        <v>1</v>
      </c>
      <c r="B2" s="2" t="s">
        <v>2</v>
      </c>
      <c r="C2" s="2" t="s">
        <v>3</v>
      </c>
      <c r="D2" s="2" t="s">
        <v>4</v>
      </c>
    </row>
    <row r="3" spans="1:81" ht="15" customHeight="1">
      <c r="A3" s="3">
        <v>2020</v>
      </c>
      <c r="B3" s="4">
        <f>AVERAGE(B15,B27,B39,B51,B63,B75,B87,B99)</f>
        <v>36.849454365079367</v>
      </c>
      <c r="C3" s="4">
        <f>AVERAGE(B15,B27,B39,B51,B63,B75,B87)</f>
        <v>37.042233560090708</v>
      </c>
      <c r="D3" s="4">
        <f>AVERAGE(B15,B27,B51,B63,B75,B87)</f>
        <v>42.025462962962962</v>
      </c>
    </row>
    <row r="4" spans="1:81" ht="15" customHeight="1">
      <c r="A4" s="3">
        <v>2021</v>
      </c>
      <c r="B4" s="4">
        <f t="shared" ref="B4:B6" si="0">AVERAGE(B16,B28,B40,B52,B64,B76,B88,B100)</f>
        <v>38.039930555555557</v>
      </c>
      <c r="C4" s="4">
        <f>AVERAGE(B16,B28,B40,B52,B64,B76,B88)</f>
        <v>38.402777777777779</v>
      </c>
      <c r="D4" s="4">
        <f t="shared" ref="D4:D6" si="1">AVERAGE(B16,B28,B52,B64,B76,B88)</f>
        <v>42.025462962962962</v>
      </c>
    </row>
    <row r="5" spans="1:81" ht="15" customHeight="1">
      <c r="A5" s="3">
        <v>2022</v>
      </c>
      <c r="B5" s="4">
        <f t="shared" si="0"/>
        <v>38.932787698412696</v>
      </c>
      <c r="C5" s="4">
        <f>AVERAGE(B17,B29,B41,B53,B65,B77,B89)</f>
        <v>39.42318594104308</v>
      </c>
      <c r="D5" s="4">
        <f t="shared" si="1"/>
        <v>42.025462962962962</v>
      </c>
    </row>
    <row r="6" spans="1:81" ht="15" customHeight="1">
      <c r="A6" s="3">
        <v>2023</v>
      </c>
      <c r="B6" s="4">
        <f t="shared" si="0"/>
        <v>39.230406746031747</v>
      </c>
      <c r="C6" s="4">
        <f>AVERAGE(B18,B30,B42,B54,B66,B78,B90)</f>
        <v>39.763321995464857</v>
      </c>
      <c r="D6" s="4">
        <f t="shared" si="1"/>
        <v>42.025462962962962</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49.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51"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84.9"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7.65" customHeight="1">
      <c r="A15" s="7">
        <v>2020</v>
      </c>
      <c r="B15" s="15">
        <f>AVERAGE(E15, H15,K15,N15,Q15,T15,W15,Z15,AC15)</f>
        <v>16.666666666666668</v>
      </c>
      <c r="C15" s="16"/>
      <c r="D15" s="7">
        <v>2020</v>
      </c>
      <c r="E15" s="14">
        <v>0</v>
      </c>
      <c r="F15" s="23" t="s">
        <v>1869</v>
      </c>
      <c r="G15" s="7">
        <v>2020</v>
      </c>
      <c r="H15" s="14">
        <v>0</v>
      </c>
      <c r="I15" s="247" t="s">
        <v>1870</v>
      </c>
      <c r="J15" s="7">
        <v>2020</v>
      </c>
      <c r="K15" s="14">
        <v>0</v>
      </c>
      <c r="L15" s="153" t="s">
        <v>1871</v>
      </c>
      <c r="M15" s="7">
        <v>2020</v>
      </c>
      <c r="N15" s="14">
        <v>0</v>
      </c>
      <c r="O15" s="153" t="s">
        <v>1872</v>
      </c>
      <c r="P15" s="7">
        <v>2020</v>
      </c>
      <c r="Q15" s="14">
        <v>100</v>
      </c>
      <c r="R15" s="155" t="s">
        <v>1873</v>
      </c>
      <c r="S15" s="7">
        <v>2020</v>
      </c>
      <c r="T15" s="92">
        <v>50</v>
      </c>
      <c r="U15" s="86" t="s">
        <v>1874</v>
      </c>
      <c r="V15" s="7">
        <v>2020</v>
      </c>
      <c r="W15" s="14">
        <v>0</v>
      </c>
      <c r="X15" s="17" t="s">
        <v>1875</v>
      </c>
      <c r="Y15" s="7">
        <v>2020</v>
      </c>
      <c r="Z15" s="14">
        <v>0</v>
      </c>
      <c r="AA15" s="153" t="s">
        <v>1876</v>
      </c>
      <c r="AB15" s="7">
        <v>2020</v>
      </c>
      <c r="AC15" s="21">
        <v>0</v>
      </c>
      <c r="AD15" s="153" t="s">
        <v>1877</v>
      </c>
    </row>
    <row r="16" spans="1:81" ht="31.75" customHeight="1">
      <c r="A16" s="7">
        <v>2021</v>
      </c>
      <c r="B16" s="15">
        <f>AVERAGE(E16, H16,K16,N16,Q16,T16,W16,Z16,AC16)</f>
        <v>16.666666666666668</v>
      </c>
      <c r="C16" s="16"/>
      <c r="D16" s="7">
        <v>2021</v>
      </c>
      <c r="E16" s="14">
        <v>0</v>
      </c>
      <c r="F16" s="23" t="s">
        <v>1878</v>
      </c>
      <c r="G16" s="7">
        <v>2021</v>
      </c>
      <c r="H16" s="14">
        <v>0</v>
      </c>
      <c r="I16" s="17" t="s">
        <v>1878</v>
      </c>
      <c r="J16" s="7">
        <v>2021</v>
      </c>
      <c r="K16" s="14">
        <v>0</v>
      </c>
      <c r="L16" s="17" t="s">
        <v>1878</v>
      </c>
      <c r="M16" s="7">
        <v>2021</v>
      </c>
      <c r="N16" s="14">
        <v>0</v>
      </c>
      <c r="O16" s="17" t="s">
        <v>1878</v>
      </c>
      <c r="P16" s="7">
        <v>2021</v>
      </c>
      <c r="Q16" s="14">
        <v>100</v>
      </c>
      <c r="R16" s="17" t="s">
        <v>1878</v>
      </c>
      <c r="S16" s="7">
        <v>2021</v>
      </c>
      <c r="T16" s="92">
        <v>50</v>
      </c>
      <c r="U16" s="86" t="s">
        <v>1879</v>
      </c>
      <c r="V16" s="7">
        <v>2021</v>
      </c>
      <c r="W16" s="14">
        <v>0</v>
      </c>
      <c r="X16" s="17"/>
      <c r="Y16" s="7">
        <v>2021</v>
      </c>
      <c r="Z16" s="14">
        <v>0</v>
      </c>
      <c r="AA16" s="17"/>
      <c r="AB16" s="7">
        <v>2021</v>
      </c>
      <c r="AC16" s="21">
        <v>0</v>
      </c>
      <c r="AD16" s="23"/>
    </row>
    <row r="17" spans="1:53" ht="24.75" customHeight="1">
      <c r="A17" s="7">
        <v>2022</v>
      </c>
      <c r="B17" s="15">
        <f>AVERAGE(E17, H17,K17,N17,Q17,T17,W17,Z17,AC17)</f>
        <v>16.666666666666668</v>
      </c>
      <c r="C17" s="16"/>
      <c r="D17" s="7">
        <v>2022</v>
      </c>
      <c r="E17" s="14">
        <v>0</v>
      </c>
      <c r="F17" s="17" t="s">
        <v>1878</v>
      </c>
      <c r="G17" s="7">
        <v>2022</v>
      </c>
      <c r="H17" s="14">
        <v>0</v>
      </c>
      <c r="I17" s="17" t="s">
        <v>1878</v>
      </c>
      <c r="J17" s="7">
        <v>2022</v>
      </c>
      <c r="K17" s="14">
        <v>0</v>
      </c>
      <c r="L17" s="23" t="s">
        <v>1880</v>
      </c>
      <c r="M17" s="7">
        <v>2022</v>
      </c>
      <c r="N17" s="14">
        <v>0</v>
      </c>
      <c r="O17" s="17" t="s">
        <v>1878</v>
      </c>
      <c r="P17" s="7">
        <v>2022</v>
      </c>
      <c r="Q17" s="14">
        <v>100</v>
      </c>
      <c r="R17" s="17" t="s">
        <v>1878</v>
      </c>
      <c r="S17" s="7">
        <v>2022</v>
      </c>
      <c r="T17" s="92">
        <v>50</v>
      </c>
      <c r="U17" s="83"/>
      <c r="V17" s="7">
        <v>2022</v>
      </c>
      <c r="W17" s="14">
        <v>0</v>
      </c>
      <c r="X17" s="17"/>
      <c r="Y17" s="7">
        <v>2022</v>
      </c>
      <c r="Z17" s="14">
        <v>0</v>
      </c>
      <c r="AA17" s="17"/>
      <c r="AB17" s="7">
        <v>2022</v>
      </c>
      <c r="AC17" s="21">
        <v>0</v>
      </c>
      <c r="AD17" s="23"/>
    </row>
    <row r="18" spans="1:53" ht="29.4" customHeight="1">
      <c r="A18" s="7">
        <v>2023</v>
      </c>
      <c r="B18" s="15">
        <f>AVERAGE(E18, H18,K18,N18,Q18,T18,W18,Z18,AC18)</f>
        <v>16.666666666666668</v>
      </c>
      <c r="C18" s="16"/>
      <c r="D18" s="7">
        <v>2023</v>
      </c>
      <c r="E18" s="14">
        <v>0</v>
      </c>
      <c r="F18" s="17" t="s">
        <v>1878</v>
      </c>
      <c r="G18" s="7">
        <v>2023</v>
      </c>
      <c r="H18" s="14">
        <v>0</v>
      </c>
      <c r="I18" s="23" t="s">
        <v>1881</v>
      </c>
      <c r="J18" s="7">
        <v>2023</v>
      </c>
      <c r="K18" s="14">
        <v>0</v>
      </c>
      <c r="L18" s="23" t="s">
        <v>1880</v>
      </c>
      <c r="M18" s="7">
        <v>2023</v>
      </c>
      <c r="N18" s="14">
        <v>0</v>
      </c>
      <c r="O18" s="23" t="s">
        <v>1882</v>
      </c>
      <c r="P18" s="7">
        <v>2023</v>
      </c>
      <c r="Q18" s="14">
        <v>100</v>
      </c>
      <c r="R18" s="23" t="s">
        <v>1883</v>
      </c>
      <c r="S18" s="7">
        <v>2023</v>
      </c>
      <c r="T18" s="92">
        <v>50</v>
      </c>
      <c r="U18" s="86" t="s">
        <v>1884</v>
      </c>
      <c r="V18" s="7">
        <v>2023</v>
      </c>
      <c r="W18" s="14">
        <v>0</v>
      </c>
      <c r="X18" s="17"/>
      <c r="Y18" s="7">
        <v>2023</v>
      </c>
      <c r="Z18" s="14">
        <v>0</v>
      </c>
      <c r="AA18" s="17"/>
      <c r="AB18" s="7">
        <v>2023</v>
      </c>
      <c r="AC18" s="21">
        <v>0</v>
      </c>
      <c r="AD18" s="23"/>
    </row>
    <row r="19" spans="1:53" ht="24.75" customHeight="1">
      <c r="A19" s="24"/>
      <c r="B19" s="24"/>
      <c r="C19" s="24"/>
      <c r="D19" s="24"/>
      <c r="E19" s="24"/>
      <c r="F19" s="24"/>
      <c r="G19" s="24"/>
      <c r="H19" s="24"/>
      <c r="I19" s="24"/>
      <c r="J19" s="24"/>
      <c r="K19" s="24"/>
      <c r="L19" s="24"/>
      <c r="M19" s="24"/>
      <c r="N19" s="24"/>
    </row>
    <row r="20" spans="1:53"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3"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3"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1" t="s">
        <v>75</v>
      </c>
      <c r="AJ22" s="311"/>
      <c r="AK22" s="5" t="s">
        <v>13</v>
      </c>
      <c r="AL22" s="311" t="s">
        <v>76</v>
      </c>
      <c r="AM22" s="312"/>
      <c r="AN22" s="5" t="s">
        <v>13</v>
      </c>
      <c r="AO22" s="312"/>
      <c r="AP22" s="312"/>
      <c r="AQ22" s="5" t="s">
        <v>13</v>
      </c>
      <c r="AR22" s="8"/>
      <c r="AS22" s="8"/>
      <c r="AT22" s="5" t="s">
        <v>13</v>
      </c>
      <c r="AU22" s="8"/>
      <c r="AV22" s="8"/>
      <c r="AW22" s="5" t="s">
        <v>13</v>
      </c>
      <c r="AX22" s="8"/>
      <c r="AY22" s="8"/>
    </row>
    <row r="23" spans="1:53"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3" ht="41.25" customHeight="1">
      <c r="A24" s="7" t="s">
        <v>30</v>
      </c>
      <c r="B24" s="322" t="s">
        <v>31</v>
      </c>
      <c r="C24" s="322"/>
      <c r="D24" s="7" t="s">
        <v>30</v>
      </c>
      <c r="E24" s="325" t="s">
        <v>94</v>
      </c>
      <c r="F24" s="325"/>
      <c r="G24" s="7" t="s">
        <v>30</v>
      </c>
      <c r="H24" s="310" t="s">
        <v>95</v>
      </c>
      <c r="I24" s="310"/>
      <c r="J24" s="7" t="s">
        <v>30</v>
      </c>
      <c r="K24" s="325"/>
      <c r="L24" s="325"/>
      <c r="M24" s="27" t="s">
        <v>30</v>
      </c>
      <c r="N24" s="325" t="s">
        <v>96</v>
      </c>
      <c r="O24" s="325"/>
      <c r="P24" s="27" t="s">
        <v>30</v>
      </c>
      <c r="Q24" s="325" t="s">
        <v>97</v>
      </c>
      <c r="R24" s="325"/>
      <c r="S24" s="27" t="s">
        <v>30</v>
      </c>
      <c r="T24" s="325"/>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3" ht="33.75" customHeight="1">
      <c r="A25" s="7" t="s">
        <v>41</v>
      </c>
      <c r="B25" s="310" t="s">
        <v>42</v>
      </c>
      <c r="C25" s="310"/>
      <c r="D25" s="7" t="s">
        <v>41</v>
      </c>
      <c r="E25" s="325" t="s">
        <v>106</v>
      </c>
      <c r="F25" s="325"/>
      <c r="G25" s="7" t="s">
        <v>41</v>
      </c>
      <c r="H25" s="310" t="s">
        <v>107</v>
      </c>
      <c r="I25" s="310"/>
      <c r="J25" s="7" t="s">
        <v>41</v>
      </c>
      <c r="K25" s="297" t="s">
        <v>108</v>
      </c>
      <c r="L25" s="298"/>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3"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3" ht="31.25" customHeight="1">
      <c r="A27" s="7">
        <v>2020</v>
      </c>
      <c r="B27" s="15">
        <f>AVERAGE(E27,H27,K27,T27,AF27,AO27,AU27,AX27,AR27)</f>
        <v>59.277777777777779</v>
      </c>
      <c r="C27" s="16"/>
      <c r="D27" s="7">
        <v>2020</v>
      </c>
      <c r="E27" s="21">
        <v>100</v>
      </c>
      <c r="F27" s="153" t="s">
        <v>1885</v>
      </c>
      <c r="G27" s="7">
        <v>2020</v>
      </c>
      <c r="H27" s="14">
        <v>50</v>
      </c>
      <c r="I27" s="153" t="s">
        <v>1886</v>
      </c>
      <c r="J27" s="7">
        <v>2020</v>
      </c>
      <c r="K27" s="14">
        <v>100</v>
      </c>
      <c r="L27" s="17"/>
      <c r="M27" s="7">
        <v>2020</v>
      </c>
      <c r="N27" s="14">
        <v>100</v>
      </c>
      <c r="O27" s="17" t="s">
        <v>1212</v>
      </c>
      <c r="P27" s="7">
        <v>2020</v>
      </c>
      <c r="Q27" s="14">
        <v>100</v>
      </c>
      <c r="R27" s="81" t="s">
        <v>1887</v>
      </c>
      <c r="S27" s="7">
        <v>2020</v>
      </c>
      <c r="T27" s="14">
        <v>100</v>
      </c>
      <c r="U27" s="17"/>
      <c r="V27" s="7">
        <v>2020</v>
      </c>
      <c r="W27" s="14">
        <v>100</v>
      </c>
      <c r="X27" s="17" t="s">
        <v>1888</v>
      </c>
      <c r="Y27" s="7">
        <v>2020</v>
      </c>
      <c r="Z27" s="82">
        <v>100</v>
      </c>
      <c r="AA27" s="83"/>
      <c r="AB27" s="7">
        <v>2020</v>
      </c>
      <c r="AC27" s="14">
        <v>100</v>
      </c>
      <c r="AD27" s="17"/>
      <c r="AE27" s="7">
        <v>2020</v>
      </c>
      <c r="AF27" s="31">
        <f>0.67*AI27+0.33*AL27</f>
        <v>33.5</v>
      </c>
      <c r="AG27" s="17"/>
      <c r="AH27" s="7">
        <v>2020</v>
      </c>
      <c r="AI27" s="14">
        <v>50</v>
      </c>
      <c r="AJ27" s="153" t="s">
        <v>1889</v>
      </c>
      <c r="AK27" s="7">
        <v>2020</v>
      </c>
      <c r="AL27" s="14">
        <v>0</v>
      </c>
      <c r="AM27" s="153" t="s">
        <v>1890</v>
      </c>
      <c r="AN27" s="7">
        <v>2020</v>
      </c>
      <c r="AO27" s="14">
        <v>100</v>
      </c>
      <c r="AP27" s="153" t="s">
        <v>1891</v>
      </c>
      <c r="AQ27" s="7">
        <v>2020</v>
      </c>
      <c r="AR27" s="14">
        <v>0</v>
      </c>
      <c r="AS27" s="247" t="s">
        <v>1892</v>
      </c>
      <c r="AT27" s="7">
        <v>2020</v>
      </c>
      <c r="AU27" s="14">
        <v>50</v>
      </c>
      <c r="AV27" s="199" t="s">
        <v>1893</v>
      </c>
      <c r="AW27" s="7">
        <v>2020</v>
      </c>
      <c r="AX27" s="82">
        <v>0</v>
      </c>
      <c r="AY27" s="248" t="s">
        <v>1894</v>
      </c>
      <c r="AZ27" s="249" t="s">
        <v>1895</v>
      </c>
      <c r="BA27" s="250" t="s">
        <v>1896</v>
      </c>
    </row>
    <row r="28" spans="1:53" ht="24.75" customHeight="1">
      <c r="A28" s="7">
        <v>2021</v>
      </c>
      <c r="B28" s="15">
        <f>AVERAGE(E28,H28,K28,T28,AF28,AO28,AU28,AX28,AR28)</f>
        <v>59.277777777777779</v>
      </c>
      <c r="C28" s="15"/>
      <c r="D28" s="7">
        <v>2021</v>
      </c>
      <c r="E28" s="21">
        <v>100</v>
      </c>
      <c r="F28" s="17"/>
      <c r="G28" s="7">
        <v>2021</v>
      </c>
      <c r="H28" s="14">
        <v>50</v>
      </c>
      <c r="I28" s="17" t="s">
        <v>1878</v>
      </c>
      <c r="J28" s="7">
        <v>2021</v>
      </c>
      <c r="K28" s="14">
        <v>100</v>
      </c>
      <c r="L28" s="17"/>
      <c r="M28" s="7">
        <v>2021</v>
      </c>
      <c r="N28" s="14">
        <v>100</v>
      </c>
      <c r="O28" s="17" t="s">
        <v>1878</v>
      </c>
      <c r="P28" s="7">
        <v>2021</v>
      </c>
      <c r="Q28" s="14">
        <v>100</v>
      </c>
      <c r="R28" s="17" t="s">
        <v>1878</v>
      </c>
      <c r="S28" s="7">
        <v>2021</v>
      </c>
      <c r="T28" s="14">
        <v>100</v>
      </c>
      <c r="U28" s="17"/>
      <c r="V28" s="7">
        <v>2021</v>
      </c>
      <c r="W28" s="14">
        <v>100</v>
      </c>
      <c r="X28" s="17"/>
      <c r="Y28" s="7">
        <v>2021</v>
      </c>
      <c r="Z28" s="82">
        <v>100</v>
      </c>
      <c r="AA28" s="83"/>
      <c r="AB28" s="7">
        <v>2021</v>
      </c>
      <c r="AC28" s="14">
        <v>100</v>
      </c>
      <c r="AD28" s="17"/>
      <c r="AE28" s="7">
        <v>2021</v>
      </c>
      <c r="AF28" s="31">
        <f>0.67*AI28+0.33*AL28</f>
        <v>33.5</v>
      </c>
      <c r="AG28" s="17"/>
      <c r="AH28" s="7">
        <v>2021</v>
      </c>
      <c r="AI28" s="14">
        <v>50</v>
      </c>
      <c r="AJ28" s="23" t="s">
        <v>1897</v>
      </c>
      <c r="AK28" s="7">
        <v>2021</v>
      </c>
      <c r="AL28" s="14">
        <v>0</v>
      </c>
      <c r="AM28" s="17" t="s">
        <v>1898</v>
      </c>
      <c r="AN28" s="7">
        <v>2021</v>
      </c>
      <c r="AO28" s="14">
        <v>100</v>
      </c>
      <c r="AP28" s="17" t="s">
        <v>1878</v>
      </c>
      <c r="AQ28" s="7">
        <v>2021</v>
      </c>
      <c r="AR28" s="14">
        <v>0</v>
      </c>
      <c r="AS28" s="17" t="s">
        <v>1899</v>
      </c>
      <c r="AT28" s="7">
        <v>2021</v>
      </c>
      <c r="AU28" s="14">
        <v>50</v>
      </c>
      <c r="AV28" s="17" t="s">
        <v>1878</v>
      </c>
      <c r="AW28" s="7">
        <v>2021</v>
      </c>
      <c r="AX28" s="82">
        <v>0</v>
      </c>
      <c r="AY28" s="86" t="s">
        <v>1878</v>
      </c>
    </row>
    <row r="29" spans="1:53" ht="24.75" customHeight="1">
      <c r="A29" s="7">
        <v>2022</v>
      </c>
      <c r="B29" s="15">
        <f>AVERAGE(E29,H29,K29,T29,AF29,AO29,AU29,AX29,AR29)</f>
        <v>59.277777777777779</v>
      </c>
      <c r="C29" s="15"/>
      <c r="D29" s="7">
        <v>2022</v>
      </c>
      <c r="E29" s="21">
        <v>100</v>
      </c>
      <c r="F29" s="17"/>
      <c r="G29" s="7">
        <v>2022</v>
      </c>
      <c r="H29" s="14">
        <v>50</v>
      </c>
      <c r="I29" s="17" t="s">
        <v>1878</v>
      </c>
      <c r="J29" s="7">
        <v>2022</v>
      </c>
      <c r="K29" s="14">
        <v>100</v>
      </c>
      <c r="L29" s="17"/>
      <c r="M29" s="7">
        <v>2022</v>
      </c>
      <c r="N29" s="14">
        <v>100</v>
      </c>
      <c r="O29" s="17" t="s">
        <v>1878</v>
      </c>
      <c r="P29" s="7">
        <v>2022</v>
      </c>
      <c r="Q29" s="1">
        <v>100</v>
      </c>
      <c r="R29" s="17" t="s">
        <v>1878</v>
      </c>
      <c r="S29" s="7">
        <v>2022</v>
      </c>
      <c r="T29" s="14">
        <v>100</v>
      </c>
      <c r="U29" s="17"/>
      <c r="V29" s="7">
        <v>2022</v>
      </c>
      <c r="W29" s="14">
        <v>100</v>
      </c>
      <c r="X29" s="17"/>
      <c r="Y29" s="7">
        <v>2022</v>
      </c>
      <c r="Z29" s="82">
        <v>100</v>
      </c>
      <c r="AA29" s="83"/>
      <c r="AB29" s="7">
        <v>2022</v>
      </c>
      <c r="AC29" s="14">
        <v>100</v>
      </c>
      <c r="AD29" s="17"/>
      <c r="AE29" s="7">
        <v>2022</v>
      </c>
      <c r="AF29" s="31">
        <f>0.67*AI29+0.33*AL29</f>
        <v>33.5</v>
      </c>
      <c r="AG29" s="17"/>
      <c r="AH29" s="7">
        <v>2022</v>
      </c>
      <c r="AI29" s="14">
        <v>50</v>
      </c>
      <c r="AJ29" s="153" t="s">
        <v>1900</v>
      </c>
      <c r="AK29" s="7">
        <v>2022</v>
      </c>
      <c r="AL29" s="14">
        <v>0</v>
      </c>
      <c r="AM29" s="17" t="s">
        <v>1898</v>
      </c>
      <c r="AN29" s="7">
        <v>2022</v>
      </c>
      <c r="AO29" s="14">
        <v>100</v>
      </c>
      <c r="AP29" s="17" t="s">
        <v>1878</v>
      </c>
      <c r="AQ29" s="7">
        <v>2022</v>
      </c>
      <c r="AR29" s="14">
        <v>0</v>
      </c>
      <c r="AS29" s="17" t="s">
        <v>1899</v>
      </c>
      <c r="AT29" s="7">
        <v>2022</v>
      </c>
      <c r="AU29" s="14">
        <v>50</v>
      </c>
      <c r="AV29" s="17" t="s">
        <v>1878</v>
      </c>
      <c r="AW29" s="7">
        <v>2022</v>
      </c>
      <c r="AX29" s="82">
        <v>0</v>
      </c>
      <c r="AY29" s="86" t="s">
        <v>1878</v>
      </c>
    </row>
    <row r="30" spans="1:53" ht="27" customHeight="1">
      <c r="A30" s="7">
        <v>2023</v>
      </c>
      <c r="B30" s="15">
        <f>AVERAGE(E30,H30,K30,T30,AF30,AO30,AU30,AX30,AR30)</f>
        <v>59.277777777777779</v>
      </c>
      <c r="C30" s="15"/>
      <c r="D30" s="7">
        <v>2023</v>
      </c>
      <c r="E30" s="21">
        <v>100</v>
      </c>
      <c r="F30" s="17"/>
      <c r="G30" s="7">
        <v>2023</v>
      </c>
      <c r="H30" s="14">
        <v>50</v>
      </c>
      <c r="I30" s="17" t="s">
        <v>1878</v>
      </c>
      <c r="J30" s="7">
        <v>2023</v>
      </c>
      <c r="K30" s="14">
        <v>100</v>
      </c>
      <c r="L30" s="17"/>
      <c r="M30" s="7">
        <v>2023</v>
      </c>
      <c r="N30" s="14">
        <v>100</v>
      </c>
      <c r="O30" s="17" t="s">
        <v>1878</v>
      </c>
      <c r="P30" s="7">
        <v>2023</v>
      </c>
      <c r="Q30" s="14">
        <v>100</v>
      </c>
      <c r="R30" s="17" t="s">
        <v>1878</v>
      </c>
      <c r="S30" s="7">
        <v>2023</v>
      </c>
      <c r="T30" s="14">
        <v>100</v>
      </c>
      <c r="U30" s="17"/>
      <c r="V30" s="7">
        <v>2023</v>
      </c>
      <c r="W30" s="14">
        <v>100</v>
      </c>
      <c r="X30" s="17"/>
      <c r="Y30" s="7">
        <v>2023</v>
      </c>
      <c r="Z30" s="82">
        <v>100</v>
      </c>
      <c r="AA30" s="83"/>
      <c r="AB30" s="7">
        <v>2023</v>
      </c>
      <c r="AC30" s="14">
        <v>100</v>
      </c>
      <c r="AD30" s="17"/>
      <c r="AE30" s="7">
        <v>2023</v>
      </c>
      <c r="AF30" s="31">
        <f>0.67*AI30+0.33*AL30</f>
        <v>33.5</v>
      </c>
      <c r="AG30" s="17"/>
      <c r="AH30" s="7">
        <v>2023</v>
      </c>
      <c r="AI30" s="14">
        <v>50</v>
      </c>
      <c r="AJ30" s="153" t="s">
        <v>1901</v>
      </c>
      <c r="AK30" s="7">
        <v>2023</v>
      </c>
      <c r="AL30" s="14">
        <v>0</v>
      </c>
      <c r="AM30" s="86" t="s">
        <v>1902</v>
      </c>
      <c r="AN30" s="7">
        <v>2023</v>
      </c>
      <c r="AO30" s="14">
        <v>100</v>
      </c>
      <c r="AP30" s="17" t="s">
        <v>1878</v>
      </c>
      <c r="AQ30" s="7">
        <v>2023</v>
      </c>
      <c r="AR30" s="14">
        <v>0</v>
      </c>
      <c r="AS30" s="23" t="s">
        <v>1903</v>
      </c>
      <c r="AT30" s="7">
        <v>2023</v>
      </c>
      <c r="AU30" s="14">
        <v>50</v>
      </c>
      <c r="AV30" s="17" t="s">
        <v>1878</v>
      </c>
      <c r="AW30" s="7">
        <v>2023</v>
      </c>
      <c r="AX30" s="82">
        <v>0</v>
      </c>
      <c r="AY30" s="86" t="s">
        <v>1878</v>
      </c>
    </row>
    <row r="31" spans="1:53" ht="24.75" customHeight="1">
      <c r="A31" s="24"/>
      <c r="B31" s="24"/>
      <c r="C31" s="24"/>
      <c r="D31" s="24"/>
      <c r="E31" s="24"/>
      <c r="F31" s="24"/>
      <c r="G31" s="24"/>
      <c r="H31" s="24"/>
      <c r="I31" s="24"/>
      <c r="J31" s="24"/>
      <c r="K31" s="24"/>
      <c r="L31" s="24"/>
      <c r="M31" s="24"/>
      <c r="N31" s="24"/>
      <c r="AD31" s="32"/>
    </row>
    <row r="32" spans="1:53"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33.9"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56.4"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c r="AG36" s="310"/>
      <c r="AH36" s="7" t="s">
        <v>30</v>
      </c>
      <c r="AI36" s="310" t="s">
        <v>162</v>
      </c>
      <c r="AJ36" s="310"/>
      <c r="AK36" s="7" t="s">
        <v>30</v>
      </c>
      <c r="AL36" s="310" t="s">
        <v>163</v>
      </c>
      <c r="AM36" s="310"/>
    </row>
    <row r="37" spans="1:39" ht="58.2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297" t="s">
        <v>172</v>
      </c>
      <c r="AG37" s="298"/>
      <c r="AH37" s="7" t="s">
        <v>41</v>
      </c>
      <c r="AI37" s="310" t="s">
        <v>173</v>
      </c>
      <c r="AJ37" s="310"/>
      <c r="AK37" s="7" t="s">
        <v>41</v>
      </c>
      <c r="AL37" s="310" t="s">
        <v>174</v>
      </c>
      <c r="AM37" s="310"/>
    </row>
    <row r="38" spans="1:39" ht="27.9"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2.25" customHeight="1">
      <c r="A39" s="7">
        <v>2020</v>
      </c>
      <c r="B39" s="16">
        <f>AVERAGE(E39,H39,K39,N39,Z39,AC39,AF39)</f>
        <v>7.1428571428571432</v>
      </c>
      <c r="C39" s="16"/>
      <c r="D39" s="7">
        <v>2020</v>
      </c>
      <c r="E39" s="14">
        <v>0</v>
      </c>
      <c r="F39" s="247" t="s">
        <v>1904</v>
      </c>
      <c r="G39" s="7">
        <v>2020</v>
      </c>
      <c r="H39" s="14">
        <v>0</v>
      </c>
      <c r="I39" s="153" t="s">
        <v>1905</v>
      </c>
      <c r="J39" s="7">
        <v>2020</v>
      </c>
      <c r="K39" s="14">
        <v>0</v>
      </c>
      <c r="L39" s="81" t="s">
        <v>1906</v>
      </c>
      <c r="M39" s="7">
        <v>2020</v>
      </c>
      <c r="N39" s="31">
        <f>AVERAGE(Q39,T39,W39)</f>
        <v>0</v>
      </c>
      <c r="O39" s="14"/>
      <c r="P39" s="7">
        <v>2020</v>
      </c>
      <c r="Q39" s="82">
        <v>0</v>
      </c>
      <c r="R39" s="86" t="s">
        <v>1907</v>
      </c>
      <c r="S39" s="7">
        <v>2020</v>
      </c>
      <c r="T39" s="82">
        <v>0</v>
      </c>
      <c r="U39" s="17"/>
      <c r="V39" s="7">
        <v>2020</v>
      </c>
      <c r="W39" s="82">
        <v>0</v>
      </c>
      <c r="X39" s="86" t="s">
        <v>1908</v>
      </c>
      <c r="Y39" s="7">
        <v>2020</v>
      </c>
      <c r="Z39" s="14">
        <v>0</v>
      </c>
      <c r="AA39" s="17" t="s">
        <v>1909</v>
      </c>
      <c r="AB39" s="7">
        <v>2020</v>
      </c>
      <c r="AC39" s="14">
        <v>50</v>
      </c>
      <c r="AD39" s="17"/>
      <c r="AE39" s="7">
        <v>2020</v>
      </c>
      <c r="AF39" s="14">
        <v>0</v>
      </c>
      <c r="AG39" s="14"/>
      <c r="AH39" s="7">
        <v>2020</v>
      </c>
      <c r="AI39" s="21">
        <v>0</v>
      </c>
      <c r="AJ39" s="17"/>
      <c r="AK39" s="7">
        <v>2020</v>
      </c>
      <c r="AL39" s="14">
        <v>0</v>
      </c>
      <c r="AM39" s="23" t="s">
        <v>1910</v>
      </c>
    </row>
    <row r="40" spans="1:39" ht="24.65" customHeight="1">
      <c r="A40" s="7">
        <v>2021</v>
      </c>
      <c r="B40" s="16">
        <f>AVERAGE(E40,H40,K40,N40,Z40,AC40,AF40)</f>
        <v>16.666666666666668</v>
      </c>
      <c r="C40" s="16"/>
      <c r="D40" s="7">
        <v>2021</v>
      </c>
      <c r="E40" s="14">
        <v>0</v>
      </c>
      <c r="F40" s="17" t="s">
        <v>1898</v>
      </c>
      <c r="G40" s="7">
        <v>2021</v>
      </c>
      <c r="H40" s="14">
        <v>50</v>
      </c>
      <c r="I40" s="23" t="s">
        <v>1911</v>
      </c>
      <c r="J40" s="7">
        <v>2021</v>
      </c>
      <c r="K40" s="14">
        <v>0</v>
      </c>
      <c r="L40" s="17"/>
      <c r="M40" s="7">
        <v>2021</v>
      </c>
      <c r="N40" s="31">
        <f>AVERAGE(Q40,T40,W40)</f>
        <v>16.666666666666668</v>
      </c>
      <c r="O40" s="14"/>
      <c r="P40" s="7">
        <v>2021</v>
      </c>
      <c r="Q40" s="82">
        <v>50</v>
      </c>
      <c r="R40" s="86" t="s">
        <v>1912</v>
      </c>
      <c r="S40" s="7">
        <v>2021</v>
      </c>
      <c r="T40" s="82">
        <v>0</v>
      </c>
      <c r="U40" s="17"/>
      <c r="V40" s="7">
        <v>2021</v>
      </c>
      <c r="W40" s="82">
        <v>0</v>
      </c>
      <c r="X40" s="83"/>
      <c r="Y40" s="7">
        <v>2021</v>
      </c>
      <c r="Z40" s="14">
        <v>0</v>
      </c>
      <c r="AA40" s="17" t="s">
        <v>1909</v>
      </c>
      <c r="AB40" s="7">
        <v>2021</v>
      </c>
      <c r="AC40" s="14">
        <v>50</v>
      </c>
      <c r="AD40" s="17"/>
      <c r="AE40" s="7">
        <v>2021</v>
      </c>
      <c r="AF40" s="14">
        <v>0</v>
      </c>
      <c r="AG40" s="14"/>
      <c r="AH40" s="7">
        <v>2021</v>
      </c>
      <c r="AI40" s="21">
        <v>0</v>
      </c>
      <c r="AJ40" s="17"/>
      <c r="AK40" s="7">
        <v>2021</v>
      </c>
      <c r="AL40" s="14">
        <v>0</v>
      </c>
      <c r="AM40" s="23" t="s">
        <v>1910</v>
      </c>
    </row>
    <row r="41" spans="1:39" ht="26.4" customHeight="1">
      <c r="A41" s="7">
        <v>2022</v>
      </c>
      <c r="B41" s="16">
        <f>AVERAGE(E41,H41,K41,N41,Z41,AC41,AF41)</f>
        <v>23.809523809523814</v>
      </c>
      <c r="C41" s="16"/>
      <c r="D41" s="7">
        <v>2022</v>
      </c>
      <c r="E41" s="14">
        <v>0</v>
      </c>
      <c r="F41" s="251" t="s">
        <v>1913</v>
      </c>
      <c r="G41" s="7">
        <v>2022</v>
      </c>
      <c r="H41" s="14">
        <v>50</v>
      </c>
      <c r="I41" s="23" t="s">
        <v>1914</v>
      </c>
      <c r="J41" s="7">
        <v>2022</v>
      </c>
      <c r="K41" s="14">
        <v>0</v>
      </c>
      <c r="L41" s="17"/>
      <c r="M41" s="7">
        <v>2022</v>
      </c>
      <c r="N41" s="31">
        <f>AVERAGE(Q41,T41,W41)</f>
        <v>16.666666666666668</v>
      </c>
      <c r="O41" s="14"/>
      <c r="P41" s="7">
        <v>2022</v>
      </c>
      <c r="Q41" s="82">
        <v>50</v>
      </c>
      <c r="R41" s="86" t="s">
        <v>1915</v>
      </c>
      <c r="S41" s="7">
        <v>2022</v>
      </c>
      <c r="T41" s="82">
        <v>0</v>
      </c>
      <c r="U41" s="17"/>
      <c r="V41" s="7">
        <v>2022</v>
      </c>
      <c r="W41" s="82">
        <v>0</v>
      </c>
      <c r="X41" s="83"/>
      <c r="Y41" s="7">
        <v>2022</v>
      </c>
      <c r="Z41" s="82">
        <v>50</v>
      </c>
      <c r="AA41" s="86" t="s">
        <v>1916</v>
      </c>
      <c r="AB41" s="7">
        <v>2022</v>
      </c>
      <c r="AC41" s="14">
        <v>50</v>
      </c>
      <c r="AD41" s="86" t="s">
        <v>1917</v>
      </c>
      <c r="AE41" s="7">
        <v>2022</v>
      </c>
      <c r="AF41" s="14">
        <v>0</v>
      </c>
      <c r="AG41" s="14"/>
      <c r="AH41" s="7">
        <v>2022</v>
      </c>
      <c r="AI41" s="84">
        <v>0</v>
      </c>
      <c r="AJ41" s="23" t="s">
        <v>1918</v>
      </c>
      <c r="AK41" s="7">
        <v>2022</v>
      </c>
      <c r="AL41" s="14">
        <v>0</v>
      </c>
      <c r="AM41" s="23" t="s">
        <v>1910</v>
      </c>
    </row>
    <row r="42" spans="1:39" ht="33" customHeight="1">
      <c r="A42" s="7">
        <v>2023</v>
      </c>
      <c r="B42" s="16">
        <f>AVERAGE(E42,H42,K42,N42,Z42,AC42,AF42)</f>
        <v>26.190476190476193</v>
      </c>
      <c r="C42" s="16"/>
      <c r="D42" s="7">
        <v>2023</v>
      </c>
      <c r="E42" s="14">
        <v>0</v>
      </c>
      <c r="F42" s="252" t="s">
        <v>1913</v>
      </c>
      <c r="G42" s="7">
        <v>2023</v>
      </c>
      <c r="H42" s="14">
        <v>50</v>
      </c>
      <c r="I42" s="23" t="s">
        <v>1919</v>
      </c>
      <c r="J42" s="7">
        <v>2023</v>
      </c>
      <c r="K42" s="14">
        <v>0</v>
      </c>
      <c r="L42" s="17"/>
      <c r="M42" s="7">
        <v>2023</v>
      </c>
      <c r="N42" s="31">
        <f>AVERAGE(Q42,T42,W42)</f>
        <v>33.333333333333336</v>
      </c>
      <c r="O42" s="14"/>
      <c r="P42" s="7">
        <v>2023</v>
      </c>
      <c r="Q42" s="82">
        <v>50</v>
      </c>
      <c r="R42" s="83" t="s">
        <v>1920</v>
      </c>
      <c r="S42" s="7">
        <v>2023</v>
      </c>
      <c r="T42" s="82">
        <v>50</v>
      </c>
      <c r="U42" s="189" t="s">
        <v>1921</v>
      </c>
      <c r="V42" s="7">
        <v>2023</v>
      </c>
      <c r="W42" s="82">
        <v>0</v>
      </c>
      <c r="X42" s="86" t="s">
        <v>1922</v>
      </c>
      <c r="Y42" s="7">
        <v>2023</v>
      </c>
      <c r="Z42" s="82">
        <v>50</v>
      </c>
      <c r="AA42" s="86" t="s">
        <v>1923</v>
      </c>
      <c r="AB42" s="7">
        <v>2023</v>
      </c>
      <c r="AC42" s="14">
        <v>50</v>
      </c>
      <c r="AD42" s="23" t="s">
        <v>1924</v>
      </c>
      <c r="AE42" s="7">
        <v>2023</v>
      </c>
      <c r="AF42" s="14">
        <v>0</v>
      </c>
      <c r="AG42" s="14"/>
      <c r="AH42" s="7">
        <v>2023</v>
      </c>
      <c r="AI42" s="84">
        <v>0</v>
      </c>
      <c r="AJ42" s="23" t="s">
        <v>1925</v>
      </c>
      <c r="AK42" s="7">
        <v>2023</v>
      </c>
      <c r="AL42" s="14">
        <v>0</v>
      </c>
      <c r="AM42" s="23" t="s">
        <v>1926</v>
      </c>
    </row>
    <row r="43" spans="1:39" ht="24.75" customHeight="1">
      <c r="U43" s="253" t="s">
        <v>1927</v>
      </c>
    </row>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2" t="s">
        <v>187</v>
      </c>
      <c r="R45" s="312"/>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32.4"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64.25" customHeight="1">
      <c r="A49" s="7" t="s">
        <v>41</v>
      </c>
      <c r="B49" s="310" t="s">
        <v>42</v>
      </c>
      <c r="C49" s="310"/>
      <c r="D49" s="7" t="s">
        <v>41</v>
      </c>
      <c r="E49" s="325" t="s">
        <v>199</v>
      </c>
      <c r="F49" s="325"/>
      <c r="G49" s="7" t="s">
        <v>41</v>
      </c>
      <c r="H49" s="310" t="s">
        <v>1928</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9.4" customHeight="1">
      <c r="A51" s="7">
        <v>2020</v>
      </c>
      <c r="B51" s="15">
        <f>AVERAGE(E51,H51,K51,N51,Q51)</f>
        <v>5</v>
      </c>
      <c r="C51" s="16"/>
      <c r="D51" s="7">
        <v>2020</v>
      </c>
      <c r="E51" s="14">
        <v>25</v>
      </c>
      <c r="F51" s="153" t="s">
        <v>1929</v>
      </c>
      <c r="G51" s="7">
        <v>2020</v>
      </c>
      <c r="H51" s="14">
        <v>0</v>
      </c>
      <c r="I51" s="153" t="s">
        <v>1930</v>
      </c>
      <c r="J51" s="7">
        <v>2020</v>
      </c>
      <c r="K51" s="82">
        <v>0</v>
      </c>
      <c r="L51" s="155" t="s">
        <v>1931</v>
      </c>
      <c r="M51" s="7">
        <v>2020</v>
      </c>
      <c r="N51" s="14">
        <v>0</v>
      </c>
      <c r="O51" s="153" t="s">
        <v>1932</v>
      </c>
      <c r="P51" s="7">
        <v>2020</v>
      </c>
      <c r="Q51" s="14">
        <v>0</v>
      </c>
      <c r="R51" s="153" t="s">
        <v>1933</v>
      </c>
    </row>
    <row r="52" spans="1:24" ht="24.75" customHeight="1">
      <c r="A52" s="7">
        <v>2021</v>
      </c>
      <c r="B52" s="15">
        <f>AVERAGE(E52,H52,K52,N52,Q52)</f>
        <v>5</v>
      </c>
      <c r="C52" s="15"/>
      <c r="D52" s="7">
        <v>2021</v>
      </c>
      <c r="E52" s="14">
        <v>25</v>
      </c>
      <c r="F52" s="17"/>
      <c r="G52" s="7">
        <v>2021</v>
      </c>
      <c r="H52" s="14">
        <v>0</v>
      </c>
      <c r="I52" s="17"/>
      <c r="J52" s="7">
        <v>2021</v>
      </c>
      <c r="K52" s="82">
        <v>0</v>
      </c>
      <c r="L52" s="83"/>
      <c r="M52" s="7">
        <v>2021</v>
      </c>
      <c r="N52" s="14">
        <v>0</v>
      </c>
      <c r="O52" s="17" t="s">
        <v>1934</v>
      </c>
      <c r="P52" s="7">
        <v>2021</v>
      </c>
      <c r="Q52" s="14">
        <v>0</v>
      </c>
      <c r="R52" s="23"/>
    </row>
    <row r="53" spans="1:24" ht="24.75" customHeight="1">
      <c r="A53" s="7">
        <v>2022</v>
      </c>
      <c r="B53" s="15">
        <f>AVERAGE(E53,H53,K53,N53,Q53)</f>
        <v>5</v>
      </c>
      <c r="C53" s="15"/>
      <c r="D53" s="7">
        <v>2022</v>
      </c>
      <c r="E53" s="14">
        <v>25</v>
      </c>
      <c r="F53" s="17" t="s">
        <v>1935</v>
      </c>
      <c r="G53" s="7">
        <v>2022</v>
      </c>
      <c r="H53" s="14">
        <v>0</v>
      </c>
      <c r="I53" s="17"/>
      <c r="J53" s="7">
        <v>2022</v>
      </c>
      <c r="K53" s="84">
        <v>0</v>
      </c>
      <c r="L53" s="83"/>
      <c r="M53" s="7">
        <v>2022</v>
      </c>
      <c r="N53" s="14">
        <v>0</v>
      </c>
      <c r="O53" s="17" t="s">
        <v>1934</v>
      </c>
      <c r="P53" s="7">
        <v>2022</v>
      </c>
      <c r="Q53" s="14">
        <v>0</v>
      </c>
      <c r="R53" s="23"/>
    </row>
    <row r="54" spans="1:24" ht="31.75" customHeight="1">
      <c r="A54" s="7">
        <v>2023</v>
      </c>
      <c r="B54" s="15">
        <f>AVERAGE(E54,H54,K54,N54,Q54)</f>
        <v>5</v>
      </c>
      <c r="C54" s="15"/>
      <c r="D54" s="7">
        <v>2023</v>
      </c>
      <c r="E54" s="14">
        <v>25</v>
      </c>
      <c r="F54" s="86" t="s">
        <v>1936</v>
      </c>
      <c r="G54" s="7">
        <v>2023</v>
      </c>
      <c r="H54" s="14">
        <v>0</v>
      </c>
      <c r="I54" s="17"/>
      <c r="J54" s="7">
        <v>2023</v>
      </c>
      <c r="K54" s="82">
        <v>0</v>
      </c>
      <c r="L54" s="86" t="s">
        <v>1937</v>
      </c>
      <c r="M54" s="7">
        <v>2023</v>
      </c>
      <c r="N54" s="14">
        <v>0</v>
      </c>
      <c r="O54" s="17" t="s">
        <v>1934</v>
      </c>
      <c r="P54" s="7">
        <v>2023</v>
      </c>
      <c r="Q54" s="14">
        <v>0</v>
      </c>
      <c r="R54" s="23"/>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59.4"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56.4" customHeight="1">
      <c r="A61" s="7" t="s">
        <v>41</v>
      </c>
      <c r="B61" s="310" t="s">
        <v>42</v>
      </c>
      <c r="C61" s="310"/>
      <c r="D61" s="7" t="s">
        <v>41</v>
      </c>
      <c r="E61" s="325" t="s">
        <v>225</v>
      </c>
      <c r="F61" s="325"/>
      <c r="G61" s="7" t="s">
        <v>41</v>
      </c>
      <c r="H61" s="310" t="s">
        <v>226</v>
      </c>
      <c r="I61" s="310"/>
      <c r="J61" s="7" t="s">
        <v>41</v>
      </c>
      <c r="K61" s="310" t="s">
        <v>115</v>
      </c>
      <c r="L61" s="310"/>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38.4" customHeight="1">
      <c r="A63" s="7">
        <v>2020</v>
      </c>
      <c r="B63" s="15">
        <f>AVERAGE(E63,((H63+K63)/2),((N63+Q63+T63)/3),W63)</f>
        <v>64.583333333333343</v>
      </c>
      <c r="C63" s="16"/>
      <c r="D63" s="7">
        <v>2020</v>
      </c>
      <c r="E63" s="21">
        <v>50</v>
      </c>
      <c r="F63" s="155" t="s">
        <v>1938</v>
      </c>
      <c r="G63" s="7">
        <v>2020</v>
      </c>
      <c r="H63" s="14">
        <v>100</v>
      </c>
      <c r="I63" s="153" t="s">
        <v>1939</v>
      </c>
      <c r="J63" s="7">
        <v>2020</v>
      </c>
      <c r="K63" s="82">
        <v>50</v>
      </c>
      <c r="L63" s="155" t="s">
        <v>1940</v>
      </c>
      <c r="M63" s="7">
        <v>2020</v>
      </c>
      <c r="N63" s="14">
        <v>50</v>
      </c>
      <c r="O63" s="153" t="s">
        <v>1941</v>
      </c>
      <c r="P63" s="7">
        <v>2020</v>
      </c>
      <c r="Q63" s="14">
        <v>50</v>
      </c>
      <c r="R63" s="153" t="s">
        <v>1942</v>
      </c>
      <c r="S63" s="7">
        <v>2020</v>
      </c>
      <c r="T63" s="82">
        <v>0</v>
      </c>
      <c r="U63" s="155" t="s">
        <v>1943</v>
      </c>
      <c r="V63" s="7">
        <v>2020</v>
      </c>
      <c r="W63" s="14">
        <v>100</v>
      </c>
      <c r="X63" s="153" t="s">
        <v>1944</v>
      </c>
    </row>
    <row r="64" spans="1:24" ht="24.75" customHeight="1">
      <c r="A64" s="7">
        <v>2021</v>
      </c>
      <c r="B64" s="15">
        <f>AVERAGE(E64,((H64+K64)/2),((N64+Q64+T64)/3),W64)</f>
        <v>64.583333333333343</v>
      </c>
      <c r="C64" s="15"/>
      <c r="D64" s="7">
        <v>2021</v>
      </c>
      <c r="E64" s="21">
        <v>50</v>
      </c>
      <c r="F64" s="17" t="s">
        <v>1878</v>
      </c>
      <c r="G64" s="7">
        <v>2021</v>
      </c>
      <c r="H64" s="14">
        <v>100</v>
      </c>
      <c r="I64" s="17" t="s">
        <v>1878</v>
      </c>
      <c r="J64" s="7">
        <v>2021</v>
      </c>
      <c r="K64" s="82">
        <v>50</v>
      </c>
      <c r="L64" s="83" t="s">
        <v>1878</v>
      </c>
      <c r="M64" s="7">
        <v>2021</v>
      </c>
      <c r="N64" s="14">
        <v>50</v>
      </c>
      <c r="O64" s="17" t="s">
        <v>1878</v>
      </c>
      <c r="P64" s="7">
        <v>2021</v>
      </c>
      <c r="Q64" s="14">
        <v>50</v>
      </c>
      <c r="R64" s="17" t="s">
        <v>1878</v>
      </c>
      <c r="S64" s="7">
        <v>2021</v>
      </c>
      <c r="T64" s="82">
        <v>0</v>
      </c>
      <c r="U64" s="83" t="s">
        <v>1945</v>
      </c>
      <c r="V64" s="7">
        <v>2021</v>
      </c>
      <c r="W64" s="14">
        <v>100</v>
      </c>
      <c r="X64" s="23" t="s">
        <v>1878</v>
      </c>
    </row>
    <row r="65" spans="1:33" ht="24.75" customHeight="1">
      <c r="A65" s="7">
        <v>2022</v>
      </c>
      <c r="B65" s="15">
        <f>AVERAGE(E65,((H65+K65)/2),((N65+Q65+T65)/3),W65)</f>
        <v>64.583333333333343</v>
      </c>
      <c r="C65" s="15"/>
      <c r="D65" s="7">
        <v>2022</v>
      </c>
      <c r="E65" s="21">
        <v>50</v>
      </c>
      <c r="F65" s="17" t="s">
        <v>1878</v>
      </c>
      <c r="G65" s="7">
        <v>2022</v>
      </c>
      <c r="H65" s="14">
        <v>100</v>
      </c>
      <c r="I65" s="17" t="s">
        <v>1878</v>
      </c>
      <c r="J65" s="7">
        <v>2022</v>
      </c>
      <c r="K65" s="82">
        <v>50</v>
      </c>
      <c r="L65" s="83" t="s">
        <v>1878</v>
      </c>
      <c r="M65" s="7">
        <v>2022</v>
      </c>
      <c r="N65" s="14">
        <v>50</v>
      </c>
      <c r="O65" s="17" t="s">
        <v>1878</v>
      </c>
      <c r="P65" s="7">
        <v>2022</v>
      </c>
      <c r="Q65" s="14">
        <v>50</v>
      </c>
      <c r="R65" s="17" t="s">
        <v>1878</v>
      </c>
      <c r="S65" s="7">
        <v>2022</v>
      </c>
      <c r="T65" s="82">
        <v>0</v>
      </c>
      <c r="U65" s="83" t="s">
        <v>1946</v>
      </c>
      <c r="V65" s="7">
        <v>2022</v>
      </c>
      <c r="W65" s="14">
        <v>100</v>
      </c>
      <c r="X65" s="23" t="s">
        <v>1878</v>
      </c>
    </row>
    <row r="66" spans="1:33" ht="24.75" customHeight="1">
      <c r="A66" s="7">
        <v>2023</v>
      </c>
      <c r="B66" s="15">
        <f>AVERAGE(E66,((H66+K66)/2),((N66+Q66+T66)/3),W66)</f>
        <v>64.583333333333343</v>
      </c>
      <c r="C66" s="15"/>
      <c r="D66" s="7">
        <v>2023</v>
      </c>
      <c r="E66" s="21">
        <v>50</v>
      </c>
      <c r="F66" s="17" t="s">
        <v>1878</v>
      </c>
      <c r="G66" s="7">
        <v>2023</v>
      </c>
      <c r="H66" s="14">
        <v>100</v>
      </c>
      <c r="I66" s="17" t="s">
        <v>1878</v>
      </c>
      <c r="J66" s="7">
        <v>2023</v>
      </c>
      <c r="K66" s="82">
        <v>50</v>
      </c>
      <c r="L66" s="83" t="s">
        <v>1878</v>
      </c>
      <c r="M66" s="7">
        <v>2023</v>
      </c>
      <c r="N66" s="14">
        <v>50</v>
      </c>
      <c r="O66" s="17" t="s">
        <v>1878</v>
      </c>
      <c r="P66" s="7">
        <v>2023</v>
      </c>
      <c r="Q66" s="14">
        <v>50</v>
      </c>
      <c r="R66" s="17" t="s">
        <v>1878</v>
      </c>
      <c r="S66" s="7">
        <v>2023</v>
      </c>
      <c r="T66" s="82">
        <v>0</v>
      </c>
      <c r="U66" s="86" t="s">
        <v>1947</v>
      </c>
      <c r="V66" s="7">
        <v>2023</v>
      </c>
      <c r="W66" s="14">
        <v>100</v>
      </c>
      <c r="X66" s="23" t="s">
        <v>1878</v>
      </c>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78.650000000000006"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54.6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35.4" customHeight="1">
      <c r="A75" s="7">
        <v>2020</v>
      </c>
      <c r="B75" s="15">
        <f>AVERAGE(E75,H75,K75,Z75)</f>
        <v>28.125</v>
      </c>
      <c r="C75" s="15"/>
      <c r="D75" s="7">
        <v>2020</v>
      </c>
      <c r="E75" s="14">
        <v>0</v>
      </c>
      <c r="F75" s="153" t="s">
        <v>1948</v>
      </c>
      <c r="G75" s="7">
        <v>2020</v>
      </c>
      <c r="H75" s="14">
        <v>0</v>
      </c>
      <c r="I75" s="153" t="s">
        <v>1949</v>
      </c>
      <c r="J75" s="7">
        <v>2020</v>
      </c>
      <c r="K75" s="31">
        <f>AVERAGE(N75,Q75,T75,W75)</f>
        <v>12.5</v>
      </c>
      <c r="L75" s="14"/>
      <c r="M75" s="7">
        <v>2020</v>
      </c>
      <c r="N75" s="21">
        <v>0</v>
      </c>
      <c r="O75" s="153" t="s">
        <v>1950</v>
      </c>
      <c r="P75" s="7">
        <v>2020</v>
      </c>
      <c r="Q75" s="21">
        <v>0</v>
      </c>
      <c r="R75" s="153" t="s">
        <v>1951</v>
      </c>
      <c r="S75" s="7">
        <v>2020</v>
      </c>
      <c r="T75" s="21">
        <v>50</v>
      </c>
      <c r="U75" s="153" t="s">
        <v>1952</v>
      </c>
      <c r="V75" s="7">
        <v>2020</v>
      </c>
      <c r="W75" s="1">
        <v>0</v>
      </c>
      <c r="X75" s="153" t="s">
        <v>1953</v>
      </c>
      <c r="Y75" s="7">
        <v>2020</v>
      </c>
      <c r="Z75" s="14">
        <v>100</v>
      </c>
      <c r="AA75" s="153" t="s">
        <v>1954</v>
      </c>
    </row>
    <row r="76" spans="1:33" ht="27" customHeight="1">
      <c r="A76" s="7">
        <v>2021</v>
      </c>
      <c r="B76" s="15">
        <f>AVERAGE(E76,H76,K76,Z76)</f>
        <v>28.125</v>
      </c>
      <c r="C76" s="15"/>
      <c r="D76" s="7">
        <v>2021</v>
      </c>
      <c r="E76" s="14">
        <v>0</v>
      </c>
      <c r="F76" s="23" t="s">
        <v>1878</v>
      </c>
      <c r="G76" s="7">
        <v>2021</v>
      </c>
      <c r="H76" s="14">
        <v>0</v>
      </c>
      <c r="I76" s="17"/>
      <c r="J76" s="7">
        <v>2021</v>
      </c>
      <c r="K76" s="31">
        <f t="shared" ref="K76:K78" si="2">AVERAGE(N76,Q76,T76,W76)</f>
        <v>12.5</v>
      </c>
      <c r="L76" s="14"/>
      <c r="M76" s="7">
        <v>2021</v>
      </c>
      <c r="N76" s="21">
        <v>0</v>
      </c>
      <c r="O76" s="17" t="s">
        <v>1878</v>
      </c>
      <c r="P76" s="7">
        <v>2021</v>
      </c>
      <c r="Q76" s="21">
        <v>0</v>
      </c>
      <c r="R76" s="17" t="s">
        <v>1878</v>
      </c>
      <c r="S76" s="7">
        <v>2021</v>
      </c>
      <c r="T76" s="21">
        <v>50</v>
      </c>
      <c r="U76" s="17" t="s">
        <v>1878</v>
      </c>
      <c r="V76" s="7">
        <v>2021</v>
      </c>
      <c r="W76" s="1">
        <v>0</v>
      </c>
      <c r="X76" s="17" t="s">
        <v>1898</v>
      </c>
      <c r="Y76" s="7">
        <v>2021</v>
      </c>
      <c r="Z76" s="14">
        <v>100</v>
      </c>
      <c r="AA76" s="23"/>
    </row>
    <row r="77" spans="1:33" ht="24.75" customHeight="1">
      <c r="A77" s="7">
        <v>2022</v>
      </c>
      <c r="B77" s="15">
        <f>AVERAGE(E77,H77,K77,Z77)</f>
        <v>28.125</v>
      </c>
      <c r="C77" s="15"/>
      <c r="D77" s="7">
        <v>2022</v>
      </c>
      <c r="E77" s="14">
        <v>0</v>
      </c>
      <c r="F77" s="17" t="s">
        <v>1878</v>
      </c>
      <c r="G77" s="7">
        <v>2022</v>
      </c>
      <c r="H77" s="14">
        <v>0</v>
      </c>
      <c r="I77" s="17"/>
      <c r="J77" s="7">
        <v>2022</v>
      </c>
      <c r="K77" s="31">
        <f t="shared" si="2"/>
        <v>12.5</v>
      </c>
      <c r="M77" s="7">
        <v>2022</v>
      </c>
      <c r="N77" s="21">
        <v>0</v>
      </c>
      <c r="O77" s="17" t="s">
        <v>1878</v>
      </c>
      <c r="P77" s="7">
        <v>2022</v>
      </c>
      <c r="Q77" s="21">
        <v>0</v>
      </c>
      <c r="R77" s="17" t="s">
        <v>1878</v>
      </c>
      <c r="S77" s="7">
        <v>2022</v>
      </c>
      <c r="T77" s="21">
        <v>50</v>
      </c>
      <c r="U77" s="17" t="s">
        <v>1878</v>
      </c>
      <c r="V77" s="7">
        <v>2022</v>
      </c>
      <c r="W77" s="1">
        <v>0</v>
      </c>
      <c r="X77" s="17" t="s">
        <v>1898</v>
      </c>
      <c r="Y77" s="7">
        <v>2022</v>
      </c>
      <c r="Z77" s="14">
        <v>100</v>
      </c>
      <c r="AA77" s="23"/>
    </row>
    <row r="78" spans="1:33" ht="33" customHeight="1">
      <c r="A78" s="7">
        <v>2023</v>
      </c>
      <c r="B78" s="15">
        <f>AVERAGE(E78,H78,K78,Z78)</f>
        <v>28.125</v>
      </c>
      <c r="C78" s="15"/>
      <c r="D78" s="7">
        <v>2023</v>
      </c>
      <c r="E78" s="14">
        <v>0</v>
      </c>
      <c r="F78" s="23" t="s">
        <v>1955</v>
      </c>
      <c r="G78" s="7">
        <v>2023</v>
      </c>
      <c r="H78" s="14">
        <v>0</v>
      </c>
      <c r="I78" s="17" t="s">
        <v>1956</v>
      </c>
      <c r="J78" s="7">
        <v>2023</v>
      </c>
      <c r="K78" s="31">
        <f t="shared" si="2"/>
        <v>12.5</v>
      </c>
      <c r="L78" s="14"/>
      <c r="M78" s="7">
        <v>2023</v>
      </c>
      <c r="N78" s="21">
        <v>0</v>
      </c>
      <c r="O78" s="17" t="s">
        <v>1878</v>
      </c>
      <c r="P78" s="7">
        <v>2023</v>
      </c>
      <c r="Q78" s="21">
        <v>0</v>
      </c>
      <c r="R78" s="17" t="s">
        <v>1878</v>
      </c>
      <c r="S78" s="7">
        <v>2023</v>
      </c>
      <c r="T78" s="21">
        <v>50</v>
      </c>
      <c r="U78" s="17" t="s">
        <v>1878</v>
      </c>
      <c r="V78" s="7">
        <v>2023</v>
      </c>
      <c r="W78" s="1">
        <v>0</v>
      </c>
      <c r="X78" s="17" t="s">
        <v>1898</v>
      </c>
      <c r="Y78" s="7">
        <v>2023</v>
      </c>
      <c r="Z78" s="14">
        <v>100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93"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41.4"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c r="AD86" s="7"/>
      <c r="AE86" s="7" t="s">
        <v>121</v>
      </c>
      <c r="AF86" s="7"/>
      <c r="AG86" s="7"/>
    </row>
    <row r="87" spans="1:51" ht="27" customHeight="1">
      <c r="A87" s="7">
        <v>2020</v>
      </c>
      <c r="B87" s="15">
        <f>AVERAGE(E87,H87, W87,((Z87+AC87+AF87)/3))</f>
        <v>78.5</v>
      </c>
      <c r="C87" s="15"/>
      <c r="D87" s="7">
        <v>2020</v>
      </c>
      <c r="E87" s="21">
        <v>50</v>
      </c>
      <c r="F87" s="153" t="s">
        <v>1957</v>
      </c>
      <c r="G87" s="7">
        <v>2020</v>
      </c>
      <c r="H87" s="31">
        <f>AVERAGE(K87,N87,Q87,T87)</f>
        <v>100</v>
      </c>
      <c r="I87" s="14"/>
      <c r="J87" s="7">
        <v>2020</v>
      </c>
      <c r="K87" s="14">
        <v>100</v>
      </c>
      <c r="L87" s="153" t="s">
        <v>1958</v>
      </c>
      <c r="M87" s="7">
        <v>2020</v>
      </c>
      <c r="N87" s="14">
        <v>100</v>
      </c>
      <c r="O87" s="153" t="s">
        <v>1959</v>
      </c>
      <c r="P87" s="7">
        <v>2020</v>
      </c>
      <c r="Q87" s="21">
        <v>100</v>
      </c>
      <c r="R87" s="153" t="s">
        <v>1960</v>
      </c>
      <c r="S87" s="7">
        <v>2020</v>
      </c>
      <c r="T87" s="14">
        <v>100</v>
      </c>
      <c r="U87" s="153" t="s">
        <v>1961</v>
      </c>
      <c r="V87" s="7">
        <v>2020</v>
      </c>
      <c r="W87" s="14">
        <v>75</v>
      </c>
      <c r="X87" s="153" t="s">
        <v>1962</v>
      </c>
      <c r="Y87" s="7">
        <v>2020</v>
      </c>
      <c r="Z87" s="14">
        <v>100</v>
      </c>
      <c r="AA87" s="153" t="s">
        <v>1963</v>
      </c>
      <c r="AB87" s="7">
        <v>2020</v>
      </c>
      <c r="AC87" s="14">
        <v>67</v>
      </c>
      <c r="AD87" s="153" t="s">
        <v>1964</v>
      </c>
      <c r="AE87" s="7">
        <v>2020</v>
      </c>
      <c r="AF87" s="14">
        <v>100</v>
      </c>
      <c r="AG87" s="153" t="s">
        <v>1965</v>
      </c>
    </row>
    <row r="88" spans="1:51" ht="24.75" customHeight="1">
      <c r="A88" s="7">
        <v>2021</v>
      </c>
      <c r="B88" s="15">
        <f>AVERAGE(E88,H88, W88,((Z88+AC88+AF88)/3))</f>
        <v>78.5</v>
      </c>
      <c r="C88" s="15"/>
      <c r="D88" s="7">
        <v>2021</v>
      </c>
      <c r="E88" s="21">
        <v>50</v>
      </c>
      <c r="F88" s="17"/>
      <c r="G88" s="7">
        <v>2021</v>
      </c>
      <c r="H88" s="31">
        <f>AVERAGE(K88,N88,Q88,T88)</f>
        <v>100</v>
      </c>
      <c r="I88" s="14"/>
      <c r="J88" s="7">
        <v>2021</v>
      </c>
      <c r="K88" s="14">
        <v>100</v>
      </c>
      <c r="L88" s="17" t="s">
        <v>1878</v>
      </c>
      <c r="M88" s="7">
        <v>2021</v>
      </c>
      <c r="N88" s="14">
        <v>100</v>
      </c>
      <c r="O88" s="17" t="s">
        <v>1878</v>
      </c>
      <c r="P88" s="7">
        <v>2021</v>
      </c>
      <c r="Q88" s="21">
        <v>100</v>
      </c>
      <c r="R88" s="17" t="s">
        <v>1878</v>
      </c>
      <c r="S88" s="7">
        <v>2021</v>
      </c>
      <c r="T88" s="14">
        <v>100</v>
      </c>
      <c r="U88" s="17" t="s">
        <v>1878</v>
      </c>
      <c r="V88" s="7">
        <v>2021</v>
      </c>
      <c r="W88" s="14">
        <v>75</v>
      </c>
      <c r="X88" s="17"/>
      <c r="Y88" s="7">
        <v>2021</v>
      </c>
      <c r="Z88" s="14">
        <v>100</v>
      </c>
      <c r="AA88" s="17" t="s">
        <v>1898</v>
      </c>
      <c r="AB88" s="7">
        <v>2021</v>
      </c>
      <c r="AC88" s="14">
        <v>67</v>
      </c>
      <c r="AD88" s="17" t="s">
        <v>1878</v>
      </c>
      <c r="AE88" s="7">
        <v>2021</v>
      </c>
      <c r="AF88" s="14">
        <v>100</v>
      </c>
      <c r="AG88" s="23" t="s">
        <v>1878</v>
      </c>
    </row>
    <row r="89" spans="1:51" ht="24.75" customHeight="1">
      <c r="A89" s="7">
        <v>2022</v>
      </c>
      <c r="B89" s="15">
        <f>AVERAGE(E89,H89, W89,((Z89+AC89+AF89)/3))</f>
        <v>78.5</v>
      </c>
      <c r="C89" s="15"/>
      <c r="D89" s="7">
        <v>2022</v>
      </c>
      <c r="E89" s="21">
        <v>50</v>
      </c>
      <c r="F89" s="17"/>
      <c r="G89" s="7">
        <v>2022</v>
      </c>
      <c r="H89" s="31">
        <f>AVERAGE(K89,N89,Q89,T89)</f>
        <v>100</v>
      </c>
      <c r="I89" s="14"/>
      <c r="J89" s="7">
        <v>2022</v>
      </c>
      <c r="K89" s="14">
        <v>100</v>
      </c>
      <c r="L89" s="17" t="s">
        <v>1878</v>
      </c>
      <c r="M89" s="7">
        <v>2022</v>
      </c>
      <c r="N89" s="14">
        <v>100</v>
      </c>
      <c r="O89" s="17" t="s">
        <v>1878</v>
      </c>
      <c r="P89" s="7">
        <v>2022</v>
      </c>
      <c r="Q89" s="21">
        <v>100</v>
      </c>
      <c r="R89" s="17" t="s">
        <v>1878</v>
      </c>
      <c r="S89" s="7">
        <v>2022</v>
      </c>
      <c r="T89" s="14">
        <v>100</v>
      </c>
      <c r="U89" s="17" t="s">
        <v>1878</v>
      </c>
      <c r="V89" s="7">
        <v>2022</v>
      </c>
      <c r="W89" s="14">
        <v>75</v>
      </c>
      <c r="X89" s="17"/>
      <c r="Y89" s="7">
        <v>2022</v>
      </c>
      <c r="Z89" s="14">
        <v>100</v>
      </c>
      <c r="AA89" s="17" t="s">
        <v>1898</v>
      </c>
      <c r="AB89" s="7">
        <v>2022</v>
      </c>
      <c r="AC89" s="14">
        <v>67</v>
      </c>
      <c r="AD89" s="17" t="s">
        <v>1878</v>
      </c>
      <c r="AE89" s="7">
        <v>2022</v>
      </c>
      <c r="AF89" s="14">
        <v>100</v>
      </c>
      <c r="AG89" s="23" t="s">
        <v>1878</v>
      </c>
    </row>
    <row r="90" spans="1:51" ht="32.4" customHeight="1">
      <c r="A90" s="7">
        <v>2023</v>
      </c>
      <c r="B90" s="15">
        <f>AVERAGE(E90,H90, W90,((Z90+AC90+AF90)/3))</f>
        <v>78.5</v>
      </c>
      <c r="C90" s="15"/>
      <c r="D90" s="7">
        <v>2023</v>
      </c>
      <c r="E90" s="21">
        <v>50</v>
      </c>
      <c r="F90" s="17"/>
      <c r="G90" s="7">
        <v>2023</v>
      </c>
      <c r="H90" s="31">
        <f>AVERAGE(K90,N90,Q90,T90)</f>
        <v>100</v>
      </c>
      <c r="I90" s="14"/>
      <c r="J90" s="7">
        <v>2023</v>
      </c>
      <c r="K90" s="14">
        <v>100</v>
      </c>
      <c r="L90" s="17" t="s">
        <v>1878</v>
      </c>
      <c r="M90" s="7">
        <v>2023</v>
      </c>
      <c r="N90" s="14">
        <v>100</v>
      </c>
      <c r="O90" s="17" t="s">
        <v>1878</v>
      </c>
      <c r="P90" s="7">
        <v>2023</v>
      </c>
      <c r="Q90" s="21">
        <v>100</v>
      </c>
      <c r="R90" s="17" t="s">
        <v>1878</v>
      </c>
      <c r="S90" s="7">
        <v>2023</v>
      </c>
      <c r="T90" s="14">
        <v>100</v>
      </c>
      <c r="U90" s="17" t="s">
        <v>1878</v>
      </c>
      <c r="V90" s="7">
        <v>2023</v>
      </c>
      <c r="W90" s="14">
        <v>75</v>
      </c>
      <c r="X90" s="23" t="s">
        <v>1966</v>
      </c>
      <c r="Y90" s="7">
        <v>2023</v>
      </c>
      <c r="Z90" s="14">
        <v>100</v>
      </c>
      <c r="AA90" s="17" t="s">
        <v>1898</v>
      </c>
      <c r="AB90" s="7">
        <v>2023</v>
      </c>
      <c r="AC90" s="14">
        <v>67</v>
      </c>
      <c r="AD90" s="17" t="s">
        <v>1878</v>
      </c>
      <c r="AE90" s="7">
        <v>2023</v>
      </c>
      <c r="AF90" s="14">
        <v>100</v>
      </c>
      <c r="AG90" s="23" t="s">
        <v>1878</v>
      </c>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33"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46.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43.2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39.65" customHeight="1">
      <c r="A99" s="27">
        <v>2020</v>
      </c>
      <c r="B99" s="42">
        <f>AVERAGE((E99+K99+Q99)/3+(H99+N99+T99)/3+W99+Z99+AC99+AF99+AI99+AL99)/8</f>
        <v>35.5</v>
      </c>
      <c r="C99" s="43"/>
      <c r="D99" s="27">
        <v>2020</v>
      </c>
      <c r="E99" s="14">
        <v>50</v>
      </c>
      <c r="F99" s="23" t="s">
        <v>1967</v>
      </c>
      <c r="G99" s="7">
        <v>2020</v>
      </c>
      <c r="H99" s="44">
        <v>100</v>
      </c>
      <c r="I99" s="159" t="s">
        <v>1968</v>
      </c>
      <c r="J99" s="27">
        <v>2020</v>
      </c>
      <c r="K99" s="74">
        <v>50</v>
      </c>
      <c r="L99" s="247" t="s">
        <v>1969</v>
      </c>
      <c r="M99" s="7">
        <v>2020</v>
      </c>
      <c r="N99" s="21">
        <v>100</v>
      </c>
      <c r="O99" s="23"/>
      <c r="P99" s="27">
        <v>2020</v>
      </c>
      <c r="Q99" s="14">
        <v>0</v>
      </c>
      <c r="R99" s="23" t="s">
        <v>1970</v>
      </c>
      <c r="S99" s="7">
        <v>2020</v>
      </c>
      <c r="T99" s="21">
        <v>0</v>
      </c>
      <c r="U99" s="153" t="s">
        <v>1971</v>
      </c>
      <c r="V99" s="7">
        <v>2020</v>
      </c>
      <c r="W99" s="82">
        <v>67</v>
      </c>
      <c r="X99" s="23" t="s">
        <v>1972</v>
      </c>
      <c r="Y99" s="7">
        <v>2020</v>
      </c>
      <c r="Z99" s="131">
        <v>67</v>
      </c>
      <c r="AA99" s="23" t="s">
        <v>1973</v>
      </c>
      <c r="AB99" s="7">
        <v>2020</v>
      </c>
      <c r="AC99" s="21">
        <v>0</v>
      </c>
      <c r="AD99" s="23"/>
      <c r="AE99" s="7">
        <v>2020</v>
      </c>
      <c r="AF99" s="14">
        <v>0</v>
      </c>
      <c r="AG99" s="23" t="s">
        <v>1974</v>
      </c>
      <c r="AH99" s="7">
        <v>2020</v>
      </c>
      <c r="AI99" s="21">
        <v>50</v>
      </c>
      <c r="AJ99" s="23" t="s">
        <v>1975</v>
      </c>
      <c r="AK99" s="7">
        <v>2020</v>
      </c>
      <c r="AL99" s="21">
        <v>0</v>
      </c>
      <c r="AM99" s="23" t="s">
        <v>1976</v>
      </c>
      <c r="AN99" s="40"/>
      <c r="AO99" s="40"/>
      <c r="AP99" s="40"/>
      <c r="AQ99" s="40"/>
      <c r="AR99" s="40"/>
      <c r="AS99" s="40"/>
      <c r="AT99" s="40"/>
      <c r="AU99" s="40"/>
      <c r="AV99" s="40"/>
      <c r="AW99" s="40"/>
      <c r="AX99" s="40"/>
      <c r="AY99" s="40"/>
    </row>
    <row r="100" spans="1:51" s="38" customFormat="1" ht="36.65" customHeight="1">
      <c r="A100" s="27">
        <v>2021</v>
      </c>
      <c r="B100" s="42">
        <f>AVERAGE((E100+K100+Q100)/3+(H100+N100+T100)/3+W100+Z100+AC100+AF100+AI100+AL100)/8</f>
        <v>35.5</v>
      </c>
      <c r="C100" s="49"/>
      <c r="D100" s="27">
        <v>2021</v>
      </c>
      <c r="E100" s="14">
        <v>50</v>
      </c>
      <c r="F100" s="23" t="s">
        <v>1977</v>
      </c>
      <c r="G100" s="7">
        <v>2021</v>
      </c>
      <c r="H100" s="44">
        <v>100</v>
      </c>
      <c r="I100" s="23" t="s">
        <v>1878</v>
      </c>
      <c r="J100" s="27">
        <v>2021</v>
      </c>
      <c r="K100" s="74">
        <v>50</v>
      </c>
      <c r="L100" s="23" t="s">
        <v>1898</v>
      </c>
      <c r="M100" s="7">
        <v>2021</v>
      </c>
      <c r="N100" s="21">
        <v>100</v>
      </c>
      <c r="O100" s="23"/>
      <c r="P100" s="27">
        <v>2021</v>
      </c>
      <c r="Q100" s="14">
        <v>0</v>
      </c>
      <c r="R100" s="23" t="s">
        <v>1878</v>
      </c>
      <c r="S100" s="7">
        <v>2021</v>
      </c>
      <c r="T100" s="21">
        <v>0</v>
      </c>
      <c r="U100" s="23"/>
      <c r="V100" s="7">
        <v>2021</v>
      </c>
      <c r="W100" s="82">
        <v>67</v>
      </c>
      <c r="X100" s="23"/>
      <c r="Y100" s="7">
        <v>2021</v>
      </c>
      <c r="Z100" s="131">
        <v>67</v>
      </c>
      <c r="AA100" s="23" t="s">
        <v>1978</v>
      </c>
      <c r="AB100" s="7">
        <v>2021</v>
      </c>
      <c r="AC100" s="21">
        <v>0</v>
      </c>
      <c r="AD100" s="23" t="s">
        <v>1979</v>
      </c>
      <c r="AE100" s="7">
        <v>2021</v>
      </c>
      <c r="AF100" s="14">
        <v>0</v>
      </c>
      <c r="AG100" s="23"/>
      <c r="AH100" s="7">
        <v>2021</v>
      </c>
      <c r="AI100" s="21">
        <v>50</v>
      </c>
      <c r="AJ100" s="23" t="s">
        <v>1980</v>
      </c>
      <c r="AK100" s="7">
        <v>2021</v>
      </c>
      <c r="AL100" s="21">
        <v>0</v>
      </c>
      <c r="AM100" s="23"/>
      <c r="AN100" s="40"/>
      <c r="AO100" s="40"/>
      <c r="AP100" s="40"/>
      <c r="AQ100" s="40"/>
      <c r="AR100" s="40"/>
      <c r="AS100" s="40"/>
      <c r="AT100" s="40"/>
      <c r="AU100" s="40"/>
      <c r="AV100" s="40"/>
      <c r="AW100" s="40"/>
      <c r="AX100" s="40"/>
      <c r="AY100" s="40"/>
    </row>
    <row r="101" spans="1:51" s="38" customFormat="1" ht="34.75" customHeight="1">
      <c r="A101" s="27">
        <v>2022</v>
      </c>
      <c r="B101" s="42">
        <f>AVERAGE((E101+K101+Q101)/3+(H101+N101+T101)/3+W101+Z101+AC101+AF101+AI101+AL101)/8</f>
        <v>35.5</v>
      </c>
      <c r="C101" s="49"/>
      <c r="D101" s="27">
        <v>2022</v>
      </c>
      <c r="E101" s="14">
        <v>50</v>
      </c>
      <c r="F101" s="23" t="s">
        <v>1981</v>
      </c>
      <c r="G101" s="27">
        <v>2022</v>
      </c>
      <c r="H101" s="44">
        <v>100</v>
      </c>
      <c r="I101" s="23" t="s">
        <v>1878</v>
      </c>
      <c r="J101" s="27">
        <v>2022</v>
      </c>
      <c r="K101" s="74">
        <v>50</v>
      </c>
      <c r="L101" s="23" t="s">
        <v>1898</v>
      </c>
      <c r="M101" s="27">
        <v>2022</v>
      </c>
      <c r="N101" s="21">
        <v>100</v>
      </c>
      <c r="O101" s="23"/>
      <c r="P101" s="27">
        <v>2022</v>
      </c>
      <c r="Q101" s="14">
        <v>0</v>
      </c>
      <c r="R101" s="23" t="s">
        <v>1878</v>
      </c>
      <c r="S101" s="27">
        <v>2022</v>
      </c>
      <c r="T101" s="21">
        <v>0</v>
      </c>
      <c r="U101" s="23"/>
      <c r="V101" s="27">
        <v>2022</v>
      </c>
      <c r="W101" s="82">
        <v>67</v>
      </c>
      <c r="X101" s="23"/>
      <c r="Y101" s="27">
        <v>2022</v>
      </c>
      <c r="Z101" s="131">
        <v>67</v>
      </c>
      <c r="AA101" s="23" t="s">
        <v>1898</v>
      </c>
      <c r="AB101" s="27">
        <v>2022</v>
      </c>
      <c r="AC101" s="21">
        <v>0</v>
      </c>
      <c r="AD101" s="23"/>
      <c r="AE101" s="27">
        <v>2022</v>
      </c>
      <c r="AF101" s="14">
        <v>0</v>
      </c>
      <c r="AG101" s="23"/>
      <c r="AH101" s="27">
        <v>2022</v>
      </c>
      <c r="AI101" s="21">
        <v>50</v>
      </c>
      <c r="AJ101" s="23"/>
      <c r="AK101" s="27">
        <v>2022</v>
      </c>
      <c r="AL101" s="21">
        <v>0</v>
      </c>
      <c r="AM101" s="23" t="s">
        <v>1982</v>
      </c>
      <c r="AN101" s="40"/>
      <c r="AO101" s="40"/>
      <c r="AP101" s="40"/>
      <c r="AQ101" s="40"/>
      <c r="AR101" s="40"/>
      <c r="AS101" s="40"/>
      <c r="AT101" s="40"/>
      <c r="AU101" s="40"/>
      <c r="AV101" s="40"/>
      <c r="AW101" s="40"/>
      <c r="AX101" s="40"/>
      <c r="AY101" s="40"/>
    </row>
    <row r="102" spans="1:51" ht="31.25" customHeight="1">
      <c r="A102" s="27">
        <v>2023</v>
      </c>
      <c r="B102" s="42">
        <f>AVERAGE((E102+K102+Q102)/3+(H102+N102+T102)/3+W102+Z102+AC102+AF102+AI102+AL102)/8</f>
        <v>35.5</v>
      </c>
      <c r="C102" s="49"/>
      <c r="D102" s="27">
        <v>2023</v>
      </c>
      <c r="E102" s="14">
        <v>50</v>
      </c>
      <c r="F102" s="23" t="s">
        <v>1983</v>
      </c>
      <c r="G102" s="27">
        <v>2023</v>
      </c>
      <c r="H102" s="44">
        <v>100</v>
      </c>
      <c r="I102" s="23" t="s">
        <v>1878</v>
      </c>
      <c r="J102" s="27">
        <v>2023</v>
      </c>
      <c r="K102" s="74">
        <v>50</v>
      </c>
      <c r="L102" s="23" t="s">
        <v>1984</v>
      </c>
      <c r="M102" s="27">
        <v>2023</v>
      </c>
      <c r="N102" s="21">
        <v>100</v>
      </c>
      <c r="O102" s="23"/>
      <c r="P102" s="27">
        <v>2023</v>
      </c>
      <c r="Q102" s="14">
        <v>0</v>
      </c>
      <c r="R102" s="23" t="s">
        <v>1878</v>
      </c>
      <c r="S102" s="27">
        <v>2023</v>
      </c>
      <c r="T102" s="21">
        <v>0</v>
      </c>
      <c r="U102" s="23"/>
      <c r="V102" s="27">
        <v>2023</v>
      </c>
      <c r="W102" s="82">
        <v>67</v>
      </c>
      <c r="X102" s="22"/>
      <c r="Y102" s="27">
        <v>2023</v>
      </c>
      <c r="Z102" s="131">
        <v>67</v>
      </c>
      <c r="AA102" s="22" t="s">
        <v>1985</v>
      </c>
      <c r="AB102" s="27">
        <v>2023</v>
      </c>
      <c r="AC102" s="21">
        <v>0</v>
      </c>
      <c r="AD102" s="23" t="s">
        <v>1986</v>
      </c>
      <c r="AE102" s="27">
        <v>2023</v>
      </c>
      <c r="AF102" s="14">
        <v>0</v>
      </c>
      <c r="AG102" s="23" t="s">
        <v>1974</v>
      </c>
      <c r="AH102" s="27">
        <v>2023</v>
      </c>
      <c r="AI102" s="21">
        <v>50</v>
      </c>
      <c r="AJ102" s="23"/>
      <c r="AK102" s="27">
        <v>2023</v>
      </c>
      <c r="AL102" s="21">
        <v>0</v>
      </c>
      <c r="AM102" s="23" t="s">
        <v>1878</v>
      </c>
    </row>
    <row r="103" spans="1:51" ht="72.900000000000006" customHeight="1">
      <c r="Y103" s="100"/>
      <c r="Z103" s="100"/>
      <c r="AA103" s="100"/>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pageMargins left="0.70833333333333304" right="0.70833333333333304" top="0.74791666666666701" bottom="0.74791666666666701" header="0.31458333333333299" footer="0.31458333333333299"/>
  <pageSetup paperSize="9" scale="50" orientation="landscape"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9E05-4B27-4424-B4D6-FEC5231A976E}">
  <dimension ref="A1:CC102"/>
  <sheetViews>
    <sheetView zoomScale="84" zoomScaleNormal="55" workbookViewId="0">
      <selection activeCell="D6" sqref="D6"/>
    </sheetView>
  </sheetViews>
  <sheetFormatPr defaultColWidth="8.81640625" defaultRowHeight="15" customHeight="1"/>
  <cols>
    <col min="1" max="1" width="17.453125" style="1" customWidth="1"/>
    <col min="2" max="2" width="13.453125" style="1" customWidth="1"/>
    <col min="3" max="3" width="23.1796875" style="1" customWidth="1"/>
    <col min="4" max="4" width="17.453125" style="1" customWidth="1"/>
    <col min="5" max="5" width="13.453125" style="1" customWidth="1"/>
    <col min="6" max="6" width="23.1796875" style="1" customWidth="1"/>
    <col min="7" max="7" width="17.453125" style="1" customWidth="1"/>
    <col min="8" max="8" width="13.453125" style="1" customWidth="1"/>
    <col min="9" max="9" width="23.1796875" style="1" customWidth="1"/>
    <col min="10" max="10" width="17.453125" style="1" customWidth="1"/>
    <col min="11" max="11" width="13.453125" style="1" customWidth="1"/>
    <col min="12" max="12" width="23.1796875" style="1" customWidth="1"/>
    <col min="13" max="13" width="17.453125" style="1" customWidth="1"/>
    <col min="14" max="14" width="13.453125" style="1" customWidth="1"/>
    <col min="15" max="15" width="23.1796875" style="1" customWidth="1"/>
    <col min="16" max="16" width="17.453125" style="1" customWidth="1"/>
    <col min="17" max="17" width="13.453125" style="1" customWidth="1"/>
    <col min="18" max="18" width="23.1796875" style="1" customWidth="1"/>
    <col min="19" max="19" width="17.453125" style="1" customWidth="1"/>
    <col min="20" max="20" width="13.453125" style="1" customWidth="1"/>
    <col min="21" max="21" width="23.1796875" style="1" customWidth="1"/>
    <col min="22" max="22" width="17.453125" style="1" customWidth="1"/>
    <col min="23" max="23" width="13.453125" style="1" customWidth="1"/>
    <col min="24" max="24" width="23.1796875" style="1" customWidth="1"/>
    <col min="25" max="25" width="17.453125" style="1" customWidth="1"/>
    <col min="26" max="26" width="13.453125" style="1" customWidth="1"/>
    <col min="27" max="27" width="23.1796875" style="1" customWidth="1"/>
    <col min="28" max="28" width="17.453125" style="1" customWidth="1"/>
    <col min="29" max="29" width="13.453125" style="1" customWidth="1"/>
    <col min="30" max="30" width="23.1796875" style="1" customWidth="1"/>
    <col min="31" max="31" width="17.453125" style="1" customWidth="1"/>
    <col min="32" max="32" width="13.453125" style="1" customWidth="1"/>
    <col min="33" max="33" width="23.1796875" style="1" customWidth="1"/>
    <col min="34" max="34" width="17.453125" style="1" customWidth="1"/>
    <col min="35" max="35" width="13.453125" style="1" customWidth="1"/>
    <col min="36" max="36" width="23.1796875" style="1" customWidth="1"/>
    <col min="37" max="37" width="17.453125" style="1" customWidth="1"/>
    <col min="38" max="38" width="13.453125" style="1" customWidth="1"/>
    <col min="39" max="39" width="23.1796875" style="1" customWidth="1"/>
    <col min="40" max="40" width="17.453125" style="1" customWidth="1"/>
    <col min="41" max="41" width="13.453125" style="1" customWidth="1"/>
    <col min="42" max="42" width="23.1796875" style="1" customWidth="1"/>
    <col min="43" max="43" width="17.453125" style="1" customWidth="1"/>
    <col min="44" max="44" width="13.453125" style="1" customWidth="1"/>
    <col min="45" max="45" width="23.1796875" style="1" customWidth="1"/>
    <col min="46" max="46" width="17.453125" style="1" customWidth="1"/>
    <col min="47" max="47" width="13.453125" style="1" customWidth="1"/>
    <col min="48" max="48" width="23.1796875" style="1" customWidth="1"/>
    <col min="49" max="49" width="17.453125" style="1" customWidth="1"/>
    <col min="50" max="50" width="13.453125" style="1" customWidth="1"/>
    <col min="51" max="51" width="23.1796875" style="1" customWidth="1"/>
    <col min="52" max="16384" width="8.81640625" style="1"/>
  </cols>
  <sheetData>
    <row r="1" spans="1:81" ht="29.4" customHeight="1">
      <c r="A1" s="323" t="s">
        <v>0</v>
      </c>
      <c r="B1" s="323"/>
      <c r="C1" s="323"/>
      <c r="D1" s="323"/>
    </row>
    <row r="2" spans="1:81" ht="34.75" customHeight="1">
      <c r="A2" s="2" t="s">
        <v>1</v>
      </c>
      <c r="B2" s="2" t="s">
        <v>2</v>
      </c>
      <c r="C2" s="2" t="s">
        <v>3</v>
      </c>
      <c r="D2" s="2" t="s">
        <v>4</v>
      </c>
    </row>
    <row r="3" spans="1:81" ht="15" customHeight="1">
      <c r="A3" s="3">
        <v>2020</v>
      </c>
      <c r="B3" s="16">
        <f>AVERAGE(B15,B27,B39,B51,B63,B75,B87,B99)</f>
        <v>86.390128968253975</v>
      </c>
      <c r="C3" s="16">
        <f>AVERAGE(B15,B27,B39,B51,B63,B75,B87)</f>
        <v>86.820861678004547</v>
      </c>
      <c r="D3" s="16">
        <f>AVERAGE(B15,B27,B51,B63,B75,B87)</f>
        <v>85.814814814814824</v>
      </c>
    </row>
    <row r="4" spans="1:81" ht="15" customHeight="1">
      <c r="A4" s="3">
        <v>2021</v>
      </c>
      <c r="B4" s="16">
        <f t="shared" ref="B4:B6" si="0">AVERAGE(B16,B28,B40,B52,B64,B76,B88,B100)</f>
        <v>86.390128968253975</v>
      </c>
      <c r="C4" s="16">
        <f t="shared" ref="C4:C6" si="1">AVERAGE(B16,B28,B40,B52,B64,B76,B88)</f>
        <v>86.820861678004547</v>
      </c>
      <c r="D4" s="16">
        <f t="shared" ref="D4:D5" si="2">AVERAGE(B16,B28,B52,B64,B76,B88)</f>
        <v>85.814814814814824</v>
      </c>
    </row>
    <row r="5" spans="1:81" ht="15" customHeight="1">
      <c r="A5" s="3">
        <v>2022</v>
      </c>
      <c r="B5" s="16">
        <f t="shared" si="0"/>
        <v>86.390128968253975</v>
      </c>
      <c r="C5" s="16">
        <f>AVERAGE(B17,B29,B41,B53,B65,B77,B89)</f>
        <v>86.820861678004547</v>
      </c>
      <c r="D5" s="16">
        <f t="shared" si="2"/>
        <v>85.814814814814824</v>
      </c>
    </row>
    <row r="6" spans="1:81" ht="15" customHeight="1">
      <c r="A6" s="3">
        <v>2023</v>
      </c>
      <c r="B6" s="16">
        <f t="shared" si="0"/>
        <v>86.390128968253975</v>
      </c>
      <c r="C6" s="16">
        <f t="shared" si="1"/>
        <v>86.820861678004547</v>
      </c>
      <c r="D6" s="16">
        <f>AVERAGE(B18,B30,B54,B66,B78,B90)</f>
        <v>85.814814814814824</v>
      </c>
    </row>
    <row r="7" spans="1:81" ht="24.75" customHeight="1"/>
    <row r="8" spans="1:81" ht="24.75" customHeight="1">
      <c r="A8" s="5" t="s">
        <v>5</v>
      </c>
      <c r="B8" s="324" t="s">
        <v>6</v>
      </c>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6"/>
      <c r="AF8" s="6"/>
      <c r="AG8" s="6"/>
      <c r="AH8" s="6"/>
      <c r="AI8" s="6"/>
      <c r="AJ8" s="6"/>
    </row>
    <row r="9" spans="1:81" ht="24.75" customHeight="1">
      <c r="A9" s="5" t="s">
        <v>7</v>
      </c>
      <c r="B9" s="318" t="s">
        <v>8</v>
      </c>
      <c r="C9" s="318"/>
      <c r="D9" s="5" t="s">
        <v>7</v>
      </c>
      <c r="E9" s="312"/>
      <c r="F9" s="312"/>
      <c r="G9" s="5" t="s">
        <v>7</v>
      </c>
      <c r="H9" s="312"/>
      <c r="I9" s="312"/>
      <c r="J9" s="5" t="s">
        <v>7</v>
      </c>
      <c r="K9" s="312"/>
      <c r="L9" s="312"/>
      <c r="M9" s="5" t="s">
        <v>7</v>
      </c>
      <c r="N9" s="312" t="s">
        <v>9</v>
      </c>
      <c r="O9" s="312"/>
      <c r="P9" s="5" t="s">
        <v>7</v>
      </c>
      <c r="Q9" s="318" t="s">
        <v>10</v>
      </c>
      <c r="R9" s="318"/>
      <c r="S9" s="5" t="s">
        <v>7</v>
      </c>
      <c r="T9" s="312" t="s">
        <v>11</v>
      </c>
      <c r="U9" s="312"/>
      <c r="V9" s="9" t="s">
        <v>7</v>
      </c>
      <c r="W9" s="315"/>
      <c r="X9" s="315"/>
      <c r="Y9" s="9" t="s">
        <v>7</v>
      </c>
      <c r="Z9" s="315"/>
      <c r="AA9" s="315"/>
      <c r="AB9" s="5" t="s">
        <v>7</v>
      </c>
      <c r="AC9" s="312" t="s">
        <v>12</v>
      </c>
      <c r="AD9" s="312"/>
    </row>
    <row r="10" spans="1:81" ht="24.75" customHeight="1">
      <c r="A10" s="5" t="s">
        <v>13</v>
      </c>
      <c r="B10" s="7"/>
      <c r="C10" s="7"/>
      <c r="D10" s="5" t="s">
        <v>13</v>
      </c>
      <c r="E10" s="311" t="s">
        <v>14</v>
      </c>
      <c r="F10" s="311"/>
      <c r="G10" s="5" t="s">
        <v>13</v>
      </c>
      <c r="H10" s="311" t="s">
        <v>15</v>
      </c>
      <c r="I10" s="311"/>
      <c r="J10" s="5" t="s">
        <v>13</v>
      </c>
      <c r="K10" s="311" t="s">
        <v>16</v>
      </c>
      <c r="L10" s="311"/>
      <c r="M10" s="5" t="s">
        <v>13</v>
      </c>
      <c r="N10" s="311"/>
      <c r="O10" s="311"/>
      <c r="P10" s="5" t="s">
        <v>13</v>
      </c>
      <c r="Q10" s="312"/>
      <c r="R10" s="312"/>
      <c r="S10" s="5" t="s">
        <v>13</v>
      </c>
      <c r="T10" s="312"/>
      <c r="U10" s="312"/>
      <c r="V10" s="9" t="s">
        <v>13</v>
      </c>
      <c r="W10" s="314" t="s">
        <v>17</v>
      </c>
      <c r="X10" s="315"/>
      <c r="Y10" s="9" t="s">
        <v>13</v>
      </c>
      <c r="Z10" s="314" t="s">
        <v>18</v>
      </c>
      <c r="AA10" s="315"/>
      <c r="AB10" s="5" t="s">
        <v>13</v>
      </c>
      <c r="AC10" s="8"/>
      <c r="AD10" s="8"/>
    </row>
    <row r="11" spans="1:81" ht="24.75" customHeight="1">
      <c r="A11" s="7" t="s">
        <v>19</v>
      </c>
      <c r="B11" s="322" t="s">
        <v>20</v>
      </c>
      <c r="C11" s="322"/>
      <c r="D11" s="7" t="s">
        <v>19</v>
      </c>
      <c r="E11" s="322" t="s">
        <v>21</v>
      </c>
      <c r="F11" s="322"/>
      <c r="G11" s="7" t="s">
        <v>19</v>
      </c>
      <c r="H11" s="322" t="s">
        <v>22</v>
      </c>
      <c r="I11" s="322"/>
      <c r="J11" s="7" t="s">
        <v>19</v>
      </c>
      <c r="K11" s="322" t="s">
        <v>23</v>
      </c>
      <c r="L11" s="322"/>
      <c r="M11" s="7" t="s">
        <v>19</v>
      </c>
      <c r="N11" s="322" t="s">
        <v>24</v>
      </c>
      <c r="O11" s="322"/>
      <c r="P11" s="7" t="s">
        <v>19</v>
      </c>
      <c r="Q11" s="322" t="s">
        <v>25</v>
      </c>
      <c r="R11" s="322"/>
      <c r="S11" s="7" t="s">
        <v>19</v>
      </c>
      <c r="T11" s="322" t="s">
        <v>26</v>
      </c>
      <c r="U11" s="322"/>
      <c r="V11" s="11" t="s">
        <v>19</v>
      </c>
      <c r="W11" s="308" t="s">
        <v>27</v>
      </c>
      <c r="X11" s="308"/>
      <c r="Y11" s="11" t="s">
        <v>19</v>
      </c>
      <c r="Z11" s="308" t="s">
        <v>28</v>
      </c>
      <c r="AA11" s="308"/>
      <c r="AB11" s="7" t="s">
        <v>19</v>
      </c>
      <c r="AC11" s="322" t="s">
        <v>29</v>
      </c>
      <c r="AD11" s="322"/>
    </row>
    <row r="12" spans="1:81" ht="24.75" customHeight="1">
      <c r="A12" s="7" t="s">
        <v>30</v>
      </c>
      <c r="B12" s="322" t="s">
        <v>31</v>
      </c>
      <c r="C12" s="322"/>
      <c r="D12" s="7" t="s">
        <v>30</v>
      </c>
      <c r="E12" s="310" t="s">
        <v>32</v>
      </c>
      <c r="F12" s="310"/>
      <c r="G12" s="7" t="s">
        <v>30</v>
      </c>
      <c r="H12" s="310" t="s">
        <v>33</v>
      </c>
      <c r="I12" s="310"/>
      <c r="J12" s="7" t="s">
        <v>30</v>
      </c>
      <c r="K12" s="310" t="s">
        <v>34</v>
      </c>
      <c r="L12" s="310"/>
      <c r="M12" s="7" t="s">
        <v>30</v>
      </c>
      <c r="N12" s="310" t="s">
        <v>35</v>
      </c>
      <c r="O12" s="310"/>
      <c r="P12" s="7" t="s">
        <v>30</v>
      </c>
      <c r="Q12" s="310" t="s">
        <v>36</v>
      </c>
      <c r="R12" s="310"/>
      <c r="S12" s="7" t="s">
        <v>30</v>
      </c>
      <c r="T12" s="310" t="s">
        <v>37</v>
      </c>
      <c r="U12" s="310"/>
      <c r="V12" s="11" t="s">
        <v>30</v>
      </c>
      <c r="W12" s="309" t="s">
        <v>38</v>
      </c>
      <c r="X12" s="309"/>
      <c r="Y12" s="11" t="s">
        <v>30</v>
      </c>
      <c r="Z12" s="309" t="s">
        <v>39</v>
      </c>
      <c r="AA12" s="309"/>
      <c r="AB12" s="7" t="s">
        <v>30</v>
      </c>
      <c r="AC12" s="310" t="s">
        <v>40</v>
      </c>
      <c r="AD12" s="310"/>
    </row>
    <row r="13" spans="1:81" ht="24.75" customHeight="1">
      <c r="A13" s="7" t="s">
        <v>41</v>
      </c>
      <c r="B13" s="310" t="s">
        <v>42</v>
      </c>
      <c r="C13" s="310"/>
      <c r="D13" s="7" t="s">
        <v>41</v>
      </c>
      <c r="E13" s="310" t="s">
        <v>43</v>
      </c>
      <c r="F13" s="310"/>
      <c r="G13" s="7" t="s">
        <v>41</v>
      </c>
      <c r="H13" s="308" t="s">
        <v>44</v>
      </c>
      <c r="I13" s="309"/>
      <c r="J13" s="7" t="s">
        <v>41</v>
      </c>
      <c r="K13" s="308" t="s">
        <v>45</v>
      </c>
      <c r="L13" s="309"/>
      <c r="M13" s="7" t="s">
        <v>41</v>
      </c>
      <c r="N13" s="310" t="s">
        <v>46</v>
      </c>
      <c r="O13" s="310"/>
      <c r="P13" s="7" t="s">
        <v>41</v>
      </c>
      <c r="Q13" s="310" t="s">
        <v>47</v>
      </c>
      <c r="R13" s="310"/>
      <c r="S13" s="7" t="s">
        <v>41</v>
      </c>
      <c r="T13" s="322" t="s">
        <v>48</v>
      </c>
      <c r="U13" s="310"/>
      <c r="V13" s="11" t="s">
        <v>41</v>
      </c>
      <c r="W13" s="309" t="s">
        <v>49</v>
      </c>
      <c r="X13" s="309"/>
      <c r="Y13" s="11" t="s">
        <v>41</v>
      </c>
      <c r="Z13" s="309" t="s">
        <v>50</v>
      </c>
      <c r="AA13" s="309"/>
      <c r="AB13" s="7" t="s">
        <v>41</v>
      </c>
      <c r="AC13" s="310" t="s">
        <v>51</v>
      </c>
      <c r="AD13" s="310"/>
    </row>
    <row r="14" spans="1:81" s="50" customFormat="1" ht="24.75" customHeight="1">
      <c r="A14" s="7" t="s">
        <v>1</v>
      </c>
      <c r="B14" s="7" t="s">
        <v>52</v>
      </c>
      <c r="C14" s="7" t="s">
        <v>53</v>
      </c>
      <c r="D14" s="7" t="s">
        <v>1</v>
      </c>
      <c r="E14" s="7" t="s">
        <v>52</v>
      </c>
      <c r="F14" s="7" t="s">
        <v>53</v>
      </c>
      <c r="G14" s="7" t="s">
        <v>1</v>
      </c>
      <c r="H14" s="7" t="s">
        <v>52</v>
      </c>
      <c r="I14" s="7" t="s">
        <v>53</v>
      </c>
      <c r="J14" s="7" t="s">
        <v>1</v>
      </c>
      <c r="K14" s="7" t="s">
        <v>52</v>
      </c>
      <c r="L14" s="7" t="s">
        <v>53</v>
      </c>
      <c r="M14" s="7" t="s">
        <v>1</v>
      </c>
      <c r="N14" s="7" t="s">
        <v>52</v>
      </c>
      <c r="O14" s="7" t="s">
        <v>53</v>
      </c>
      <c r="P14" s="7" t="s">
        <v>1</v>
      </c>
      <c r="Q14" s="7" t="s">
        <v>52</v>
      </c>
      <c r="R14" s="7" t="s">
        <v>53</v>
      </c>
      <c r="S14" s="7" t="s">
        <v>1</v>
      </c>
      <c r="T14" s="7" t="s">
        <v>54</v>
      </c>
      <c r="U14" s="7" t="s">
        <v>53</v>
      </c>
      <c r="V14" s="7"/>
      <c r="W14" s="7" t="s">
        <v>52</v>
      </c>
      <c r="X14" s="7" t="s">
        <v>53</v>
      </c>
      <c r="Y14" s="7" t="s">
        <v>1</v>
      </c>
      <c r="Z14" s="7" t="s">
        <v>52</v>
      </c>
      <c r="AA14" s="7" t="s">
        <v>53</v>
      </c>
      <c r="AB14" s="7" t="s">
        <v>1</v>
      </c>
      <c r="AC14" s="7" t="s">
        <v>52</v>
      </c>
      <c r="AD14" s="7" t="s">
        <v>53</v>
      </c>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ht="24.75" customHeight="1">
      <c r="A15" s="7">
        <v>2020</v>
      </c>
      <c r="B15" s="15">
        <f t="shared" ref="B15:B18" si="3">AVERAGE(E15, H15,K15,N15,Q15,T15,W15,Z15,AC15)</f>
        <v>90.777777777777771</v>
      </c>
      <c r="C15" s="16"/>
      <c r="D15" s="7">
        <v>2020</v>
      </c>
      <c r="E15" s="14">
        <v>50</v>
      </c>
      <c r="F15" s="17"/>
      <c r="G15" s="7">
        <v>2020</v>
      </c>
      <c r="H15" s="14">
        <v>100</v>
      </c>
      <c r="I15" s="17"/>
      <c r="J15" s="7">
        <v>2020</v>
      </c>
      <c r="K15" s="14">
        <v>100</v>
      </c>
      <c r="L15" s="17"/>
      <c r="M15" s="7">
        <v>2020</v>
      </c>
      <c r="N15" s="14">
        <v>100</v>
      </c>
      <c r="O15" s="17"/>
      <c r="P15" s="7">
        <v>2020</v>
      </c>
      <c r="Q15" s="14">
        <v>67</v>
      </c>
      <c r="R15" s="17"/>
      <c r="S15" s="7">
        <v>2020</v>
      </c>
      <c r="T15" s="80">
        <v>100</v>
      </c>
      <c r="U15" s="17"/>
      <c r="V15" s="7">
        <v>2020</v>
      </c>
      <c r="W15" s="14">
        <v>100</v>
      </c>
      <c r="X15" s="17"/>
      <c r="Y15" s="7">
        <v>2020</v>
      </c>
      <c r="Z15" s="14">
        <v>100</v>
      </c>
      <c r="AA15" s="17"/>
      <c r="AB15" s="7">
        <v>2020</v>
      </c>
      <c r="AC15" s="21">
        <v>100</v>
      </c>
      <c r="AD15" s="23"/>
    </row>
    <row r="16" spans="1:81" ht="24.75" customHeight="1">
      <c r="A16" s="7">
        <v>2021</v>
      </c>
      <c r="B16" s="15">
        <f t="shared" si="3"/>
        <v>90.777777777777771</v>
      </c>
      <c r="C16" s="16"/>
      <c r="D16" s="7">
        <v>2021</v>
      </c>
      <c r="E16" s="14">
        <v>50</v>
      </c>
      <c r="F16" s="17"/>
      <c r="G16" s="7">
        <v>2021</v>
      </c>
      <c r="H16" s="14">
        <v>100</v>
      </c>
      <c r="I16" s="17"/>
      <c r="J16" s="7">
        <v>2021</v>
      </c>
      <c r="K16" s="14">
        <v>100</v>
      </c>
      <c r="L16" s="17"/>
      <c r="M16" s="7">
        <v>2021</v>
      </c>
      <c r="N16" s="14">
        <v>100</v>
      </c>
      <c r="O16" s="17"/>
      <c r="P16" s="7">
        <v>2021</v>
      </c>
      <c r="Q16" s="14">
        <v>67</v>
      </c>
      <c r="R16" s="17"/>
      <c r="S16" s="7">
        <v>2021</v>
      </c>
      <c r="T16" s="80">
        <v>100</v>
      </c>
      <c r="U16" s="17"/>
      <c r="V16" s="7">
        <v>2021</v>
      </c>
      <c r="W16" s="14">
        <v>100</v>
      </c>
      <c r="X16" s="17"/>
      <c r="Y16" s="7">
        <v>2021</v>
      </c>
      <c r="Z16" s="14">
        <v>100</v>
      </c>
      <c r="AA16" s="17"/>
      <c r="AB16" s="7">
        <v>2021</v>
      </c>
      <c r="AC16" s="21">
        <v>100</v>
      </c>
      <c r="AD16" s="23"/>
    </row>
    <row r="17" spans="1:51" ht="24.75" customHeight="1">
      <c r="A17" s="7">
        <v>2022</v>
      </c>
      <c r="B17" s="15">
        <f t="shared" si="3"/>
        <v>90.777777777777771</v>
      </c>
      <c r="C17" s="16"/>
      <c r="D17" s="7">
        <v>2022</v>
      </c>
      <c r="E17" s="14">
        <v>50</v>
      </c>
      <c r="F17" s="17"/>
      <c r="G17" s="7">
        <v>2022</v>
      </c>
      <c r="H17" s="14">
        <v>100</v>
      </c>
      <c r="I17" s="17"/>
      <c r="J17" s="7">
        <v>2022</v>
      </c>
      <c r="K17" s="14">
        <v>100</v>
      </c>
      <c r="L17" s="17"/>
      <c r="M17" s="7">
        <v>2022</v>
      </c>
      <c r="N17" s="14">
        <v>100</v>
      </c>
      <c r="O17" s="17"/>
      <c r="P17" s="7">
        <v>2022</v>
      </c>
      <c r="Q17" s="14">
        <v>67</v>
      </c>
      <c r="R17" s="17"/>
      <c r="S17" s="7">
        <v>2022</v>
      </c>
      <c r="T17" s="80">
        <v>100</v>
      </c>
      <c r="U17" s="17"/>
      <c r="V17" s="7">
        <v>2022</v>
      </c>
      <c r="W17" s="14">
        <v>100</v>
      </c>
      <c r="X17" s="17"/>
      <c r="Y17" s="7">
        <v>2022</v>
      </c>
      <c r="Z17" s="14">
        <v>100</v>
      </c>
      <c r="AA17" s="17"/>
      <c r="AB17" s="7">
        <v>2022</v>
      </c>
      <c r="AC17" s="21">
        <v>100</v>
      </c>
      <c r="AD17" s="23"/>
    </row>
    <row r="18" spans="1:51" ht="24.75" customHeight="1">
      <c r="A18" s="7">
        <v>2023</v>
      </c>
      <c r="B18" s="15">
        <f t="shared" si="3"/>
        <v>90.777777777777771</v>
      </c>
      <c r="C18" s="16"/>
      <c r="D18" s="7">
        <v>2023</v>
      </c>
      <c r="E18" s="14">
        <v>50</v>
      </c>
      <c r="F18" s="17" t="s">
        <v>1725</v>
      </c>
      <c r="G18" s="7">
        <v>2023</v>
      </c>
      <c r="H18" s="14">
        <v>100</v>
      </c>
      <c r="I18" s="17" t="s">
        <v>959</v>
      </c>
      <c r="J18" s="7">
        <v>2023</v>
      </c>
      <c r="K18" s="14">
        <v>100</v>
      </c>
      <c r="L18" s="17" t="s">
        <v>959</v>
      </c>
      <c r="M18" s="7">
        <v>2023</v>
      </c>
      <c r="N18" s="14">
        <v>100</v>
      </c>
      <c r="O18" s="17" t="s">
        <v>959</v>
      </c>
      <c r="P18" s="7">
        <v>2023</v>
      </c>
      <c r="Q18" s="14">
        <v>67</v>
      </c>
      <c r="R18" s="17" t="s">
        <v>1726</v>
      </c>
      <c r="S18" s="7">
        <v>2023</v>
      </c>
      <c r="T18" s="80">
        <v>100</v>
      </c>
      <c r="U18" s="17" t="s">
        <v>959</v>
      </c>
      <c r="V18" s="7">
        <v>2023</v>
      </c>
      <c r="W18" s="14">
        <v>100</v>
      </c>
      <c r="X18" s="17" t="s">
        <v>1727</v>
      </c>
      <c r="Y18" s="7">
        <v>2023</v>
      </c>
      <c r="Z18" s="14">
        <v>100</v>
      </c>
      <c r="AA18" s="17" t="s">
        <v>1728</v>
      </c>
      <c r="AB18" s="7">
        <v>2023</v>
      </c>
      <c r="AC18" s="21">
        <v>100</v>
      </c>
      <c r="AD18" s="23" t="s">
        <v>1000</v>
      </c>
    </row>
    <row r="19" spans="1:51" ht="24.75" customHeight="1">
      <c r="A19" s="24"/>
      <c r="B19" s="24"/>
      <c r="C19" s="24"/>
      <c r="D19" s="24"/>
      <c r="E19" s="24"/>
      <c r="F19" s="24"/>
      <c r="G19" s="24"/>
      <c r="H19" s="24"/>
      <c r="I19" s="24"/>
      <c r="J19" s="24"/>
      <c r="K19" s="24"/>
      <c r="L19" s="24"/>
      <c r="M19" s="24"/>
      <c r="N19" s="24"/>
    </row>
    <row r="20" spans="1:51" ht="24.75" customHeight="1">
      <c r="A20" s="5" t="s">
        <v>5</v>
      </c>
      <c r="B20" s="294" t="s">
        <v>59</v>
      </c>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6"/>
    </row>
    <row r="21" spans="1:51" ht="24.75" customHeight="1">
      <c r="A21" s="5" t="s">
        <v>7</v>
      </c>
      <c r="B21" s="318" t="s">
        <v>60</v>
      </c>
      <c r="C21" s="318"/>
      <c r="D21" s="5" t="s">
        <v>7</v>
      </c>
      <c r="E21" s="312" t="s">
        <v>61</v>
      </c>
      <c r="F21" s="312"/>
      <c r="G21" s="5" t="s">
        <v>7</v>
      </c>
      <c r="H21" s="312" t="s">
        <v>62</v>
      </c>
      <c r="I21" s="312"/>
      <c r="J21" s="5" t="s">
        <v>7</v>
      </c>
      <c r="K21" s="313" t="s">
        <v>63</v>
      </c>
      <c r="L21" s="313"/>
      <c r="M21" s="26" t="s">
        <v>7</v>
      </c>
      <c r="N21" s="313"/>
      <c r="O21" s="313"/>
      <c r="P21" s="26" t="s">
        <v>7</v>
      </c>
      <c r="Q21" s="313"/>
      <c r="R21" s="313"/>
      <c r="S21" s="26" t="s">
        <v>7</v>
      </c>
      <c r="T21" s="319" t="s">
        <v>64</v>
      </c>
      <c r="U21" s="319"/>
      <c r="V21" s="5" t="s">
        <v>7</v>
      </c>
      <c r="W21" s="312"/>
      <c r="X21" s="312"/>
      <c r="Y21" s="5" t="s">
        <v>7</v>
      </c>
      <c r="Z21" s="315"/>
      <c r="AA21" s="315"/>
      <c r="AB21" s="9" t="s">
        <v>7</v>
      </c>
      <c r="AC21" s="315"/>
      <c r="AD21" s="315"/>
      <c r="AE21" s="9" t="s">
        <v>7</v>
      </c>
      <c r="AF21" s="315" t="s">
        <v>65</v>
      </c>
      <c r="AG21" s="315"/>
      <c r="AH21" s="5" t="s">
        <v>7</v>
      </c>
      <c r="AI21" s="312"/>
      <c r="AJ21" s="312"/>
      <c r="AK21" s="5" t="s">
        <v>7</v>
      </c>
      <c r="AL21" s="312"/>
      <c r="AM21" s="312"/>
      <c r="AN21" s="5" t="s">
        <v>7</v>
      </c>
      <c r="AO21" s="312" t="s">
        <v>66</v>
      </c>
      <c r="AP21" s="312"/>
      <c r="AQ21" s="5" t="s">
        <v>7</v>
      </c>
      <c r="AR21" s="312" t="s">
        <v>67</v>
      </c>
      <c r="AS21" s="312"/>
      <c r="AT21" s="5" t="s">
        <v>7</v>
      </c>
      <c r="AU21" s="312" t="s">
        <v>68</v>
      </c>
      <c r="AV21" s="312"/>
      <c r="AW21" s="5" t="s">
        <v>7</v>
      </c>
      <c r="AX21" s="312" t="s">
        <v>69</v>
      </c>
      <c r="AY21" s="312"/>
    </row>
    <row r="22" spans="1:51" ht="24.75" customHeight="1">
      <c r="A22" s="5" t="s">
        <v>13</v>
      </c>
      <c r="B22" s="7"/>
      <c r="C22" s="7"/>
      <c r="D22" s="5" t="s">
        <v>13</v>
      </c>
      <c r="E22" s="8"/>
      <c r="F22" s="8"/>
      <c r="G22" s="5" t="s">
        <v>13</v>
      </c>
      <c r="H22" s="311"/>
      <c r="I22" s="311"/>
      <c r="J22" s="5" t="s">
        <v>13</v>
      </c>
      <c r="K22" s="307"/>
      <c r="L22" s="307"/>
      <c r="M22" s="26" t="s">
        <v>13</v>
      </c>
      <c r="N22" s="307" t="s">
        <v>70</v>
      </c>
      <c r="O22" s="307"/>
      <c r="P22" s="26" t="s">
        <v>13</v>
      </c>
      <c r="Q22" s="307" t="s">
        <v>71</v>
      </c>
      <c r="R22" s="307"/>
      <c r="S22" s="26" t="s">
        <v>13</v>
      </c>
      <c r="T22" s="313"/>
      <c r="U22" s="313"/>
      <c r="V22" s="5" t="s">
        <v>13</v>
      </c>
      <c r="W22" s="311" t="s">
        <v>72</v>
      </c>
      <c r="X22" s="312"/>
      <c r="Y22" s="5" t="s">
        <v>13</v>
      </c>
      <c r="Z22" s="314" t="s">
        <v>73</v>
      </c>
      <c r="AA22" s="314"/>
      <c r="AB22" s="9" t="s">
        <v>13</v>
      </c>
      <c r="AC22" s="314" t="s">
        <v>74</v>
      </c>
      <c r="AD22" s="315"/>
      <c r="AE22" s="9" t="s">
        <v>13</v>
      </c>
      <c r="AF22" s="316"/>
      <c r="AG22" s="317"/>
      <c r="AH22" s="5" t="s">
        <v>13</v>
      </c>
      <c r="AI22" s="314" t="s">
        <v>75</v>
      </c>
      <c r="AJ22" s="315"/>
      <c r="AK22" s="5" t="s">
        <v>13</v>
      </c>
      <c r="AL22" s="311" t="s">
        <v>76</v>
      </c>
      <c r="AM22" s="312"/>
      <c r="AN22" s="5" t="s">
        <v>13</v>
      </c>
      <c r="AO22" s="312"/>
      <c r="AP22" s="312"/>
      <c r="AQ22" s="5" t="s">
        <v>13</v>
      </c>
      <c r="AR22" s="8"/>
      <c r="AS22" s="8"/>
      <c r="AT22" s="5" t="s">
        <v>13</v>
      </c>
      <c r="AU22" s="8"/>
      <c r="AV22" s="8"/>
      <c r="AW22" s="5" t="s">
        <v>13</v>
      </c>
      <c r="AX22" s="8"/>
      <c r="AY22" s="8"/>
    </row>
    <row r="23" spans="1:51" ht="24.75" customHeight="1">
      <c r="A23" s="7" t="s">
        <v>19</v>
      </c>
      <c r="B23" s="322" t="s">
        <v>77</v>
      </c>
      <c r="C23" s="322"/>
      <c r="D23" s="7" t="s">
        <v>19</v>
      </c>
      <c r="E23" s="327" t="s">
        <v>78</v>
      </c>
      <c r="F23" s="327"/>
      <c r="G23" s="7" t="s">
        <v>19</v>
      </c>
      <c r="H23" s="322" t="s">
        <v>79</v>
      </c>
      <c r="I23" s="322"/>
      <c r="J23" s="7" t="s">
        <v>19</v>
      </c>
      <c r="K23" s="327" t="s">
        <v>80</v>
      </c>
      <c r="L23" s="327"/>
      <c r="M23" s="27" t="s">
        <v>19</v>
      </c>
      <c r="N23" s="327" t="s">
        <v>81</v>
      </c>
      <c r="O23" s="327"/>
      <c r="P23" s="27" t="s">
        <v>19</v>
      </c>
      <c r="Q23" s="327" t="s">
        <v>82</v>
      </c>
      <c r="R23" s="327"/>
      <c r="S23" s="27" t="s">
        <v>19</v>
      </c>
      <c r="T23" s="327" t="s">
        <v>83</v>
      </c>
      <c r="U23" s="327"/>
      <c r="V23" s="7" t="s">
        <v>19</v>
      </c>
      <c r="W23" s="322" t="s">
        <v>84</v>
      </c>
      <c r="X23" s="322"/>
      <c r="Y23" s="7" t="s">
        <v>19</v>
      </c>
      <c r="Z23" s="322" t="s">
        <v>85</v>
      </c>
      <c r="AA23" s="322"/>
      <c r="AB23" s="7" t="s">
        <v>19</v>
      </c>
      <c r="AC23" s="322" t="s">
        <v>86</v>
      </c>
      <c r="AD23" s="322"/>
      <c r="AE23" s="7" t="s">
        <v>19</v>
      </c>
      <c r="AF23" s="322" t="s">
        <v>87</v>
      </c>
      <c r="AG23" s="322"/>
      <c r="AH23" s="7" t="s">
        <v>19</v>
      </c>
      <c r="AI23" s="322" t="s">
        <v>88</v>
      </c>
      <c r="AJ23" s="322"/>
      <c r="AK23" s="7" t="s">
        <v>19</v>
      </c>
      <c r="AL23" s="322" t="s">
        <v>89</v>
      </c>
      <c r="AM23" s="322"/>
      <c r="AN23" s="7" t="s">
        <v>19</v>
      </c>
      <c r="AO23" s="322" t="s">
        <v>90</v>
      </c>
      <c r="AP23" s="322"/>
      <c r="AQ23" s="7" t="s">
        <v>19</v>
      </c>
      <c r="AR23" s="322" t="s">
        <v>91</v>
      </c>
      <c r="AS23" s="322"/>
      <c r="AT23" s="7" t="s">
        <v>19</v>
      </c>
      <c r="AU23" s="322" t="s">
        <v>92</v>
      </c>
      <c r="AV23" s="322"/>
      <c r="AW23" s="7" t="s">
        <v>19</v>
      </c>
      <c r="AX23" s="322" t="s">
        <v>93</v>
      </c>
      <c r="AY23" s="322"/>
    </row>
    <row r="24" spans="1:51" ht="24.75" customHeight="1">
      <c r="A24" s="7" t="s">
        <v>30</v>
      </c>
      <c r="B24" s="322" t="s">
        <v>31</v>
      </c>
      <c r="C24" s="322"/>
      <c r="D24" s="7" t="s">
        <v>30</v>
      </c>
      <c r="E24" s="325" t="s">
        <v>94</v>
      </c>
      <c r="F24" s="325"/>
      <c r="G24" s="7" t="s">
        <v>30</v>
      </c>
      <c r="H24" s="310" t="s">
        <v>95</v>
      </c>
      <c r="I24" s="310"/>
      <c r="J24" s="7" t="s">
        <v>30</v>
      </c>
      <c r="K24" s="325"/>
      <c r="L24" s="325"/>
      <c r="M24" s="27" t="s">
        <v>30</v>
      </c>
      <c r="N24" s="325" t="s">
        <v>96</v>
      </c>
      <c r="O24" s="325"/>
      <c r="P24" s="27" t="s">
        <v>30</v>
      </c>
      <c r="Q24" s="325" t="s">
        <v>97</v>
      </c>
      <c r="R24" s="325"/>
      <c r="S24" s="27" t="s">
        <v>30</v>
      </c>
      <c r="T24" s="325"/>
      <c r="U24" s="325"/>
      <c r="V24" s="7" t="s">
        <v>30</v>
      </c>
      <c r="W24" s="310" t="s">
        <v>98</v>
      </c>
      <c r="X24" s="310"/>
      <c r="Y24" s="7" t="s">
        <v>30</v>
      </c>
      <c r="Z24" s="310" t="s">
        <v>99</v>
      </c>
      <c r="AA24" s="310"/>
      <c r="AB24" s="7" t="s">
        <v>30</v>
      </c>
      <c r="AC24" s="310" t="s">
        <v>100</v>
      </c>
      <c r="AD24" s="310"/>
      <c r="AE24" s="7" t="s">
        <v>30</v>
      </c>
      <c r="AF24" s="310" t="s">
        <v>87</v>
      </c>
      <c r="AG24" s="310"/>
      <c r="AH24" s="7" t="s">
        <v>30</v>
      </c>
      <c r="AI24" s="310" t="s">
        <v>101</v>
      </c>
      <c r="AJ24" s="310"/>
      <c r="AK24" s="7" t="s">
        <v>30</v>
      </c>
      <c r="AL24" s="310" t="s">
        <v>102</v>
      </c>
      <c r="AM24" s="310"/>
      <c r="AN24" s="7" t="s">
        <v>30</v>
      </c>
      <c r="AO24" s="310" t="s">
        <v>90</v>
      </c>
      <c r="AP24" s="310"/>
      <c r="AQ24" s="7" t="s">
        <v>30</v>
      </c>
      <c r="AR24" s="310" t="s">
        <v>103</v>
      </c>
      <c r="AS24" s="310"/>
      <c r="AT24" s="7" t="s">
        <v>30</v>
      </c>
      <c r="AU24" s="310" t="s">
        <v>104</v>
      </c>
      <c r="AV24" s="310"/>
      <c r="AW24" s="7" t="s">
        <v>30</v>
      </c>
      <c r="AX24" s="310" t="s">
        <v>105</v>
      </c>
      <c r="AY24" s="310"/>
    </row>
    <row r="25" spans="1:51" ht="24.75" customHeight="1">
      <c r="A25" s="7" t="s">
        <v>41</v>
      </c>
      <c r="B25" s="310" t="s">
        <v>42</v>
      </c>
      <c r="C25" s="310"/>
      <c r="D25" s="7" t="s">
        <v>41</v>
      </c>
      <c r="E25" s="325" t="s">
        <v>106</v>
      </c>
      <c r="F25" s="325"/>
      <c r="G25" s="7" t="s">
        <v>41</v>
      </c>
      <c r="H25" s="310" t="s">
        <v>107</v>
      </c>
      <c r="I25" s="310"/>
      <c r="J25" s="7" t="s">
        <v>41</v>
      </c>
      <c r="K25" s="297" t="s">
        <v>108</v>
      </c>
      <c r="L25" s="298"/>
      <c r="M25" s="27" t="s">
        <v>41</v>
      </c>
      <c r="N25" s="325" t="s">
        <v>109</v>
      </c>
      <c r="O25" s="325"/>
      <c r="P25" s="27" t="s">
        <v>41</v>
      </c>
      <c r="Q25" s="325" t="s">
        <v>110</v>
      </c>
      <c r="R25" s="325"/>
      <c r="S25" s="27" t="s">
        <v>41</v>
      </c>
      <c r="T25" s="298" t="s">
        <v>111</v>
      </c>
      <c r="U25" s="298"/>
      <c r="V25" s="7" t="s">
        <v>41</v>
      </c>
      <c r="W25" s="310" t="s">
        <v>112</v>
      </c>
      <c r="X25" s="310"/>
      <c r="Y25" s="7" t="s">
        <v>41</v>
      </c>
      <c r="Z25" s="310" t="s">
        <v>113</v>
      </c>
      <c r="AA25" s="310"/>
      <c r="AB25" s="7" t="s">
        <v>41</v>
      </c>
      <c r="AC25" s="310" t="s">
        <v>114</v>
      </c>
      <c r="AD25" s="310"/>
      <c r="AE25" s="7" t="s">
        <v>41</v>
      </c>
      <c r="AF25" s="310" t="s">
        <v>42</v>
      </c>
      <c r="AG25" s="310"/>
      <c r="AH25" s="7" t="s">
        <v>41</v>
      </c>
      <c r="AI25" s="310" t="s">
        <v>115</v>
      </c>
      <c r="AJ25" s="310"/>
      <c r="AK25" s="7" t="s">
        <v>41</v>
      </c>
      <c r="AL25" s="310" t="s">
        <v>116</v>
      </c>
      <c r="AM25" s="310"/>
      <c r="AN25" s="7" t="s">
        <v>41</v>
      </c>
      <c r="AO25" s="310" t="s">
        <v>117</v>
      </c>
      <c r="AP25" s="310"/>
      <c r="AQ25" s="7" t="s">
        <v>41</v>
      </c>
      <c r="AR25" s="310" t="s">
        <v>118</v>
      </c>
      <c r="AS25" s="310"/>
      <c r="AT25" s="7" t="s">
        <v>41</v>
      </c>
      <c r="AU25" s="310" t="s">
        <v>119</v>
      </c>
      <c r="AV25" s="310"/>
      <c r="AW25" s="7" t="s">
        <v>41</v>
      </c>
      <c r="AX25" s="310" t="s">
        <v>120</v>
      </c>
      <c r="AY25" s="310"/>
    </row>
    <row r="26" spans="1:51" ht="24.75" customHeight="1">
      <c r="A26" s="7" t="s">
        <v>1</v>
      </c>
      <c r="B26" s="7" t="s">
        <v>52</v>
      </c>
      <c r="C26" s="7" t="s">
        <v>53</v>
      </c>
      <c r="D26" s="7" t="s">
        <v>121</v>
      </c>
      <c r="E26" s="7" t="s">
        <v>54</v>
      </c>
      <c r="F26" s="8" t="s">
        <v>122</v>
      </c>
      <c r="G26" s="7" t="s">
        <v>1</v>
      </c>
      <c r="H26" s="7" t="s">
        <v>52</v>
      </c>
      <c r="I26" s="7" t="s">
        <v>123</v>
      </c>
      <c r="J26" s="7" t="s">
        <v>1</v>
      </c>
      <c r="K26" s="7" t="s">
        <v>52</v>
      </c>
      <c r="L26" s="7" t="s">
        <v>123</v>
      </c>
      <c r="M26" s="7" t="s">
        <v>1</v>
      </c>
      <c r="N26" s="7" t="s">
        <v>52</v>
      </c>
      <c r="O26" s="7" t="s">
        <v>123</v>
      </c>
      <c r="P26" s="7" t="s">
        <v>1</v>
      </c>
      <c r="Q26" s="7" t="s">
        <v>52</v>
      </c>
      <c r="R26" s="7" t="s">
        <v>123</v>
      </c>
      <c r="S26" s="7" t="s">
        <v>121</v>
      </c>
      <c r="T26" s="7" t="s">
        <v>54</v>
      </c>
      <c r="U26" s="7" t="s">
        <v>124</v>
      </c>
      <c r="V26" s="7" t="s">
        <v>121</v>
      </c>
      <c r="W26" s="7" t="s">
        <v>54</v>
      </c>
      <c r="X26" s="7" t="s">
        <v>124</v>
      </c>
      <c r="Y26" s="7" t="s">
        <v>121</v>
      </c>
      <c r="Z26" s="7" t="s">
        <v>54</v>
      </c>
      <c r="AA26" s="7" t="s">
        <v>124</v>
      </c>
      <c r="AB26" s="7" t="s">
        <v>121</v>
      </c>
      <c r="AC26" s="7" t="s">
        <v>54</v>
      </c>
      <c r="AD26" s="7" t="s">
        <v>124</v>
      </c>
      <c r="AE26" s="7" t="s">
        <v>121</v>
      </c>
      <c r="AF26" s="7" t="s">
        <v>54</v>
      </c>
      <c r="AG26" s="7" t="s">
        <v>124</v>
      </c>
      <c r="AH26" s="7" t="s">
        <v>121</v>
      </c>
      <c r="AI26" s="7" t="s">
        <v>54</v>
      </c>
      <c r="AJ26" s="7" t="s">
        <v>124</v>
      </c>
      <c r="AK26" s="7" t="s">
        <v>1</v>
      </c>
      <c r="AL26" s="7" t="s">
        <v>54</v>
      </c>
      <c r="AM26" s="7" t="s">
        <v>123</v>
      </c>
      <c r="AN26" s="7" t="s">
        <v>1</v>
      </c>
      <c r="AO26" s="7" t="s">
        <v>52</v>
      </c>
      <c r="AP26" s="7" t="s">
        <v>123</v>
      </c>
      <c r="AQ26" s="7" t="s">
        <v>1</v>
      </c>
      <c r="AR26" s="7" t="s">
        <v>52</v>
      </c>
      <c r="AS26" s="7" t="s">
        <v>123</v>
      </c>
      <c r="AT26" s="7" t="s">
        <v>1</v>
      </c>
      <c r="AU26" s="7" t="s">
        <v>52</v>
      </c>
      <c r="AV26" s="7" t="s">
        <v>123</v>
      </c>
      <c r="AW26" s="7" t="s">
        <v>1</v>
      </c>
      <c r="AX26" s="7" t="s">
        <v>52</v>
      </c>
      <c r="AY26" s="7" t="s">
        <v>123</v>
      </c>
    </row>
    <row r="27" spans="1:51" ht="24.75" customHeight="1">
      <c r="A27" s="7">
        <v>2020</v>
      </c>
      <c r="B27" s="15">
        <f>AVERAGE(E27,H27,K27,T27,AF27,AO27,AU27,AX27,AR27)</f>
        <v>71.277777777777771</v>
      </c>
      <c r="C27" s="16"/>
      <c r="D27" s="7">
        <v>2020</v>
      </c>
      <c r="E27" s="21">
        <v>50</v>
      </c>
      <c r="F27" s="17"/>
      <c r="G27" s="7">
        <v>2020</v>
      </c>
      <c r="H27" s="14">
        <v>25</v>
      </c>
      <c r="I27" s="17"/>
      <c r="J27" s="7">
        <v>2020</v>
      </c>
      <c r="K27" s="14">
        <v>100</v>
      </c>
      <c r="L27" s="17"/>
      <c r="M27" s="7">
        <v>2020</v>
      </c>
      <c r="N27" s="14">
        <v>100</v>
      </c>
      <c r="O27" s="17"/>
      <c r="P27" s="7">
        <v>2020</v>
      </c>
      <c r="Q27" s="14">
        <v>100</v>
      </c>
      <c r="R27" s="17"/>
      <c r="S27" s="7">
        <v>2020</v>
      </c>
      <c r="T27" s="14">
        <v>100</v>
      </c>
      <c r="U27" s="17"/>
      <c r="V27" s="7">
        <v>2020</v>
      </c>
      <c r="W27" s="14">
        <v>100</v>
      </c>
      <c r="X27" s="17"/>
      <c r="Y27" s="7">
        <v>2020</v>
      </c>
      <c r="Z27" s="14">
        <v>100</v>
      </c>
      <c r="AA27" s="17"/>
      <c r="AB27" s="7">
        <v>2020</v>
      </c>
      <c r="AC27" s="14">
        <v>100</v>
      </c>
      <c r="AD27" s="17"/>
      <c r="AE27" s="7">
        <v>2020</v>
      </c>
      <c r="AF27" s="31">
        <f t="shared" ref="AF27:AF30" si="4">0.67*AI27+0.33*AL27</f>
        <v>16.5</v>
      </c>
      <c r="AG27" s="17"/>
      <c r="AH27" s="7">
        <v>2020</v>
      </c>
      <c r="AI27" s="14">
        <v>0</v>
      </c>
      <c r="AJ27" s="17"/>
      <c r="AK27" s="7">
        <v>2020</v>
      </c>
      <c r="AL27" s="14">
        <v>50</v>
      </c>
      <c r="AM27" s="17"/>
      <c r="AN27" s="7">
        <v>2020</v>
      </c>
      <c r="AO27" s="14">
        <v>100</v>
      </c>
      <c r="AP27" s="17"/>
      <c r="AQ27" s="7">
        <v>2020</v>
      </c>
      <c r="AR27" s="14">
        <v>50</v>
      </c>
      <c r="AS27" s="17"/>
      <c r="AT27" s="7">
        <v>2020</v>
      </c>
      <c r="AU27" s="14">
        <v>100</v>
      </c>
      <c r="AV27" s="17"/>
      <c r="AW27" s="7">
        <v>2020</v>
      </c>
      <c r="AX27" s="14">
        <v>100</v>
      </c>
      <c r="AY27" s="23"/>
    </row>
    <row r="28" spans="1:51" ht="24.75" customHeight="1">
      <c r="A28" s="7">
        <v>2021</v>
      </c>
      <c r="B28" s="15">
        <f>AVERAGE(E28,H28,K28,T28,AF28,AO28,AU28,AX28,AR28)</f>
        <v>71.277777777777771</v>
      </c>
      <c r="C28" s="15"/>
      <c r="D28" s="7">
        <v>2021</v>
      </c>
      <c r="E28" s="21">
        <v>50</v>
      </c>
      <c r="F28" s="17"/>
      <c r="G28" s="7">
        <v>2021</v>
      </c>
      <c r="H28" s="14">
        <v>25</v>
      </c>
      <c r="I28" s="17"/>
      <c r="J28" s="7">
        <v>2021</v>
      </c>
      <c r="K28" s="14">
        <v>100</v>
      </c>
      <c r="L28" s="17"/>
      <c r="M28" s="7">
        <v>2021</v>
      </c>
      <c r="N28" s="14">
        <v>100</v>
      </c>
      <c r="O28" s="17"/>
      <c r="P28" s="7">
        <v>2021</v>
      </c>
      <c r="Q28" s="14">
        <v>100</v>
      </c>
      <c r="R28" s="17"/>
      <c r="S28" s="7">
        <v>2021</v>
      </c>
      <c r="T28" s="14">
        <v>100</v>
      </c>
      <c r="U28" s="17"/>
      <c r="V28" s="7">
        <v>2021</v>
      </c>
      <c r="W28" s="14">
        <v>100</v>
      </c>
      <c r="X28" s="17"/>
      <c r="Y28" s="7">
        <v>2021</v>
      </c>
      <c r="Z28" s="14">
        <v>100</v>
      </c>
      <c r="AA28" s="17"/>
      <c r="AB28" s="7">
        <v>2021</v>
      </c>
      <c r="AC28" s="14">
        <v>100</v>
      </c>
      <c r="AD28" s="17"/>
      <c r="AE28" s="7">
        <v>2021</v>
      </c>
      <c r="AF28" s="31">
        <f t="shared" si="4"/>
        <v>16.5</v>
      </c>
      <c r="AG28" s="17"/>
      <c r="AH28" s="7">
        <v>2021</v>
      </c>
      <c r="AI28" s="14">
        <v>0</v>
      </c>
      <c r="AJ28" s="17"/>
      <c r="AK28" s="7">
        <v>2021</v>
      </c>
      <c r="AL28" s="14">
        <v>50</v>
      </c>
      <c r="AM28" s="17"/>
      <c r="AN28" s="7">
        <v>2021</v>
      </c>
      <c r="AO28" s="14">
        <v>100</v>
      </c>
      <c r="AP28" s="17"/>
      <c r="AQ28" s="7">
        <v>2021</v>
      </c>
      <c r="AR28" s="14">
        <v>50</v>
      </c>
      <c r="AS28" s="17"/>
      <c r="AT28" s="7">
        <v>2021</v>
      </c>
      <c r="AU28" s="14">
        <v>100</v>
      </c>
      <c r="AV28" s="17"/>
      <c r="AW28" s="7">
        <v>2021</v>
      </c>
      <c r="AX28" s="14">
        <v>100</v>
      </c>
      <c r="AY28" s="23"/>
    </row>
    <row r="29" spans="1:51" ht="24.75" customHeight="1">
      <c r="A29" s="7">
        <v>2022</v>
      </c>
      <c r="B29" s="15">
        <f>AVERAGE(E29,H29,K29,T29,AF29,AO29,AU29,AX29,AR29)</f>
        <v>71.277777777777771</v>
      </c>
      <c r="C29" s="15"/>
      <c r="D29" s="7">
        <v>2022</v>
      </c>
      <c r="E29" s="21">
        <v>50</v>
      </c>
      <c r="F29" s="17"/>
      <c r="G29" s="7">
        <v>2022</v>
      </c>
      <c r="H29" s="14">
        <v>25</v>
      </c>
      <c r="I29" s="17"/>
      <c r="J29" s="7">
        <v>2022</v>
      </c>
      <c r="K29" s="14">
        <v>100</v>
      </c>
      <c r="L29" s="17"/>
      <c r="M29" s="7">
        <v>2022</v>
      </c>
      <c r="N29" s="14">
        <v>100</v>
      </c>
      <c r="O29" s="17"/>
      <c r="P29" s="7">
        <v>2022</v>
      </c>
      <c r="Q29" s="14">
        <v>100</v>
      </c>
      <c r="R29" s="17"/>
      <c r="S29" s="7">
        <v>2022</v>
      </c>
      <c r="T29" s="14">
        <v>100</v>
      </c>
      <c r="U29" s="17"/>
      <c r="V29" s="7">
        <v>2022</v>
      </c>
      <c r="W29" s="14">
        <v>100</v>
      </c>
      <c r="X29" s="17"/>
      <c r="Y29" s="7">
        <v>2022</v>
      </c>
      <c r="Z29" s="14">
        <v>100</v>
      </c>
      <c r="AA29" s="17"/>
      <c r="AB29" s="7">
        <v>2022</v>
      </c>
      <c r="AC29" s="14">
        <v>100</v>
      </c>
      <c r="AD29" s="17"/>
      <c r="AE29" s="7">
        <v>2022</v>
      </c>
      <c r="AF29" s="31">
        <f t="shared" si="4"/>
        <v>16.5</v>
      </c>
      <c r="AG29" s="17"/>
      <c r="AH29" s="7">
        <v>2022</v>
      </c>
      <c r="AI29" s="14">
        <v>0</v>
      </c>
      <c r="AJ29" s="17"/>
      <c r="AK29" s="7">
        <v>2022</v>
      </c>
      <c r="AL29" s="14">
        <v>50</v>
      </c>
      <c r="AM29" s="17"/>
      <c r="AN29" s="7">
        <v>2022</v>
      </c>
      <c r="AO29" s="14">
        <v>100</v>
      </c>
      <c r="AP29" s="17"/>
      <c r="AQ29" s="7">
        <v>2022</v>
      </c>
      <c r="AR29" s="14">
        <v>50</v>
      </c>
      <c r="AS29" s="17"/>
      <c r="AT29" s="7">
        <v>2022</v>
      </c>
      <c r="AU29" s="14">
        <v>100</v>
      </c>
      <c r="AV29" s="17"/>
      <c r="AW29" s="7">
        <v>2022</v>
      </c>
      <c r="AX29" s="14">
        <v>100</v>
      </c>
      <c r="AY29" s="23"/>
    </row>
    <row r="30" spans="1:51" ht="24.75" customHeight="1">
      <c r="A30" s="7">
        <v>2023</v>
      </c>
      <c r="B30" s="15">
        <f>AVERAGE(E30,H30,K30,T30,AF30,AO30,AU30,AX30,AR30)</f>
        <v>71.277777777777771</v>
      </c>
      <c r="C30" s="15"/>
      <c r="D30" s="7">
        <v>2023</v>
      </c>
      <c r="E30" s="21">
        <v>50</v>
      </c>
      <c r="F30" s="17" t="s">
        <v>1729</v>
      </c>
      <c r="G30" s="7">
        <v>2023</v>
      </c>
      <c r="H30" s="14">
        <v>25</v>
      </c>
      <c r="I30" s="17" t="s">
        <v>1730</v>
      </c>
      <c r="J30" s="7">
        <v>2023</v>
      </c>
      <c r="K30" s="14">
        <v>100</v>
      </c>
      <c r="L30" s="17"/>
      <c r="M30" s="7">
        <v>2023</v>
      </c>
      <c r="N30" s="14">
        <v>100</v>
      </c>
      <c r="O30" s="17" t="s">
        <v>1731</v>
      </c>
      <c r="P30" s="7">
        <v>2023</v>
      </c>
      <c r="Q30" s="14">
        <v>100</v>
      </c>
      <c r="R30" s="17" t="s">
        <v>1732</v>
      </c>
      <c r="S30" s="7">
        <v>2023</v>
      </c>
      <c r="T30" s="14">
        <v>100</v>
      </c>
      <c r="U30" s="17"/>
      <c r="V30" s="7">
        <v>2023</v>
      </c>
      <c r="W30" s="14">
        <v>100</v>
      </c>
      <c r="X30" s="17" t="s">
        <v>1733</v>
      </c>
      <c r="Y30" s="7">
        <v>2023</v>
      </c>
      <c r="Z30" s="14">
        <v>100</v>
      </c>
      <c r="AA30" s="17" t="s">
        <v>1733</v>
      </c>
      <c r="AB30" s="7">
        <v>2023</v>
      </c>
      <c r="AC30" s="14">
        <v>100</v>
      </c>
      <c r="AD30" s="17" t="s">
        <v>892</v>
      </c>
      <c r="AE30" s="7">
        <v>2023</v>
      </c>
      <c r="AF30" s="31">
        <f t="shared" si="4"/>
        <v>16.5</v>
      </c>
      <c r="AG30" s="17"/>
      <c r="AH30" s="7">
        <v>2023</v>
      </c>
      <c r="AI30" s="14">
        <v>0</v>
      </c>
      <c r="AJ30" s="17" t="s">
        <v>1734</v>
      </c>
      <c r="AK30" s="7">
        <v>2023</v>
      </c>
      <c r="AL30" s="14">
        <v>50</v>
      </c>
      <c r="AM30" s="17" t="s">
        <v>1735</v>
      </c>
      <c r="AN30" s="7">
        <v>2023</v>
      </c>
      <c r="AO30" s="14">
        <v>100</v>
      </c>
      <c r="AP30" s="17"/>
      <c r="AQ30" s="7">
        <v>2023</v>
      </c>
      <c r="AR30" s="14">
        <v>50</v>
      </c>
      <c r="AS30" s="17"/>
      <c r="AT30" s="7">
        <v>2023</v>
      </c>
      <c r="AU30" s="14">
        <v>100</v>
      </c>
      <c r="AV30" s="17" t="s">
        <v>1736</v>
      </c>
      <c r="AW30" s="7">
        <v>2023</v>
      </c>
      <c r="AX30" s="14">
        <v>100</v>
      </c>
      <c r="AY30" s="23" t="s">
        <v>1737</v>
      </c>
    </row>
    <row r="31" spans="1:51" ht="24.75" customHeight="1">
      <c r="A31" s="24"/>
      <c r="B31" s="24"/>
      <c r="C31" s="24"/>
      <c r="D31" s="24"/>
      <c r="E31" s="24"/>
      <c r="F31" s="24"/>
      <c r="G31" s="24"/>
      <c r="H31" s="24"/>
      <c r="I31" s="24"/>
      <c r="J31" s="24"/>
      <c r="K31" s="24"/>
      <c r="L31" s="24"/>
      <c r="M31" s="24"/>
      <c r="N31" s="24"/>
      <c r="AD31" s="32"/>
    </row>
    <row r="32" spans="1:51" ht="24.75" customHeight="1">
      <c r="A32" s="5" t="s">
        <v>5</v>
      </c>
      <c r="B32" s="294" t="s">
        <v>127</v>
      </c>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6"/>
    </row>
    <row r="33" spans="1:39" ht="24.75" customHeight="1">
      <c r="A33" s="5" t="s">
        <v>7</v>
      </c>
      <c r="B33" s="318" t="s">
        <v>128</v>
      </c>
      <c r="C33" s="318"/>
      <c r="D33" s="5" t="s">
        <v>7</v>
      </c>
      <c r="E33" s="312" t="s">
        <v>129</v>
      </c>
      <c r="F33" s="312"/>
      <c r="G33" s="5" t="s">
        <v>7</v>
      </c>
      <c r="H33" s="312" t="s">
        <v>130</v>
      </c>
      <c r="I33" s="312"/>
      <c r="J33" s="5" t="s">
        <v>7</v>
      </c>
      <c r="K33" s="312" t="s">
        <v>131</v>
      </c>
      <c r="L33" s="312"/>
      <c r="M33" s="5" t="s">
        <v>7</v>
      </c>
      <c r="N33" s="312" t="s">
        <v>132</v>
      </c>
      <c r="O33" s="312"/>
      <c r="P33" s="5" t="s">
        <v>7</v>
      </c>
      <c r="Q33" s="312"/>
      <c r="R33" s="312"/>
      <c r="S33" s="5" t="s">
        <v>7</v>
      </c>
      <c r="T33" s="318"/>
      <c r="U33" s="318"/>
      <c r="V33" s="5" t="s">
        <v>7</v>
      </c>
      <c r="W33" s="312"/>
      <c r="X33" s="312"/>
      <c r="Y33" s="5" t="s">
        <v>7</v>
      </c>
      <c r="Z33" s="315" t="s">
        <v>133</v>
      </c>
      <c r="AA33" s="315"/>
      <c r="AB33" s="9" t="s">
        <v>7</v>
      </c>
      <c r="AC33" s="315" t="s">
        <v>134</v>
      </c>
      <c r="AD33" s="315"/>
      <c r="AE33" s="5" t="s">
        <v>7</v>
      </c>
      <c r="AF33" s="312" t="s">
        <v>135</v>
      </c>
      <c r="AG33" s="312"/>
      <c r="AH33" s="5" t="s">
        <v>7</v>
      </c>
      <c r="AI33" s="312"/>
      <c r="AJ33" s="312"/>
      <c r="AK33" s="5" t="s">
        <v>7</v>
      </c>
      <c r="AL33" s="312"/>
      <c r="AM33" s="312"/>
    </row>
    <row r="34" spans="1:39" ht="24.75" customHeight="1">
      <c r="A34" s="5" t="s">
        <v>13</v>
      </c>
      <c r="B34" s="7"/>
      <c r="C34" s="7"/>
      <c r="D34" s="5" t="s">
        <v>13</v>
      </c>
      <c r="E34" s="8"/>
      <c r="F34" s="8"/>
      <c r="G34" s="5" t="s">
        <v>13</v>
      </c>
      <c r="H34" s="311"/>
      <c r="I34" s="311"/>
      <c r="J34" s="5" t="s">
        <v>13</v>
      </c>
      <c r="K34" s="311"/>
      <c r="L34" s="311"/>
      <c r="M34" s="5" t="s">
        <v>13</v>
      </c>
      <c r="N34" s="311"/>
      <c r="O34" s="311"/>
      <c r="P34" s="5" t="s">
        <v>13</v>
      </c>
      <c r="Q34" s="311" t="s">
        <v>136</v>
      </c>
      <c r="R34" s="311"/>
      <c r="S34" s="5" t="s">
        <v>13</v>
      </c>
      <c r="T34" s="311" t="s">
        <v>137</v>
      </c>
      <c r="U34" s="312"/>
      <c r="V34" s="5" t="s">
        <v>13</v>
      </c>
      <c r="W34" s="311" t="s">
        <v>138</v>
      </c>
      <c r="X34" s="312"/>
      <c r="Y34" s="5" t="s">
        <v>13</v>
      </c>
      <c r="Z34" s="29"/>
      <c r="AA34" s="29"/>
      <c r="AB34" s="9" t="s">
        <v>13</v>
      </c>
      <c r="AC34" s="316"/>
      <c r="AD34" s="317"/>
      <c r="AE34" s="5" t="s">
        <v>13</v>
      </c>
      <c r="AF34" s="8"/>
      <c r="AG34" s="8"/>
      <c r="AH34" s="5" t="s">
        <v>13</v>
      </c>
      <c r="AI34" s="311" t="s">
        <v>139</v>
      </c>
      <c r="AJ34" s="312"/>
      <c r="AK34" s="5" t="s">
        <v>13</v>
      </c>
      <c r="AL34" s="311" t="s">
        <v>140</v>
      </c>
      <c r="AM34" s="311"/>
    </row>
    <row r="35" spans="1:39" ht="24.75" customHeight="1">
      <c r="A35" s="7" t="s">
        <v>19</v>
      </c>
      <c r="B35" s="322" t="s">
        <v>141</v>
      </c>
      <c r="C35" s="322"/>
      <c r="D35" s="7" t="s">
        <v>19</v>
      </c>
      <c r="E35" s="322" t="s">
        <v>142</v>
      </c>
      <c r="F35" s="322"/>
      <c r="G35" s="7" t="s">
        <v>19</v>
      </c>
      <c r="H35" s="322" t="s">
        <v>143</v>
      </c>
      <c r="I35" s="322"/>
      <c r="J35" s="7" t="s">
        <v>19</v>
      </c>
      <c r="K35" s="322" t="s">
        <v>144</v>
      </c>
      <c r="L35" s="322"/>
      <c r="M35" s="7" t="s">
        <v>19</v>
      </c>
      <c r="N35" s="322" t="s">
        <v>145</v>
      </c>
      <c r="O35" s="322"/>
      <c r="P35" s="7" t="s">
        <v>19</v>
      </c>
      <c r="Q35" s="322" t="s">
        <v>145</v>
      </c>
      <c r="R35" s="322"/>
      <c r="S35" s="7" t="s">
        <v>19</v>
      </c>
      <c r="T35" s="322" t="s">
        <v>146</v>
      </c>
      <c r="U35" s="322"/>
      <c r="V35" s="7" t="s">
        <v>19</v>
      </c>
      <c r="W35" s="322" t="s">
        <v>147</v>
      </c>
      <c r="X35" s="322"/>
      <c r="Y35" s="7" t="s">
        <v>19</v>
      </c>
      <c r="Z35" s="308" t="s">
        <v>148</v>
      </c>
      <c r="AA35" s="308"/>
      <c r="AB35" s="7" t="s">
        <v>19</v>
      </c>
      <c r="AC35" s="322" t="s">
        <v>149</v>
      </c>
      <c r="AD35" s="322"/>
      <c r="AE35" s="7" t="s">
        <v>19</v>
      </c>
      <c r="AF35" s="322" t="s">
        <v>150</v>
      </c>
      <c r="AG35" s="322"/>
      <c r="AH35" s="7" t="s">
        <v>19</v>
      </c>
      <c r="AI35" s="322" t="s">
        <v>151</v>
      </c>
      <c r="AJ35" s="322"/>
      <c r="AK35" s="7" t="s">
        <v>19</v>
      </c>
      <c r="AL35" s="322" t="s">
        <v>152</v>
      </c>
      <c r="AM35" s="322"/>
    </row>
    <row r="36" spans="1:39" ht="24.75" customHeight="1">
      <c r="A36" s="7" t="s">
        <v>30</v>
      </c>
      <c r="B36" s="322" t="s">
        <v>31</v>
      </c>
      <c r="C36" s="322"/>
      <c r="D36" s="7" t="s">
        <v>30</v>
      </c>
      <c r="E36" s="310" t="s">
        <v>153</v>
      </c>
      <c r="F36" s="310"/>
      <c r="G36" s="7" t="s">
        <v>30</v>
      </c>
      <c r="H36" s="310" t="s">
        <v>154</v>
      </c>
      <c r="I36" s="310"/>
      <c r="J36" s="7" t="s">
        <v>30</v>
      </c>
      <c r="K36" s="310" t="s">
        <v>155</v>
      </c>
      <c r="L36" s="310"/>
      <c r="M36" s="7" t="s">
        <v>30</v>
      </c>
      <c r="N36" s="310" t="s">
        <v>156</v>
      </c>
      <c r="O36" s="310"/>
      <c r="P36" s="7" t="s">
        <v>30</v>
      </c>
      <c r="Q36" s="310" t="s">
        <v>157</v>
      </c>
      <c r="R36" s="310"/>
      <c r="S36" s="7" t="s">
        <v>30</v>
      </c>
      <c r="T36" s="310" t="s">
        <v>158</v>
      </c>
      <c r="U36" s="310"/>
      <c r="V36" s="7" t="s">
        <v>30</v>
      </c>
      <c r="W36" s="310" t="s">
        <v>159</v>
      </c>
      <c r="X36" s="310"/>
      <c r="Y36" s="7" t="s">
        <v>30</v>
      </c>
      <c r="Z36" s="310" t="s">
        <v>160</v>
      </c>
      <c r="AA36" s="310"/>
      <c r="AB36" s="7" t="s">
        <v>30</v>
      </c>
      <c r="AC36" s="310" t="s">
        <v>161</v>
      </c>
      <c r="AD36" s="310"/>
      <c r="AE36" s="7" t="s">
        <v>30</v>
      </c>
      <c r="AF36" s="310"/>
      <c r="AG36" s="310"/>
      <c r="AH36" s="7" t="s">
        <v>30</v>
      </c>
      <c r="AI36" s="310" t="s">
        <v>162</v>
      </c>
      <c r="AJ36" s="310"/>
      <c r="AK36" s="7" t="s">
        <v>30</v>
      </c>
      <c r="AL36" s="310" t="s">
        <v>163</v>
      </c>
      <c r="AM36" s="310"/>
    </row>
    <row r="37" spans="1:39" ht="24.75" customHeight="1">
      <c r="A37" s="7" t="s">
        <v>41</v>
      </c>
      <c r="B37" s="310" t="s">
        <v>42</v>
      </c>
      <c r="C37" s="310"/>
      <c r="D37" s="7" t="s">
        <v>41</v>
      </c>
      <c r="E37" s="310" t="s">
        <v>164</v>
      </c>
      <c r="F37" s="310"/>
      <c r="G37" s="7" t="s">
        <v>41</v>
      </c>
      <c r="H37" s="310" t="s">
        <v>165</v>
      </c>
      <c r="I37" s="310"/>
      <c r="J37" s="7" t="s">
        <v>41</v>
      </c>
      <c r="K37" s="322" t="s">
        <v>166</v>
      </c>
      <c r="L37" s="310"/>
      <c r="M37" s="7" t="s">
        <v>41</v>
      </c>
      <c r="N37" s="310" t="s">
        <v>42</v>
      </c>
      <c r="O37" s="310"/>
      <c r="P37" s="7" t="s">
        <v>41</v>
      </c>
      <c r="Q37" s="310" t="s">
        <v>167</v>
      </c>
      <c r="R37" s="310"/>
      <c r="S37" s="7" t="s">
        <v>41</v>
      </c>
      <c r="T37" s="310" t="s">
        <v>168</v>
      </c>
      <c r="U37" s="310"/>
      <c r="V37" s="7" t="s">
        <v>41</v>
      </c>
      <c r="W37" s="310" t="s">
        <v>169</v>
      </c>
      <c r="X37" s="310"/>
      <c r="Y37" s="7" t="s">
        <v>41</v>
      </c>
      <c r="Z37" s="310" t="s">
        <v>170</v>
      </c>
      <c r="AA37" s="310"/>
      <c r="AB37" s="7" t="s">
        <v>41</v>
      </c>
      <c r="AC37" s="310" t="s">
        <v>171</v>
      </c>
      <c r="AD37" s="310"/>
      <c r="AE37" s="7" t="s">
        <v>41</v>
      </c>
      <c r="AF37" s="297" t="s">
        <v>172</v>
      </c>
      <c r="AG37" s="298"/>
      <c r="AH37" s="7" t="s">
        <v>41</v>
      </c>
      <c r="AI37" s="310" t="s">
        <v>173</v>
      </c>
      <c r="AJ37" s="310"/>
      <c r="AK37" s="7" t="s">
        <v>41</v>
      </c>
      <c r="AL37" s="310" t="s">
        <v>174</v>
      </c>
      <c r="AM37" s="310"/>
    </row>
    <row r="38" spans="1:39" ht="24.75" customHeight="1">
      <c r="A38" s="7" t="s">
        <v>1</v>
      </c>
      <c r="B38" s="7" t="s">
        <v>52</v>
      </c>
      <c r="C38" s="7" t="s">
        <v>53</v>
      </c>
      <c r="D38" s="7" t="s">
        <v>121</v>
      </c>
      <c r="E38" s="7" t="s">
        <v>54</v>
      </c>
      <c r="F38" s="7" t="s">
        <v>122</v>
      </c>
      <c r="G38" s="7" t="s">
        <v>121</v>
      </c>
      <c r="H38" s="7" t="s">
        <v>54</v>
      </c>
      <c r="I38" s="7" t="s">
        <v>122</v>
      </c>
      <c r="J38" s="7" t="s">
        <v>121</v>
      </c>
      <c r="K38" s="7" t="s">
        <v>54</v>
      </c>
      <c r="L38" s="7" t="s">
        <v>122</v>
      </c>
      <c r="M38" s="7" t="s">
        <v>121</v>
      </c>
      <c r="N38" s="7" t="s">
        <v>54</v>
      </c>
      <c r="O38" s="7" t="s">
        <v>122</v>
      </c>
      <c r="P38" s="7" t="s">
        <v>121</v>
      </c>
      <c r="Q38" s="7" t="s">
        <v>54</v>
      </c>
      <c r="R38" s="7" t="s">
        <v>122</v>
      </c>
      <c r="S38" s="7" t="s">
        <v>121</v>
      </c>
      <c r="T38" s="7" t="s">
        <v>54</v>
      </c>
      <c r="U38" s="7" t="s">
        <v>122</v>
      </c>
      <c r="V38" s="7" t="s">
        <v>121</v>
      </c>
      <c r="W38" s="7" t="s">
        <v>54</v>
      </c>
      <c r="X38" s="7" t="s">
        <v>122</v>
      </c>
      <c r="Y38" s="7" t="s">
        <v>121</v>
      </c>
      <c r="Z38" s="7" t="s">
        <v>54</v>
      </c>
      <c r="AA38" s="7" t="s">
        <v>122</v>
      </c>
      <c r="AB38" s="7" t="s">
        <v>121</v>
      </c>
      <c r="AC38" s="7" t="s">
        <v>54</v>
      </c>
      <c r="AD38" s="7" t="s">
        <v>122</v>
      </c>
      <c r="AE38" s="7" t="s">
        <v>121</v>
      </c>
      <c r="AF38" s="7" t="s">
        <v>54</v>
      </c>
      <c r="AG38" s="7" t="s">
        <v>122</v>
      </c>
      <c r="AH38" s="7" t="s">
        <v>121</v>
      </c>
      <c r="AI38" s="7" t="s">
        <v>54</v>
      </c>
      <c r="AJ38" s="7" t="s">
        <v>122</v>
      </c>
      <c r="AK38" s="7" t="s">
        <v>121</v>
      </c>
      <c r="AL38" s="7" t="s">
        <v>54</v>
      </c>
      <c r="AM38" s="7" t="s">
        <v>122</v>
      </c>
    </row>
    <row r="39" spans="1:39" ht="24.75" customHeight="1">
      <c r="A39" s="7">
        <v>2020</v>
      </c>
      <c r="B39" s="16">
        <f>AVERAGE(E39,H39,K39,N39,Z39,AC39,AF39)</f>
        <v>92.857142857142861</v>
      </c>
      <c r="C39" s="16"/>
      <c r="D39" s="7">
        <v>2020</v>
      </c>
      <c r="E39" s="14">
        <v>100</v>
      </c>
      <c r="F39" s="17"/>
      <c r="G39" s="7">
        <v>2020</v>
      </c>
      <c r="H39" s="14">
        <v>50</v>
      </c>
      <c r="I39" s="17"/>
      <c r="J39" s="7">
        <v>2020</v>
      </c>
      <c r="K39" s="14">
        <v>100</v>
      </c>
      <c r="L39" s="17"/>
      <c r="M39" s="7">
        <v>2020</v>
      </c>
      <c r="N39" s="31">
        <f t="shared" ref="N39:N42" si="5">AVERAGE(Q39,T39,W39)</f>
        <v>100</v>
      </c>
      <c r="O39" s="14"/>
      <c r="P39" s="7">
        <v>2020</v>
      </c>
      <c r="Q39" s="14">
        <v>100</v>
      </c>
      <c r="R39" s="17"/>
      <c r="S39" s="7">
        <v>2020</v>
      </c>
      <c r="T39" s="14">
        <v>100</v>
      </c>
      <c r="U39" s="17"/>
      <c r="V39" s="7">
        <v>2020</v>
      </c>
      <c r="W39" s="14">
        <v>100</v>
      </c>
      <c r="X39" s="17"/>
      <c r="Y39" s="7">
        <v>2020</v>
      </c>
      <c r="Z39" s="14">
        <v>100</v>
      </c>
      <c r="AA39" s="17"/>
      <c r="AB39" s="7">
        <v>2020</v>
      </c>
      <c r="AC39" s="14">
        <v>100</v>
      </c>
      <c r="AD39" s="17"/>
      <c r="AE39" s="7">
        <v>2020</v>
      </c>
      <c r="AF39" s="14">
        <v>100</v>
      </c>
      <c r="AG39" s="14"/>
      <c r="AH39" s="7">
        <v>2020</v>
      </c>
      <c r="AI39" s="21">
        <v>100</v>
      </c>
      <c r="AJ39" s="17"/>
      <c r="AK39" s="7">
        <v>2020</v>
      </c>
      <c r="AL39" s="14">
        <v>50</v>
      </c>
      <c r="AM39" s="23"/>
    </row>
    <row r="40" spans="1:39" ht="24.75" customHeight="1">
      <c r="A40" s="7">
        <v>2021</v>
      </c>
      <c r="B40" s="16">
        <f>AVERAGE(E40,H40,K40,N40,Z40,AC40,AF40)</f>
        <v>92.857142857142861</v>
      </c>
      <c r="C40" s="16"/>
      <c r="D40" s="7">
        <v>2021</v>
      </c>
      <c r="E40" s="14">
        <v>100</v>
      </c>
      <c r="F40" s="17"/>
      <c r="G40" s="7">
        <v>2021</v>
      </c>
      <c r="H40" s="14">
        <v>50</v>
      </c>
      <c r="I40" s="17"/>
      <c r="J40" s="7">
        <v>2021</v>
      </c>
      <c r="K40" s="14">
        <v>100</v>
      </c>
      <c r="L40" s="17"/>
      <c r="M40" s="7">
        <v>2021</v>
      </c>
      <c r="N40" s="31">
        <f t="shared" si="5"/>
        <v>100</v>
      </c>
      <c r="O40" s="14"/>
      <c r="P40" s="7">
        <v>2021</v>
      </c>
      <c r="Q40" s="14">
        <v>100</v>
      </c>
      <c r="R40" s="17"/>
      <c r="S40" s="7">
        <v>2021</v>
      </c>
      <c r="T40" s="14">
        <v>100</v>
      </c>
      <c r="U40" s="17"/>
      <c r="V40" s="7">
        <v>2021</v>
      </c>
      <c r="W40" s="14">
        <v>100</v>
      </c>
      <c r="X40" s="17"/>
      <c r="Y40" s="7">
        <v>2021</v>
      </c>
      <c r="Z40" s="14">
        <v>100</v>
      </c>
      <c r="AA40" s="17"/>
      <c r="AB40" s="7">
        <v>2021</v>
      </c>
      <c r="AC40" s="14">
        <v>100</v>
      </c>
      <c r="AD40" s="17"/>
      <c r="AE40" s="7">
        <v>2021</v>
      </c>
      <c r="AF40" s="14">
        <v>100</v>
      </c>
      <c r="AG40" s="14"/>
      <c r="AH40" s="7">
        <v>2021</v>
      </c>
      <c r="AI40" s="21">
        <v>100</v>
      </c>
      <c r="AJ40" s="17"/>
      <c r="AK40" s="7">
        <v>2021</v>
      </c>
      <c r="AL40" s="14">
        <v>50</v>
      </c>
      <c r="AM40" s="23"/>
    </row>
    <row r="41" spans="1:39" ht="24.75" customHeight="1">
      <c r="A41" s="7">
        <v>2022</v>
      </c>
      <c r="B41" s="16">
        <f>AVERAGE(E41,H41,K41,N41,Z41,AC41,AF41)</f>
        <v>92.857142857142861</v>
      </c>
      <c r="C41" s="16"/>
      <c r="D41" s="7">
        <v>2022</v>
      </c>
      <c r="E41" s="14">
        <v>100</v>
      </c>
      <c r="F41" s="17"/>
      <c r="G41" s="7">
        <v>2022</v>
      </c>
      <c r="H41" s="14">
        <v>50</v>
      </c>
      <c r="I41" s="17"/>
      <c r="J41" s="7">
        <v>2022</v>
      </c>
      <c r="K41" s="14">
        <v>100</v>
      </c>
      <c r="L41" s="17"/>
      <c r="M41" s="7">
        <v>2022</v>
      </c>
      <c r="N41" s="31">
        <f t="shared" si="5"/>
        <v>100</v>
      </c>
      <c r="O41" s="14"/>
      <c r="P41" s="7">
        <v>2022</v>
      </c>
      <c r="Q41" s="14">
        <v>100</v>
      </c>
      <c r="R41" s="17"/>
      <c r="S41" s="7">
        <v>2022</v>
      </c>
      <c r="T41" s="14">
        <v>100</v>
      </c>
      <c r="U41" s="17"/>
      <c r="V41" s="7">
        <v>2022</v>
      </c>
      <c r="W41" s="14">
        <v>100</v>
      </c>
      <c r="X41" s="17"/>
      <c r="Y41" s="7">
        <v>2022</v>
      </c>
      <c r="Z41" s="14">
        <v>100</v>
      </c>
      <c r="AA41" s="17"/>
      <c r="AB41" s="7">
        <v>2022</v>
      </c>
      <c r="AC41" s="14">
        <v>100</v>
      </c>
      <c r="AD41" s="17"/>
      <c r="AE41" s="7">
        <v>2022</v>
      </c>
      <c r="AF41" s="14">
        <v>100</v>
      </c>
      <c r="AG41" s="14"/>
      <c r="AH41" s="7">
        <v>2022</v>
      </c>
      <c r="AI41" s="21">
        <v>100</v>
      </c>
      <c r="AJ41" s="17"/>
      <c r="AK41" s="7">
        <v>2022</v>
      </c>
      <c r="AL41" s="14">
        <v>50</v>
      </c>
      <c r="AM41" s="23"/>
    </row>
    <row r="42" spans="1:39" ht="24.75" customHeight="1">
      <c r="A42" s="7">
        <v>2023</v>
      </c>
      <c r="B42" s="16">
        <f>AVERAGE(E42,H42,K42,N42,Z42,AC42,AF42)</f>
        <v>92.857142857142861</v>
      </c>
      <c r="C42" s="16"/>
      <c r="D42" s="7">
        <v>2023</v>
      </c>
      <c r="E42" s="14">
        <v>100</v>
      </c>
      <c r="F42" s="17" t="s">
        <v>1738</v>
      </c>
      <c r="G42" s="7">
        <v>2023</v>
      </c>
      <c r="H42" s="14">
        <v>50</v>
      </c>
      <c r="I42" s="17" t="s">
        <v>1739</v>
      </c>
      <c r="J42" s="7">
        <v>2023</v>
      </c>
      <c r="K42" s="14">
        <v>100</v>
      </c>
      <c r="L42" s="23" t="s">
        <v>1740</v>
      </c>
      <c r="M42" s="7">
        <v>2023</v>
      </c>
      <c r="N42" s="31">
        <f t="shared" si="5"/>
        <v>100</v>
      </c>
      <c r="O42" s="14"/>
      <c r="P42" s="7">
        <v>2023</v>
      </c>
      <c r="Q42" s="14">
        <v>100</v>
      </c>
      <c r="R42" s="17" t="s">
        <v>1741</v>
      </c>
      <c r="S42" s="7">
        <v>2023</v>
      </c>
      <c r="T42" s="14">
        <v>100</v>
      </c>
      <c r="U42" s="81" t="s">
        <v>1742</v>
      </c>
      <c r="V42" s="7">
        <v>2023</v>
      </c>
      <c r="W42" s="14">
        <v>100</v>
      </c>
      <c r="X42" s="81" t="s">
        <v>1743</v>
      </c>
      <c r="Y42" s="7">
        <v>2023</v>
      </c>
      <c r="Z42" s="14">
        <v>100</v>
      </c>
      <c r="AA42" s="153" t="s">
        <v>1744</v>
      </c>
      <c r="AB42" s="7">
        <v>2023</v>
      </c>
      <c r="AC42" s="14">
        <v>100</v>
      </c>
      <c r="AD42" s="17" t="s">
        <v>1745</v>
      </c>
      <c r="AE42" s="7">
        <v>2023</v>
      </c>
      <c r="AF42" s="14">
        <v>100</v>
      </c>
      <c r="AG42" s="14"/>
      <c r="AH42" s="7">
        <v>2023</v>
      </c>
      <c r="AI42" s="21">
        <v>100</v>
      </c>
      <c r="AJ42" s="17" t="s">
        <v>1746</v>
      </c>
      <c r="AK42" s="7">
        <v>2023</v>
      </c>
      <c r="AL42" s="14">
        <v>50</v>
      </c>
      <c r="AM42" s="23" t="s">
        <v>1747</v>
      </c>
    </row>
    <row r="43" spans="1:39" ht="24.75" customHeight="1"/>
    <row r="44" spans="1:39" ht="24.75" customHeight="1">
      <c r="A44" s="5" t="s">
        <v>5</v>
      </c>
      <c r="B44" s="324" t="s">
        <v>181</v>
      </c>
      <c r="C44" s="324"/>
      <c r="D44" s="324"/>
      <c r="E44" s="324"/>
      <c r="F44" s="324"/>
      <c r="G44" s="324"/>
      <c r="H44" s="324"/>
      <c r="I44" s="324"/>
      <c r="J44" s="324"/>
      <c r="K44" s="324"/>
      <c r="L44" s="324"/>
      <c r="M44" s="324"/>
      <c r="N44" s="324"/>
      <c r="O44" s="324"/>
      <c r="P44" s="324"/>
      <c r="Q44" s="324"/>
      <c r="R44" s="324"/>
    </row>
    <row r="45" spans="1:39" ht="24.75" customHeight="1">
      <c r="A45" s="5" t="s">
        <v>7</v>
      </c>
      <c r="B45" s="318" t="s">
        <v>182</v>
      </c>
      <c r="C45" s="318"/>
      <c r="D45" s="5" t="s">
        <v>7</v>
      </c>
      <c r="E45" s="312" t="s">
        <v>183</v>
      </c>
      <c r="F45" s="312"/>
      <c r="G45" s="5" t="s">
        <v>7</v>
      </c>
      <c r="H45" s="312" t="s">
        <v>184</v>
      </c>
      <c r="I45" s="312"/>
      <c r="J45" s="5" t="s">
        <v>7</v>
      </c>
      <c r="K45" s="312" t="s">
        <v>185</v>
      </c>
      <c r="L45" s="312"/>
      <c r="M45" s="5" t="s">
        <v>7</v>
      </c>
      <c r="N45" s="312" t="s">
        <v>186</v>
      </c>
      <c r="O45" s="312"/>
      <c r="P45" s="5" t="s">
        <v>7</v>
      </c>
      <c r="Q45" s="311" t="s">
        <v>187</v>
      </c>
      <c r="R45" s="311"/>
    </row>
    <row r="46" spans="1:39" ht="24.75" customHeight="1">
      <c r="A46" s="5" t="s">
        <v>13</v>
      </c>
      <c r="B46" s="7"/>
      <c r="C46" s="7"/>
      <c r="D46" s="5" t="s">
        <v>13</v>
      </c>
      <c r="E46" s="8"/>
      <c r="F46" s="8"/>
      <c r="G46" s="5" t="s">
        <v>13</v>
      </c>
      <c r="H46" s="311"/>
      <c r="I46" s="311"/>
      <c r="J46" s="5" t="s">
        <v>13</v>
      </c>
      <c r="K46" s="311"/>
      <c r="L46" s="311"/>
      <c r="M46" s="5" t="s">
        <v>13</v>
      </c>
      <c r="N46" s="311"/>
      <c r="O46" s="311"/>
      <c r="P46" s="5" t="s">
        <v>13</v>
      </c>
      <c r="Q46" s="311"/>
      <c r="R46" s="311"/>
    </row>
    <row r="47" spans="1:39" ht="24.75" customHeight="1">
      <c r="A47" s="7" t="s">
        <v>19</v>
      </c>
      <c r="B47" s="322" t="s">
        <v>188</v>
      </c>
      <c r="C47" s="322"/>
      <c r="D47" s="7" t="s">
        <v>19</v>
      </c>
      <c r="E47" s="322" t="s">
        <v>189</v>
      </c>
      <c r="F47" s="322"/>
      <c r="G47" s="7" t="s">
        <v>19</v>
      </c>
      <c r="H47" s="322" t="s">
        <v>190</v>
      </c>
      <c r="I47" s="322"/>
      <c r="J47" s="7" t="s">
        <v>19</v>
      </c>
      <c r="K47" s="322" t="s">
        <v>191</v>
      </c>
      <c r="L47" s="322"/>
      <c r="M47" s="7" t="s">
        <v>19</v>
      </c>
      <c r="N47" s="322" t="s">
        <v>192</v>
      </c>
      <c r="O47" s="322"/>
      <c r="P47" s="7" t="s">
        <v>19</v>
      </c>
      <c r="Q47" s="322" t="s">
        <v>193</v>
      </c>
      <c r="R47" s="322"/>
    </row>
    <row r="48" spans="1:39" ht="24.75" customHeight="1">
      <c r="A48" s="7" t="s">
        <v>30</v>
      </c>
      <c r="B48" s="322" t="s">
        <v>31</v>
      </c>
      <c r="C48" s="322"/>
      <c r="D48" s="7" t="s">
        <v>30</v>
      </c>
      <c r="E48" s="310" t="s">
        <v>194</v>
      </c>
      <c r="F48" s="310"/>
      <c r="G48" s="7" t="s">
        <v>30</v>
      </c>
      <c r="H48" s="310" t="s">
        <v>195</v>
      </c>
      <c r="I48" s="310"/>
      <c r="J48" s="7" t="s">
        <v>30</v>
      </c>
      <c r="K48" s="310" t="s">
        <v>196</v>
      </c>
      <c r="L48" s="310"/>
      <c r="M48" s="7" t="s">
        <v>30</v>
      </c>
      <c r="N48" s="325" t="s">
        <v>197</v>
      </c>
      <c r="O48" s="325"/>
      <c r="P48" s="7" t="s">
        <v>30</v>
      </c>
      <c r="Q48" s="310" t="s">
        <v>198</v>
      </c>
      <c r="R48" s="310"/>
    </row>
    <row r="49" spans="1:24" ht="24.75" customHeight="1">
      <c r="A49" s="7" t="s">
        <v>41</v>
      </c>
      <c r="B49" s="310" t="s">
        <v>42</v>
      </c>
      <c r="C49" s="310"/>
      <c r="D49" s="7" t="s">
        <v>41</v>
      </c>
      <c r="E49" s="325" t="s">
        <v>199</v>
      </c>
      <c r="F49" s="325"/>
      <c r="G49" s="7" t="s">
        <v>41</v>
      </c>
      <c r="H49" s="310" t="s">
        <v>200</v>
      </c>
      <c r="I49" s="310"/>
      <c r="J49" s="7" t="s">
        <v>41</v>
      </c>
      <c r="K49" s="310" t="s">
        <v>201</v>
      </c>
      <c r="L49" s="310"/>
      <c r="M49" s="7" t="s">
        <v>41</v>
      </c>
      <c r="N49" s="327" t="s">
        <v>202</v>
      </c>
      <c r="O49" s="325"/>
      <c r="P49" s="7" t="s">
        <v>41</v>
      </c>
      <c r="Q49" s="325" t="s">
        <v>203</v>
      </c>
      <c r="R49" s="325"/>
    </row>
    <row r="50" spans="1:24" ht="24.75" customHeight="1">
      <c r="A50" s="7" t="s">
        <v>1</v>
      </c>
      <c r="B50" s="7" t="s">
        <v>52</v>
      </c>
      <c r="C50" s="7" t="s">
        <v>53</v>
      </c>
      <c r="D50" s="7" t="s">
        <v>121</v>
      </c>
      <c r="E50" s="7" t="s">
        <v>54</v>
      </c>
      <c r="F50" s="7" t="s">
        <v>122</v>
      </c>
      <c r="G50" s="7" t="s">
        <v>121</v>
      </c>
      <c r="H50" s="7" t="s">
        <v>54</v>
      </c>
      <c r="I50" s="7" t="s">
        <v>122</v>
      </c>
      <c r="J50" s="7" t="s">
        <v>121</v>
      </c>
      <c r="K50" s="7" t="s">
        <v>54</v>
      </c>
      <c r="L50" s="7" t="s">
        <v>122</v>
      </c>
      <c r="M50" s="7" t="s">
        <v>121</v>
      </c>
      <c r="N50" s="7" t="s">
        <v>54</v>
      </c>
      <c r="O50" s="7" t="s">
        <v>122</v>
      </c>
      <c r="P50" s="7" t="s">
        <v>121</v>
      </c>
      <c r="Q50" s="7" t="s">
        <v>54</v>
      </c>
      <c r="R50" s="7" t="s">
        <v>122</v>
      </c>
    </row>
    <row r="51" spans="1:24" ht="24.75" customHeight="1">
      <c r="A51" s="7">
        <v>2020</v>
      </c>
      <c r="B51" s="15">
        <f t="shared" ref="B51:B54" si="6">AVERAGE(E51,H51,K51,N51,Q51)</f>
        <v>80</v>
      </c>
      <c r="C51" s="16"/>
      <c r="D51" s="7">
        <v>2020</v>
      </c>
      <c r="E51" s="14">
        <v>75</v>
      </c>
      <c r="F51" s="17"/>
      <c r="G51" s="7">
        <v>2020</v>
      </c>
      <c r="H51" s="14">
        <v>100</v>
      </c>
      <c r="I51" s="17"/>
      <c r="J51" s="7">
        <v>2020</v>
      </c>
      <c r="K51" s="14">
        <v>25</v>
      </c>
      <c r="L51" s="17"/>
      <c r="M51" s="7">
        <v>2020</v>
      </c>
      <c r="N51" s="14">
        <v>100</v>
      </c>
      <c r="O51" s="17"/>
      <c r="P51" s="7">
        <v>2020</v>
      </c>
      <c r="Q51" s="14">
        <v>100</v>
      </c>
      <c r="R51" s="23"/>
    </row>
    <row r="52" spans="1:24" ht="24.75" customHeight="1">
      <c r="A52" s="7">
        <v>2021</v>
      </c>
      <c r="B52" s="15">
        <f t="shared" si="6"/>
        <v>80</v>
      </c>
      <c r="C52" s="15"/>
      <c r="D52" s="7">
        <v>2021</v>
      </c>
      <c r="E52" s="14">
        <v>75</v>
      </c>
      <c r="F52" s="17"/>
      <c r="G52" s="7">
        <v>2021</v>
      </c>
      <c r="H52" s="14">
        <v>100</v>
      </c>
      <c r="I52" s="17"/>
      <c r="J52" s="7">
        <v>2021</v>
      </c>
      <c r="K52" s="14">
        <v>25</v>
      </c>
      <c r="L52" s="17"/>
      <c r="M52" s="7">
        <v>2021</v>
      </c>
      <c r="N52" s="14">
        <v>100</v>
      </c>
      <c r="O52" s="17"/>
      <c r="P52" s="7">
        <v>2021</v>
      </c>
      <c r="Q52" s="14">
        <v>100</v>
      </c>
      <c r="R52" s="23"/>
    </row>
    <row r="53" spans="1:24" ht="24.75" customHeight="1">
      <c r="A53" s="7">
        <v>2022</v>
      </c>
      <c r="B53" s="15">
        <f t="shared" si="6"/>
        <v>80</v>
      </c>
      <c r="C53" s="15"/>
      <c r="D53" s="7">
        <v>2022</v>
      </c>
      <c r="E53" s="14">
        <v>75</v>
      </c>
      <c r="F53" s="17"/>
      <c r="G53" s="7">
        <v>2022</v>
      </c>
      <c r="H53" s="14">
        <v>100</v>
      </c>
      <c r="I53" s="17"/>
      <c r="J53" s="7">
        <v>2022</v>
      </c>
      <c r="K53" s="21">
        <v>25</v>
      </c>
      <c r="L53" s="17"/>
      <c r="M53" s="7">
        <v>2022</v>
      </c>
      <c r="N53" s="14">
        <v>100</v>
      </c>
      <c r="O53" s="17"/>
      <c r="P53" s="7">
        <v>2022</v>
      </c>
      <c r="Q53" s="14">
        <v>100</v>
      </c>
      <c r="R53" s="23"/>
    </row>
    <row r="54" spans="1:24" ht="24.75" customHeight="1">
      <c r="A54" s="7">
        <v>2023</v>
      </c>
      <c r="B54" s="15">
        <f t="shared" si="6"/>
        <v>80</v>
      </c>
      <c r="C54" s="15"/>
      <c r="D54" s="7">
        <v>2023</v>
      </c>
      <c r="E54" s="14">
        <v>75</v>
      </c>
      <c r="F54" s="17" t="s">
        <v>1748</v>
      </c>
      <c r="G54" s="7">
        <v>2023</v>
      </c>
      <c r="H54" s="14">
        <v>100</v>
      </c>
      <c r="I54" s="17"/>
      <c r="J54" s="7">
        <v>2023</v>
      </c>
      <c r="K54" s="14">
        <v>25</v>
      </c>
      <c r="L54" s="17" t="s">
        <v>1749</v>
      </c>
      <c r="M54" s="7">
        <v>2023</v>
      </c>
      <c r="N54" s="14">
        <v>100</v>
      </c>
      <c r="O54" s="17" t="s">
        <v>1750</v>
      </c>
      <c r="P54" s="7">
        <v>2023</v>
      </c>
      <c r="Q54" s="14">
        <v>100</v>
      </c>
      <c r="R54" s="23" t="s">
        <v>1751</v>
      </c>
    </row>
    <row r="55" spans="1:24" ht="24.75" customHeight="1"/>
    <row r="56" spans="1:24" ht="24.75" customHeight="1">
      <c r="A56" s="5" t="s">
        <v>5</v>
      </c>
      <c r="B56" s="324" t="s">
        <v>204</v>
      </c>
      <c r="C56" s="324"/>
      <c r="D56" s="324"/>
      <c r="E56" s="324"/>
      <c r="F56" s="324"/>
      <c r="G56" s="324"/>
      <c r="H56" s="324"/>
      <c r="I56" s="324"/>
      <c r="J56" s="324"/>
      <c r="K56" s="324"/>
      <c r="L56" s="324"/>
      <c r="M56" s="324"/>
      <c r="N56" s="324"/>
      <c r="O56" s="324"/>
      <c r="P56" s="324"/>
      <c r="Q56" s="324"/>
      <c r="R56" s="324"/>
      <c r="S56" s="324"/>
      <c r="T56" s="324"/>
      <c r="U56" s="324"/>
      <c r="V56" s="324"/>
      <c r="W56" s="324"/>
      <c r="X56" s="324"/>
    </row>
    <row r="57" spans="1:24" ht="24.75" customHeight="1">
      <c r="A57" s="5" t="s">
        <v>7</v>
      </c>
      <c r="B57" s="318" t="s">
        <v>205</v>
      </c>
      <c r="C57" s="318"/>
      <c r="D57" s="5" t="s">
        <v>7</v>
      </c>
      <c r="E57" s="312" t="s">
        <v>206</v>
      </c>
      <c r="F57" s="312"/>
      <c r="G57" s="5" t="s">
        <v>7</v>
      </c>
      <c r="H57" s="312" t="s">
        <v>207</v>
      </c>
      <c r="I57" s="312"/>
      <c r="J57" s="5" t="s">
        <v>7</v>
      </c>
      <c r="K57" s="312" t="s">
        <v>208</v>
      </c>
      <c r="L57" s="312"/>
      <c r="M57" s="5" t="s">
        <v>7</v>
      </c>
      <c r="N57" s="312" t="s">
        <v>209</v>
      </c>
      <c r="O57" s="312"/>
      <c r="P57" s="5" t="s">
        <v>7</v>
      </c>
      <c r="Q57" s="312" t="s">
        <v>210</v>
      </c>
      <c r="R57" s="312"/>
      <c r="S57" s="5" t="s">
        <v>7</v>
      </c>
      <c r="T57" s="312" t="s">
        <v>211</v>
      </c>
      <c r="U57" s="312"/>
      <c r="V57" s="5" t="s">
        <v>7</v>
      </c>
      <c r="W57" s="312" t="s">
        <v>212</v>
      </c>
      <c r="X57" s="312"/>
    </row>
    <row r="58" spans="1:24" ht="24.75" customHeight="1">
      <c r="A58" s="5" t="s">
        <v>13</v>
      </c>
      <c r="B58" s="7"/>
      <c r="C58" s="7"/>
      <c r="D58" s="5" t="s">
        <v>13</v>
      </c>
      <c r="E58" s="8"/>
      <c r="F58" s="8"/>
      <c r="G58" s="5" t="s">
        <v>13</v>
      </c>
      <c r="H58" s="311"/>
      <c r="I58" s="311"/>
      <c r="J58" s="5" t="s">
        <v>13</v>
      </c>
      <c r="K58" s="311"/>
      <c r="L58" s="311"/>
      <c r="M58" s="5" t="s">
        <v>13</v>
      </c>
      <c r="N58" s="311"/>
      <c r="O58" s="311"/>
      <c r="P58" s="5" t="s">
        <v>13</v>
      </c>
      <c r="Q58" s="311"/>
      <c r="R58" s="311"/>
      <c r="S58" s="5" t="s">
        <v>13</v>
      </c>
      <c r="T58" s="311"/>
      <c r="U58" s="311"/>
      <c r="V58" s="5" t="s">
        <v>13</v>
      </c>
      <c r="W58" s="311"/>
      <c r="X58" s="311"/>
    </row>
    <row r="59" spans="1:24" ht="24.75" customHeight="1">
      <c r="A59" s="7" t="s">
        <v>19</v>
      </c>
      <c r="B59" s="322" t="s">
        <v>213</v>
      </c>
      <c r="C59" s="322"/>
      <c r="D59" s="7" t="s">
        <v>19</v>
      </c>
      <c r="E59" s="322" t="s">
        <v>214</v>
      </c>
      <c r="F59" s="322"/>
      <c r="G59" s="7" t="s">
        <v>19</v>
      </c>
      <c r="H59" s="322" t="s">
        <v>215</v>
      </c>
      <c r="I59" s="322"/>
      <c r="J59" s="7" t="s">
        <v>19</v>
      </c>
      <c r="K59" s="322" t="s">
        <v>88</v>
      </c>
      <c r="L59" s="322"/>
      <c r="M59" s="7" t="s">
        <v>19</v>
      </c>
      <c r="N59" s="322" t="s">
        <v>216</v>
      </c>
      <c r="O59" s="322"/>
      <c r="P59" s="7" t="s">
        <v>19</v>
      </c>
      <c r="Q59" s="322" t="s">
        <v>217</v>
      </c>
      <c r="R59" s="322"/>
      <c r="S59" s="7" t="s">
        <v>19</v>
      </c>
      <c r="T59" s="322" t="s">
        <v>218</v>
      </c>
      <c r="U59" s="322"/>
      <c r="V59" s="7" t="s">
        <v>19</v>
      </c>
      <c r="W59" s="322" t="s">
        <v>219</v>
      </c>
      <c r="X59" s="322"/>
    </row>
    <row r="60" spans="1:24" ht="24.75" customHeight="1">
      <c r="A60" s="7" t="s">
        <v>30</v>
      </c>
      <c r="B60" s="322" t="s">
        <v>31</v>
      </c>
      <c r="C60" s="322"/>
      <c r="D60" s="7" t="s">
        <v>30</v>
      </c>
      <c r="E60" s="310" t="s">
        <v>220</v>
      </c>
      <c r="F60" s="310"/>
      <c r="G60" s="7" t="s">
        <v>30</v>
      </c>
      <c r="H60" s="310" t="s">
        <v>221</v>
      </c>
      <c r="I60" s="310"/>
      <c r="J60" s="7" t="s">
        <v>30</v>
      </c>
      <c r="K60" s="310" t="s">
        <v>101</v>
      </c>
      <c r="L60" s="310"/>
      <c r="M60" s="7" t="s">
        <v>30</v>
      </c>
      <c r="N60" s="310" t="s">
        <v>222</v>
      </c>
      <c r="O60" s="310"/>
      <c r="P60" s="7" t="s">
        <v>30</v>
      </c>
      <c r="Q60" s="310" t="s">
        <v>217</v>
      </c>
      <c r="R60" s="310"/>
      <c r="S60" s="7" t="s">
        <v>30</v>
      </c>
      <c r="T60" s="310" t="s">
        <v>223</v>
      </c>
      <c r="U60" s="310"/>
      <c r="V60" s="7" t="s">
        <v>30</v>
      </c>
      <c r="W60" s="309" t="s">
        <v>224</v>
      </c>
      <c r="X60" s="309"/>
    </row>
    <row r="61" spans="1:24" ht="24.75" customHeight="1">
      <c r="A61" s="7" t="s">
        <v>41</v>
      </c>
      <c r="B61" s="310" t="s">
        <v>42</v>
      </c>
      <c r="C61" s="310"/>
      <c r="D61" s="7" t="s">
        <v>41</v>
      </c>
      <c r="E61" s="325" t="s">
        <v>225</v>
      </c>
      <c r="F61" s="325"/>
      <c r="G61" s="7" t="s">
        <v>41</v>
      </c>
      <c r="H61" s="310" t="s">
        <v>226</v>
      </c>
      <c r="I61" s="310"/>
      <c r="J61" s="7" t="s">
        <v>41</v>
      </c>
      <c r="K61" s="271" t="s">
        <v>115</v>
      </c>
      <c r="L61" s="272"/>
      <c r="M61" s="7" t="s">
        <v>41</v>
      </c>
      <c r="N61" s="310" t="s">
        <v>227</v>
      </c>
      <c r="O61" s="310"/>
      <c r="P61" s="7" t="s">
        <v>41</v>
      </c>
      <c r="Q61" s="310" t="s">
        <v>228</v>
      </c>
      <c r="R61" s="310"/>
      <c r="S61" s="7" t="s">
        <v>41</v>
      </c>
      <c r="T61" s="322" t="s">
        <v>229</v>
      </c>
      <c r="U61" s="310"/>
      <c r="V61" s="7" t="s">
        <v>41</v>
      </c>
      <c r="W61" s="310" t="s">
        <v>230</v>
      </c>
      <c r="X61" s="310"/>
    </row>
    <row r="62" spans="1:24" ht="24.75" customHeight="1">
      <c r="A62" s="7" t="s">
        <v>1</v>
      </c>
      <c r="B62" s="7" t="s">
        <v>52</v>
      </c>
      <c r="C62" s="7" t="s">
        <v>53</v>
      </c>
      <c r="D62" s="7" t="s">
        <v>121</v>
      </c>
      <c r="E62" s="7" t="s">
        <v>54</v>
      </c>
      <c r="F62" s="7" t="s">
        <v>122</v>
      </c>
      <c r="G62" s="7" t="s">
        <v>121</v>
      </c>
      <c r="H62" s="7" t="s">
        <v>54</v>
      </c>
      <c r="I62" s="7" t="s">
        <v>122</v>
      </c>
      <c r="J62" s="7" t="s">
        <v>121</v>
      </c>
      <c r="K62" s="7" t="s">
        <v>54</v>
      </c>
      <c r="L62" s="7" t="s">
        <v>122</v>
      </c>
      <c r="M62" s="7" t="s">
        <v>121</v>
      </c>
      <c r="N62" s="7" t="s">
        <v>54</v>
      </c>
      <c r="O62" s="7" t="s">
        <v>122</v>
      </c>
      <c r="P62" s="7" t="s">
        <v>121</v>
      </c>
      <c r="Q62" s="7" t="s">
        <v>54</v>
      </c>
      <c r="R62" s="7" t="s">
        <v>122</v>
      </c>
      <c r="S62" s="7" t="s">
        <v>121</v>
      </c>
      <c r="T62" s="7" t="s">
        <v>54</v>
      </c>
      <c r="U62" s="7" t="s">
        <v>122</v>
      </c>
      <c r="V62" s="7" t="s">
        <v>121</v>
      </c>
      <c r="W62" s="7" t="s">
        <v>54</v>
      </c>
      <c r="X62" s="7" t="s">
        <v>122</v>
      </c>
    </row>
    <row r="63" spans="1:24" ht="24.75" customHeight="1">
      <c r="A63" s="7">
        <v>2020</v>
      </c>
      <c r="B63" s="15">
        <f t="shared" ref="B63:B66" si="7">AVERAGE(E63,((H63+K63)/2),((N63+Q63+T63)/3),W63)</f>
        <v>89.583333333333329</v>
      </c>
      <c r="C63" s="16"/>
      <c r="D63" s="7">
        <v>2020</v>
      </c>
      <c r="E63" s="21">
        <v>100</v>
      </c>
      <c r="F63" s="17"/>
      <c r="G63" s="7">
        <v>2020</v>
      </c>
      <c r="H63" s="14">
        <v>100</v>
      </c>
      <c r="I63" s="17"/>
      <c r="J63" s="7">
        <v>2020</v>
      </c>
      <c r="K63" s="14">
        <v>50</v>
      </c>
      <c r="L63" s="17"/>
      <c r="M63" s="7">
        <v>2020</v>
      </c>
      <c r="N63" s="14">
        <v>100</v>
      </c>
      <c r="O63" s="17"/>
      <c r="P63" s="7">
        <v>2020</v>
      </c>
      <c r="Q63" s="14">
        <v>100</v>
      </c>
      <c r="R63" s="17"/>
      <c r="S63" s="7">
        <v>2020</v>
      </c>
      <c r="T63" s="14">
        <v>50</v>
      </c>
      <c r="U63" s="17"/>
      <c r="V63" s="7">
        <v>2020</v>
      </c>
      <c r="W63" s="14">
        <v>100</v>
      </c>
      <c r="X63" s="23"/>
    </row>
    <row r="64" spans="1:24" ht="24.75" customHeight="1">
      <c r="A64" s="7">
        <v>2021</v>
      </c>
      <c r="B64" s="15">
        <f t="shared" si="7"/>
        <v>89.583333333333329</v>
      </c>
      <c r="C64" s="15"/>
      <c r="D64" s="7">
        <v>2021</v>
      </c>
      <c r="E64" s="21">
        <v>100</v>
      </c>
      <c r="F64" s="17"/>
      <c r="G64" s="7">
        <v>2021</v>
      </c>
      <c r="H64" s="14">
        <v>100</v>
      </c>
      <c r="I64" s="17"/>
      <c r="J64" s="7">
        <v>2021</v>
      </c>
      <c r="K64" s="14">
        <v>50</v>
      </c>
      <c r="L64" s="17"/>
      <c r="M64" s="7">
        <v>2021</v>
      </c>
      <c r="N64" s="14">
        <v>100</v>
      </c>
      <c r="O64" s="17"/>
      <c r="P64" s="7">
        <v>2021</v>
      </c>
      <c r="Q64" s="14">
        <v>100</v>
      </c>
      <c r="R64" s="17"/>
      <c r="S64" s="7">
        <v>2021</v>
      </c>
      <c r="T64" s="14">
        <v>50</v>
      </c>
      <c r="U64" s="17"/>
      <c r="V64" s="7">
        <v>2021</v>
      </c>
      <c r="W64" s="14">
        <v>100</v>
      </c>
      <c r="X64" s="23"/>
    </row>
    <row r="65" spans="1:33" ht="24.75" customHeight="1">
      <c r="A65" s="7">
        <v>2022</v>
      </c>
      <c r="B65" s="15">
        <f t="shared" si="7"/>
        <v>89.583333333333329</v>
      </c>
      <c r="C65" s="15"/>
      <c r="D65" s="7">
        <v>2022</v>
      </c>
      <c r="E65" s="21">
        <v>100</v>
      </c>
      <c r="F65" s="17"/>
      <c r="G65" s="7">
        <v>2022</v>
      </c>
      <c r="H65" s="14">
        <v>100</v>
      </c>
      <c r="I65" s="17"/>
      <c r="J65" s="7">
        <v>2022</v>
      </c>
      <c r="K65" s="14">
        <v>50</v>
      </c>
      <c r="L65" s="17"/>
      <c r="M65" s="7">
        <v>2022</v>
      </c>
      <c r="N65" s="14">
        <v>100</v>
      </c>
      <c r="O65" s="17"/>
      <c r="P65" s="7">
        <v>2022</v>
      </c>
      <c r="Q65" s="14">
        <v>100</v>
      </c>
      <c r="R65" s="17"/>
      <c r="S65" s="7">
        <v>2022</v>
      </c>
      <c r="T65" s="14">
        <v>50</v>
      </c>
      <c r="U65" s="17"/>
      <c r="V65" s="7">
        <v>2022</v>
      </c>
      <c r="W65" s="14">
        <v>100</v>
      </c>
      <c r="X65" s="23"/>
    </row>
    <row r="66" spans="1:33" ht="24.75" customHeight="1">
      <c r="A66" s="7">
        <v>2023</v>
      </c>
      <c r="B66" s="15">
        <f t="shared" si="7"/>
        <v>89.583333333333329</v>
      </c>
      <c r="C66" s="15"/>
      <c r="D66" s="7">
        <v>2023</v>
      </c>
      <c r="E66" s="21">
        <v>100</v>
      </c>
      <c r="F66" s="17" t="s">
        <v>1752</v>
      </c>
      <c r="G66" s="7">
        <v>2023</v>
      </c>
      <c r="H66" s="14">
        <v>100</v>
      </c>
      <c r="I66" s="17" t="s">
        <v>1753</v>
      </c>
      <c r="J66" s="7">
        <v>2023</v>
      </c>
      <c r="K66" s="14">
        <v>50</v>
      </c>
      <c r="L66" s="17" t="s">
        <v>1754</v>
      </c>
      <c r="M66" s="7">
        <v>2023</v>
      </c>
      <c r="N66" s="14">
        <v>100</v>
      </c>
      <c r="O66" s="17" t="s">
        <v>1755</v>
      </c>
      <c r="P66" s="7">
        <v>2023</v>
      </c>
      <c r="Q66" s="14">
        <v>100</v>
      </c>
      <c r="R66" s="17" t="s">
        <v>1756</v>
      </c>
      <c r="S66" s="7">
        <v>2023</v>
      </c>
      <c r="T66" s="14">
        <v>50</v>
      </c>
      <c r="U66" s="17" t="s">
        <v>1757</v>
      </c>
      <c r="V66" s="7">
        <v>2023</v>
      </c>
      <c r="W66" s="14">
        <v>100</v>
      </c>
      <c r="X66" s="23" t="s">
        <v>1758</v>
      </c>
    </row>
    <row r="67" spans="1:33" ht="24.75" customHeight="1"/>
    <row r="68" spans="1:33" ht="24.75" customHeight="1">
      <c r="A68" s="5" t="s">
        <v>5</v>
      </c>
      <c r="B68" s="324" t="s">
        <v>232</v>
      </c>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row>
    <row r="69" spans="1:33" ht="24.75" customHeight="1">
      <c r="A69" s="5" t="s">
        <v>7</v>
      </c>
      <c r="B69" s="318" t="s">
        <v>233</v>
      </c>
      <c r="C69" s="318"/>
      <c r="D69" s="5" t="s">
        <v>7</v>
      </c>
      <c r="E69" s="312" t="s">
        <v>234</v>
      </c>
      <c r="F69" s="312"/>
      <c r="G69" s="5" t="s">
        <v>7</v>
      </c>
      <c r="H69" s="312" t="s">
        <v>235</v>
      </c>
      <c r="I69" s="312"/>
      <c r="J69" s="5" t="s">
        <v>7</v>
      </c>
      <c r="K69" s="312" t="s">
        <v>236</v>
      </c>
      <c r="L69" s="312"/>
      <c r="M69" s="5" t="s">
        <v>7</v>
      </c>
      <c r="N69" s="312"/>
      <c r="O69" s="312"/>
      <c r="P69" s="5" t="s">
        <v>7</v>
      </c>
      <c r="Q69" s="312"/>
      <c r="R69" s="312"/>
      <c r="S69" s="5" t="s">
        <v>7</v>
      </c>
      <c r="T69" s="312"/>
      <c r="U69" s="312"/>
      <c r="V69" s="5" t="s">
        <v>7</v>
      </c>
      <c r="W69" s="312"/>
      <c r="X69" s="312"/>
      <c r="Y69" s="5" t="s">
        <v>7</v>
      </c>
      <c r="Z69" s="312" t="s">
        <v>237</v>
      </c>
      <c r="AA69" s="312"/>
    </row>
    <row r="70" spans="1:33" ht="24.75" customHeight="1">
      <c r="A70" s="5" t="s">
        <v>13</v>
      </c>
      <c r="B70" s="7"/>
      <c r="C70" s="7"/>
      <c r="D70" s="5" t="s">
        <v>13</v>
      </c>
      <c r="E70" s="8"/>
      <c r="F70" s="8"/>
      <c r="G70" s="5" t="s">
        <v>13</v>
      </c>
      <c r="H70" s="311"/>
      <c r="I70" s="311"/>
      <c r="J70" s="5" t="s">
        <v>13</v>
      </c>
      <c r="K70" s="311"/>
      <c r="L70" s="311"/>
      <c r="M70" s="5" t="s">
        <v>13</v>
      </c>
      <c r="N70" s="311" t="s">
        <v>238</v>
      </c>
      <c r="O70" s="311"/>
      <c r="P70" s="5" t="s">
        <v>13</v>
      </c>
      <c r="Q70" s="311" t="s">
        <v>239</v>
      </c>
      <c r="R70" s="311"/>
      <c r="S70" s="5" t="s">
        <v>13</v>
      </c>
      <c r="T70" s="311" t="s">
        <v>240</v>
      </c>
      <c r="U70" s="311"/>
      <c r="V70" s="5" t="s">
        <v>13</v>
      </c>
      <c r="W70" s="311" t="s">
        <v>241</v>
      </c>
      <c r="X70" s="311"/>
      <c r="Y70" s="5" t="s">
        <v>13</v>
      </c>
      <c r="Z70" s="311"/>
      <c r="AA70" s="311"/>
    </row>
    <row r="71" spans="1:33" ht="24.75" customHeight="1">
      <c r="A71" s="7" t="s">
        <v>19</v>
      </c>
      <c r="B71" s="322" t="s">
        <v>242</v>
      </c>
      <c r="C71" s="322"/>
      <c r="D71" s="7" t="s">
        <v>19</v>
      </c>
      <c r="E71" s="322" t="s">
        <v>243</v>
      </c>
      <c r="F71" s="322"/>
      <c r="G71" s="7" t="s">
        <v>19</v>
      </c>
      <c r="H71" s="327" t="s">
        <v>244</v>
      </c>
      <c r="I71" s="327"/>
      <c r="J71" s="7" t="s">
        <v>19</v>
      </c>
      <c r="K71" s="322" t="s">
        <v>245</v>
      </c>
      <c r="L71" s="322"/>
      <c r="M71" s="7" t="s">
        <v>19</v>
      </c>
      <c r="N71" s="322" t="s">
        <v>246</v>
      </c>
      <c r="O71" s="322"/>
      <c r="P71" s="7" t="s">
        <v>19</v>
      </c>
      <c r="Q71" s="322" t="s">
        <v>247</v>
      </c>
      <c r="R71" s="322"/>
      <c r="S71" s="7" t="s">
        <v>19</v>
      </c>
      <c r="T71" s="322" t="s">
        <v>88</v>
      </c>
      <c r="U71" s="322"/>
      <c r="V71" s="7" t="s">
        <v>19</v>
      </c>
      <c r="W71" s="322" t="s">
        <v>248</v>
      </c>
      <c r="X71" s="322"/>
      <c r="Y71" s="7" t="s">
        <v>19</v>
      </c>
      <c r="Z71" s="322" t="s">
        <v>249</v>
      </c>
      <c r="AA71" s="322"/>
    </row>
    <row r="72" spans="1:33" ht="24.75" customHeight="1">
      <c r="A72" s="7" t="s">
        <v>30</v>
      </c>
      <c r="B72" s="322" t="s">
        <v>31</v>
      </c>
      <c r="C72" s="322"/>
      <c r="D72" s="7" t="s">
        <v>30</v>
      </c>
      <c r="E72" s="310" t="s">
        <v>250</v>
      </c>
      <c r="F72" s="310"/>
      <c r="G72" s="7" t="s">
        <v>30</v>
      </c>
      <c r="H72" s="325" t="s">
        <v>251</v>
      </c>
      <c r="I72" s="325"/>
      <c r="J72" s="7" t="s">
        <v>30</v>
      </c>
      <c r="K72" s="310" t="s">
        <v>252</v>
      </c>
      <c r="L72" s="310"/>
      <c r="M72" s="7" t="s">
        <v>30</v>
      </c>
      <c r="N72" s="310" t="s">
        <v>253</v>
      </c>
      <c r="O72" s="310"/>
      <c r="P72" s="7" t="s">
        <v>30</v>
      </c>
      <c r="Q72" s="310" t="s">
        <v>254</v>
      </c>
      <c r="R72" s="310"/>
      <c r="S72" s="7" t="s">
        <v>30</v>
      </c>
      <c r="T72" s="310" t="s">
        <v>255</v>
      </c>
      <c r="U72" s="310"/>
      <c r="V72" s="7" t="s">
        <v>30</v>
      </c>
      <c r="W72" s="310" t="s">
        <v>256</v>
      </c>
      <c r="X72" s="310"/>
      <c r="Y72" s="7" t="s">
        <v>30</v>
      </c>
      <c r="Z72" s="310" t="s">
        <v>257</v>
      </c>
      <c r="AA72" s="310"/>
    </row>
    <row r="73" spans="1:33" ht="24.75" customHeight="1">
      <c r="A73" s="7" t="s">
        <v>41</v>
      </c>
      <c r="B73" s="310" t="s">
        <v>42</v>
      </c>
      <c r="C73" s="310"/>
      <c r="D73" s="7" t="s">
        <v>41</v>
      </c>
      <c r="E73" s="322" t="s">
        <v>258</v>
      </c>
      <c r="F73" s="310"/>
      <c r="G73" s="7" t="s">
        <v>41</v>
      </c>
      <c r="H73" s="325" t="s">
        <v>259</v>
      </c>
      <c r="I73" s="325"/>
      <c r="J73" s="7" t="s">
        <v>41</v>
      </c>
      <c r="K73" s="310" t="s">
        <v>42</v>
      </c>
      <c r="L73" s="310"/>
      <c r="M73" s="7" t="s">
        <v>41</v>
      </c>
      <c r="N73" s="310" t="s">
        <v>260</v>
      </c>
      <c r="O73" s="310"/>
      <c r="P73" s="7" t="s">
        <v>41</v>
      </c>
      <c r="Q73" s="310" t="s">
        <v>261</v>
      </c>
      <c r="R73" s="310"/>
      <c r="S73" s="7" t="s">
        <v>41</v>
      </c>
      <c r="T73" s="310" t="s">
        <v>262</v>
      </c>
      <c r="U73" s="310"/>
      <c r="V73" s="7" t="s">
        <v>41</v>
      </c>
      <c r="W73" s="310" t="s">
        <v>263</v>
      </c>
      <c r="X73" s="310"/>
      <c r="Y73" s="7" t="s">
        <v>41</v>
      </c>
      <c r="Z73" s="327" t="s">
        <v>264</v>
      </c>
      <c r="AA73" s="325"/>
    </row>
    <row r="74" spans="1:33" ht="24.75" customHeight="1">
      <c r="A74" s="7" t="s">
        <v>121</v>
      </c>
      <c r="B74" s="7" t="s">
        <v>54</v>
      </c>
      <c r="C74" s="7" t="s">
        <v>122</v>
      </c>
      <c r="D74" s="7" t="s">
        <v>121</v>
      </c>
      <c r="E74" s="7" t="s">
        <v>54</v>
      </c>
      <c r="F74" s="7" t="s">
        <v>122</v>
      </c>
      <c r="G74" s="7" t="s">
        <v>121</v>
      </c>
      <c r="H74" s="7" t="s">
        <v>54</v>
      </c>
      <c r="I74" s="7" t="s">
        <v>122</v>
      </c>
      <c r="J74" s="7" t="s">
        <v>121</v>
      </c>
      <c r="K74" s="7" t="s">
        <v>54</v>
      </c>
      <c r="L74" s="7" t="s">
        <v>122</v>
      </c>
      <c r="M74" s="7" t="s">
        <v>121</v>
      </c>
      <c r="N74" s="7" t="s">
        <v>54</v>
      </c>
      <c r="O74" s="7" t="s">
        <v>122</v>
      </c>
      <c r="P74" s="7" t="s">
        <v>121</v>
      </c>
      <c r="Q74" s="7" t="s">
        <v>54</v>
      </c>
      <c r="R74" s="7" t="s">
        <v>122</v>
      </c>
      <c r="S74" s="7" t="s">
        <v>121</v>
      </c>
      <c r="T74" s="7" t="s">
        <v>54</v>
      </c>
      <c r="U74" s="7" t="s">
        <v>122</v>
      </c>
      <c r="V74" s="7" t="s">
        <v>121</v>
      </c>
      <c r="W74" s="7" t="s">
        <v>54</v>
      </c>
      <c r="X74" s="7" t="s">
        <v>122</v>
      </c>
      <c r="Y74" s="7" t="s">
        <v>121</v>
      </c>
      <c r="Z74" s="7" t="s">
        <v>54</v>
      </c>
      <c r="AA74" s="7" t="s">
        <v>122</v>
      </c>
    </row>
    <row r="75" spans="1:33" ht="24.75" customHeight="1">
      <c r="A75" s="7">
        <v>2020</v>
      </c>
      <c r="B75" s="15">
        <f t="shared" ref="B75:B78" si="8">AVERAGE(E75,H75,K75,Z75)</f>
        <v>83.25</v>
      </c>
      <c r="C75" s="15"/>
      <c r="D75" s="7">
        <v>2020</v>
      </c>
      <c r="E75" s="14">
        <v>100</v>
      </c>
      <c r="F75" s="17"/>
      <c r="G75" s="7">
        <v>2020</v>
      </c>
      <c r="H75" s="14">
        <v>33</v>
      </c>
      <c r="I75" s="17"/>
      <c r="J75" s="7">
        <v>2020</v>
      </c>
      <c r="K75" s="31">
        <f t="shared" ref="K75:K78" si="9">AVERAGE(N75,Q75,T75,W75)</f>
        <v>100</v>
      </c>
      <c r="L75" s="14"/>
      <c r="M75" s="7">
        <v>2020</v>
      </c>
      <c r="N75" s="21">
        <v>100</v>
      </c>
      <c r="O75" s="17"/>
      <c r="P75" s="7">
        <v>2020</v>
      </c>
      <c r="Q75" s="21">
        <v>100</v>
      </c>
      <c r="R75" s="17"/>
      <c r="S75" s="7">
        <v>2020</v>
      </c>
      <c r="T75" s="21">
        <v>100</v>
      </c>
      <c r="U75" s="17"/>
      <c r="V75" s="7">
        <v>2020</v>
      </c>
      <c r="W75" s="21">
        <v>100</v>
      </c>
      <c r="X75" s="17"/>
      <c r="Y75" s="7">
        <v>2020</v>
      </c>
      <c r="Z75" s="14">
        <v>100</v>
      </c>
      <c r="AA75" s="23"/>
    </row>
    <row r="76" spans="1:33" ht="24.75" customHeight="1">
      <c r="A76" s="7">
        <v>2021</v>
      </c>
      <c r="B76" s="15">
        <f t="shared" si="8"/>
        <v>83.25</v>
      </c>
      <c r="C76" s="15"/>
      <c r="D76" s="7">
        <v>2021</v>
      </c>
      <c r="E76" s="14">
        <v>100</v>
      </c>
      <c r="F76" s="17"/>
      <c r="G76" s="7">
        <v>2021</v>
      </c>
      <c r="H76" s="14">
        <v>33</v>
      </c>
      <c r="I76" s="17"/>
      <c r="J76" s="7">
        <v>2021</v>
      </c>
      <c r="K76" s="31">
        <f t="shared" si="9"/>
        <v>100</v>
      </c>
      <c r="L76" s="14"/>
      <c r="M76" s="7">
        <v>2021</v>
      </c>
      <c r="N76" s="21">
        <v>100</v>
      </c>
      <c r="O76" s="17"/>
      <c r="P76" s="7">
        <v>2021</v>
      </c>
      <c r="Q76" s="21">
        <v>100</v>
      </c>
      <c r="R76" s="17"/>
      <c r="S76" s="7">
        <v>2021</v>
      </c>
      <c r="T76" s="21">
        <v>100</v>
      </c>
      <c r="U76" s="17"/>
      <c r="V76" s="7">
        <v>2021</v>
      </c>
      <c r="W76" s="21">
        <v>100</v>
      </c>
      <c r="X76" s="17"/>
      <c r="Y76" s="7">
        <v>2021</v>
      </c>
      <c r="Z76" s="14">
        <v>100</v>
      </c>
      <c r="AA76" s="23"/>
    </row>
    <row r="77" spans="1:33" ht="24.75" customHeight="1">
      <c r="A77" s="7">
        <v>2022</v>
      </c>
      <c r="B77" s="15">
        <f t="shared" si="8"/>
        <v>83.25</v>
      </c>
      <c r="C77" s="15"/>
      <c r="D77" s="7">
        <v>2022</v>
      </c>
      <c r="E77" s="14">
        <v>100</v>
      </c>
      <c r="F77" s="17"/>
      <c r="G77" s="7">
        <v>2022</v>
      </c>
      <c r="H77" s="14">
        <v>33</v>
      </c>
      <c r="I77" s="17"/>
      <c r="J77" s="7">
        <v>2022</v>
      </c>
      <c r="K77" s="31">
        <f t="shared" si="9"/>
        <v>100</v>
      </c>
      <c r="L77" s="14"/>
      <c r="M77" s="7">
        <v>2022</v>
      </c>
      <c r="N77" s="21">
        <v>100</v>
      </c>
      <c r="O77" s="17"/>
      <c r="P77" s="7">
        <v>2022</v>
      </c>
      <c r="Q77" s="21">
        <v>100</v>
      </c>
      <c r="R77" s="17"/>
      <c r="S77" s="7">
        <v>2022</v>
      </c>
      <c r="T77" s="21">
        <v>100</v>
      </c>
      <c r="U77" s="17"/>
      <c r="V77" s="7">
        <v>2022</v>
      </c>
      <c r="W77" s="21">
        <v>100</v>
      </c>
      <c r="X77" s="17"/>
      <c r="Y77" s="7">
        <v>2022</v>
      </c>
      <c r="Z77" s="14">
        <v>100</v>
      </c>
      <c r="AA77" s="23"/>
    </row>
    <row r="78" spans="1:33" ht="24.75" customHeight="1">
      <c r="A78" s="7">
        <v>2023</v>
      </c>
      <c r="B78" s="15">
        <f t="shared" si="8"/>
        <v>83.25</v>
      </c>
      <c r="C78" s="15"/>
      <c r="D78" s="7">
        <v>2023</v>
      </c>
      <c r="E78" s="14">
        <v>100</v>
      </c>
      <c r="F78" s="17" t="s">
        <v>1759</v>
      </c>
      <c r="G78" s="7">
        <v>2023</v>
      </c>
      <c r="H78" s="14">
        <v>33</v>
      </c>
      <c r="I78" s="17" t="s">
        <v>1760</v>
      </c>
      <c r="J78" s="7">
        <v>2023</v>
      </c>
      <c r="K78" s="31">
        <f t="shared" si="9"/>
        <v>100</v>
      </c>
      <c r="L78" s="14"/>
      <c r="M78" s="7">
        <v>2023</v>
      </c>
      <c r="N78" s="21">
        <v>100</v>
      </c>
      <c r="O78" s="17" t="s">
        <v>1761</v>
      </c>
      <c r="P78" s="7">
        <v>2023</v>
      </c>
      <c r="Q78" s="21">
        <v>100</v>
      </c>
      <c r="R78" s="17" t="s">
        <v>1761</v>
      </c>
      <c r="S78" s="7">
        <v>2023</v>
      </c>
      <c r="T78" s="21">
        <v>100</v>
      </c>
      <c r="U78" s="17"/>
      <c r="V78" s="7">
        <v>2023</v>
      </c>
      <c r="W78" s="21">
        <v>100</v>
      </c>
      <c r="X78" s="17" t="s">
        <v>1762</v>
      </c>
      <c r="Y78" s="7">
        <v>2023</v>
      </c>
      <c r="Z78" s="14">
        <v>100</v>
      </c>
      <c r="AA78" s="23"/>
    </row>
    <row r="79" spans="1:33" ht="24.75" customHeight="1">
      <c r="W79" s="39"/>
    </row>
    <row r="80" spans="1:33" ht="24.75" customHeight="1">
      <c r="A80" s="5" t="s">
        <v>5</v>
      </c>
      <c r="B80" s="294" t="s">
        <v>265</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6"/>
    </row>
    <row r="81" spans="1:51" ht="24.75" customHeight="1">
      <c r="A81" s="5" t="s">
        <v>7</v>
      </c>
      <c r="B81" s="318" t="s">
        <v>266</v>
      </c>
      <c r="C81" s="318"/>
      <c r="D81" s="5" t="s">
        <v>7</v>
      </c>
      <c r="E81" s="312" t="s">
        <v>267</v>
      </c>
      <c r="F81" s="312"/>
      <c r="G81" s="5" t="s">
        <v>7</v>
      </c>
      <c r="H81" s="312" t="s">
        <v>268</v>
      </c>
      <c r="I81" s="312"/>
      <c r="J81" s="5" t="s">
        <v>7</v>
      </c>
      <c r="K81" s="312"/>
      <c r="L81" s="312"/>
      <c r="M81" s="5" t="s">
        <v>7</v>
      </c>
      <c r="N81" s="312"/>
      <c r="O81" s="312"/>
      <c r="P81" s="5" t="s">
        <v>7</v>
      </c>
      <c r="Q81" s="312"/>
      <c r="R81" s="312"/>
      <c r="S81" s="5" t="s">
        <v>7</v>
      </c>
      <c r="T81" s="312"/>
      <c r="U81" s="312"/>
      <c r="V81" s="5" t="s">
        <v>7</v>
      </c>
      <c r="W81" s="312" t="s">
        <v>269</v>
      </c>
      <c r="X81" s="312"/>
      <c r="Y81" s="5" t="s">
        <v>7</v>
      </c>
      <c r="Z81" s="312" t="s">
        <v>270</v>
      </c>
      <c r="AA81" s="312"/>
      <c r="AB81" s="5" t="s">
        <v>7</v>
      </c>
      <c r="AC81" s="312" t="s">
        <v>271</v>
      </c>
      <c r="AD81" s="312"/>
      <c r="AE81" s="5" t="s">
        <v>7</v>
      </c>
      <c r="AF81" s="312" t="s">
        <v>272</v>
      </c>
      <c r="AG81" s="312"/>
    </row>
    <row r="82" spans="1:51" ht="24.75" customHeight="1">
      <c r="A82" s="5" t="s">
        <v>13</v>
      </c>
      <c r="B82" s="7"/>
      <c r="C82" s="7"/>
      <c r="D82" s="5" t="s">
        <v>13</v>
      </c>
      <c r="E82" s="8"/>
      <c r="F82" s="8"/>
      <c r="G82" s="5" t="s">
        <v>13</v>
      </c>
      <c r="H82" s="311"/>
      <c r="I82" s="311"/>
      <c r="J82" s="5" t="s">
        <v>13</v>
      </c>
      <c r="K82" s="311" t="s">
        <v>273</v>
      </c>
      <c r="L82" s="311"/>
      <c r="M82" s="5" t="s">
        <v>13</v>
      </c>
      <c r="N82" s="311" t="s">
        <v>274</v>
      </c>
      <c r="O82" s="311"/>
      <c r="P82" s="5" t="s">
        <v>13</v>
      </c>
      <c r="Q82" s="311" t="s">
        <v>275</v>
      </c>
      <c r="R82" s="311"/>
      <c r="S82" s="5" t="s">
        <v>13</v>
      </c>
      <c r="T82" s="311" t="s">
        <v>276</v>
      </c>
      <c r="U82" s="311"/>
      <c r="V82" s="5" t="s">
        <v>13</v>
      </c>
      <c r="W82" s="311"/>
      <c r="X82" s="311"/>
      <c r="Y82" s="5" t="s">
        <v>13</v>
      </c>
      <c r="Z82" s="311"/>
      <c r="AA82" s="311"/>
      <c r="AB82" s="5" t="s">
        <v>13</v>
      </c>
      <c r="AC82" s="311"/>
      <c r="AD82" s="311"/>
      <c r="AE82" s="5" t="s">
        <v>13</v>
      </c>
      <c r="AF82" s="311"/>
      <c r="AG82" s="311"/>
    </row>
    <row r="83" spans="1:51" ht="24.75" customHeight="1">
      <c r="A83" s="7" t="s">
        <v>19</v>
      </c>
      <c r="B83" s="322" t="s">
        <v>277</v>
      </c>
      <c r="C83" s="322"/>
      <c r="D83" s="7" t="s">
        <v>19</v>
      </c>
      <c r="E83" s="322" t="s">
        <v>278</v>
      </c>
      <c r="F83" s="322"/>
      <c r="G83" s="7" t="s">
        <v>19</v>
      </c>
      <c r="H83" s="322" t="s">
        <v>279</v>
      </c>
      <c r="I83" s="322"/>
      <c r="J83" s="7" t="s">
        <v>19</v>
      </c>
      <c r="K83" s="322" t="s">
        <v>280</v>
      </c>
      <c r="L83" s="322"/>
      <c r="M83" s="7" t="s">
        <v>19</v>
      </c>
      <c r="N83" s="322" t="s">
        <v>141</v>
      </c>
      <c r="O83" s="322"/>
      <c r="P83" s="7" t="s">
        <v>19</v>
      </c>
      <c r="Q83" s="322" t="s">
        <v>281</v>
      </c>
      <c r="R83" s="322"/>
      <c r="S83" s="7" t="s">
        <v>19</v>
      </c>
      <c r="T83" s="328" t="s">
        <v>282</v>
      </c>
      <c r="U83" s="328"/>
      <c r="V83" s="7" t="s">
        <v>19</v>
      </c>
      <c r="W83" s="322" t="s">
        <v>283</v>
      </c>
      <c r="X83" s="322"/>
      <c r="Y83" s="7" t="s">
        <v>19</v>
      </c>
      <c r="Z83" s="322" t="s">
        <v>284</v>
      </c>
      <c r="AA83" s="322"/>
      <c r="AB83" s="7" t="s">
        <v>19</v>
      </c>
      <c r="AC83" s="322" t="s">
        <v>285</v>
      </c>
      <c r="AD83" s="322"/>
      <c r="AE83" s="7" t="s">
        <v>19</v>
      </c>
      <c r="AF83" s="322" t="s">
        <v>286</v>
      </c>
      <c r="AG83" s="322"/>
    </row>
    <row r="84" spans="1:51" ht="24.75" customHeight="1">
      <c r="A84" s="7" t="s">
        <v>30</v>
      </c>
      <c r="B84" s="322" t="s">
        <v>31</v>
      </c>
      <c r="C84" s="322"/>
      <c r="D84" s="7" t="s">
        <v>30</v>
      </c>
      <c r="E84" s="310" t="s">
        <v>287</v>
      </c>
      <c r="F84" s="310"/>
      <c r="G84" s="7" t="s">
        <v>30</v>
      </c>
      <c r="H84" s="310" t="s">
        <v>288</v>
      </c>
      <c r="I84" s="310"/>
      <c r="J84" s="7" t="s">
        <v>30</v>
      </c>
      <c r="K84" s="310" t="s">
        <v>289</v>
      </c>
      <c r="L84" s="310"/>
      <c r="M84" s="7" t="s">
        <v>30</v>
      </c>
      <c r="N84" s="310" t="s">
        <v>290</v>
      </c>
      <c r="O84" s="310"/>
      <c r="P84" s="7" t="s">
        <v>30</v>
      </c>
      <c r="Q84" s="310" t="s">
        <v>291</v>
      </c>
      <c r="R84" s="310"/>
      <c r="S84" s="7" t="s">
        <v>30</v>
      </c>
      <c r="T84" s="298" t="s">
        <v>292</v>
      </c>
      <c r="U84" s="298"/>
      <c r="V84" s="7" t="s">
        <v>30</v>
      </c>
      <c r="W84" s="309" t="s">
        <v>293</v>
      </c>
      <c r="X84" s="309"/>
      <c r="Y84" s="7" t="s">
        <v>30</v>
      </c>
      <c r="Z84" s="310" t="s">
        <v>294</v>
      </c>
      <c r="AA84" s="310"/>
      <c r="AB84" s="7" t="s">
        <v>30</v>
      </c>
      <c r="AC84" s="310" t="s">
        <v>295</v>
      </c>
      <c r="AD84" s="310"/>
      <c r="AE84" s="7" t="s">
        <v>30</v>
      </c>
      <c r="AF84" s="310" t="s">
        <v>296</v>
      </c>
      <c r="AG84" s="310"/>
    </row>
    <row r="85" spans="1:51" ht="24.75" customHeight="1">
      <c r="A85" s="7" t="s">
        <v>41</v>
      </c>
      <c r="B85" s="310" t="s">
        <v>42</v>
      </c>
      <c r="C85" s="310"/>
      <c r="D85" s="7" t="s">
        <v>41</v>
      </c>
      <c r="E85" s="310" t="s">
        <v>297</v>
      </c>
      <c r="F85" s="310"/>
      <c r="G85" s="7" t="s">
        <v>41</v>
      </c>
      <c r="H85" s="310" t="s">
        <v>42</v>
      </c>
      <c r="I85" s="310"/>
      <c r="J85" s="7" t="s">
        <v>41</v>
      </c>
      <c r="K85" s="310" t="s">
        <v>298</v>
      </c>
      <c r="L85" s="310"/>
      <c r="M85" s="7" t="s">
        <v>41</v>
      </c>
      <c r="N85" s="310" t="s">
        <v>298</v>
      </c>
      <c r="O85" s="310"/>
      <c r="P85" s="7" t="s">
        <v>41</v>
      </c>
      <c r="Q85" s="310" t="s">
        <v>298</v>
      </c>
      <c r="R85" s="310"/>
      <c r="S85" s="7" t="s">
        <v>41</v>
      </c>
      <c r="T85" s="310" t="s">
        <v>298</v>
      </c>
      <c r="U85" s="310"/>
      <c r="V85" s="7" t="s">
        <v>41</v>
      </c>
      <c r="W85" s="310" t="s">
        <v>299</v>
      </c>
      <c r="X85" s="310"/>
      <c r="Y85" s="7" t="s">
        <v>41</v>
      </c>
      <c r="Z85" s="310" t="s">
        <v>300</v>
      </c>
      <c r="AA85" s="310"/>
      <c r="AB85" s="7" t="s">
        <v>41</v>
      </c>
      <c r="AC85" s="310" t="s">
        <v>301</v>
      </c>
      <c r="AD85" s="310"/>
      <c r="AE85" s="7" t="s">
        <v>41</v>
      </c>
      <c r="AF85" s="310" t="s">
        <v>302</v>
      </c>
      <c r="AG85" s="310"/>
    </row>
    <row r="86" spans="1:51" ht="24.75" customHeight="1">
      <c r="A86" s="7" t="s">
        <v>121</v>
      </c>
      <c r="B86" s="7" t="s">
        <v>54</v>
      </c>
      <c r="C86" s="7" t="s">
        <v>122</v>
      </c>
      <c r="D86" s="7" t="s">
        <v>121</v>
      </c>
      <c r="E86" s="7" t="s">
        <v>54</v>
      </c>
      <c r="F86" s="7" t="s">
        <v>122</v>
      </c>
      <c r="G86" s="7" t="s">
        <v>121</v>
      </c>
      <c r="H86" s="7" t="s">
        <v>54</v>
      </c>
      <c r="I86" s="7" t="s">
        <v>122</v>
      </c>
      <c r="J86" s="7" t="s">
        <v>121</v>
      </c>
      <c r="K86" s="7" t="s">
        <v>54</v>
      </c>
      <c r="L86" s="7" t="s">
        <v>122</v>
      </c>
      <c r="M86" s="7" t="s">
        <v>121</v>
      </c>
      <c r="N86" s="7" t="s">
        <v>54</v>
      </c>
      <c r="O86" s="7" t="s">
        <v>122</v>
      </c>
      <c r="P86" s="7" t="s">
        <v>121</v>
      </c>
      <c r="Q86" s="7" t="s">
        <v>54</v>
      </c>
      <c r="R86" s="7" t="s">
        <v>122</v>
      </c>
      <c r="S86" s="7" t="s">
        <v>121</v>
      </c>
      <c r="T86" s="7" t="s">
        <v>54</v>
      </c>
      <c r="U86" s="7" t="s">
        <v>122</v>
      </c>
      <c r="V86" s="7" t="s">
        <v>121</v>
      </c>
      <c r="W86" s="7" t="s">
        <v>54</v>
      </c>
      <c r="X86" s="7" t="s">
        <v>122</v>
      </c>
      <c r="Y86" s="7" t="s">
        <v>121</v>
      </c>
      <c r="Z86" s="7" t="s">
        <v>54</v>
      </c>
      <c r="AA86" s="7" t="s">
        <v>122</v>
      </c>
      <c r="AB86" s="7" t="s">
        <v>121</v>
      </c>
      <c r="AC86" s="7" t="s">
        <v>54</v>
      </c>
      <c r="AD86" s="7" t="s">
        <v>122</v>
      </c>
      <c r="AE86" s="7" t="s">
        <v>121</v>
      </c>
      <c r="AF86" s="7" t="s">
        <v>54</v>
      </c>
      <c r="AG86" s="7" t="s">
        <v>122</v>
      </c>
    </row>
    <row r="87" spans="1:51" ht="24.75" customHeight="1">
      <c r="A87" s="7">
        <v>2020</v>
      </c>
      <c r="B87" s="15">
        <f>AVERAGE(E87,H87, W87,((Z87+AC87+AF87)/3))</f>
        <v>100</v>
      </c>
      <c r="C87" s="15"/>
      <c r="D87" s="7">
        <v>2020</v>
      </c>
      <c r="E87" s="21">
        <v>100</v>
      </c>
      <c r="F87" s="17"/>
      <c r="G87" s="7">
        <v>2020</v>
      </c>
      <c r="H87" s="31">
        <f t="shared" ref="H87:H90" si="10">AVERAGE(K87,N87,Q87,T87)</f>
        <v>100</v>
      </c>
      <c r="I87" s="14"/>
      <c r="J87" s="7">
        <v>2020</v>
      </c>
      <c r="K87" s="14">
        <v>100</v>
      </c>
      <c r="L87" s="17"/>
      <c r="M87" s="7">
        <v>2020</v>
      </c>
      <c r="N87" s="14">
        <v>100</v>
      </c>
      <c r="O87" s="17"/>
      <c r="P87" s="7">
        <v>2020</v>
      </c>
      <c r="Q87" s="21">
        <v>100</v>
      </c>
      <c r="R87" s="17"/>
      <c r="S87" s="7">
        <v>2020</v>
      </c>
      <c r="T87" s="14">
        <v>100</v>
      </c>
      <c r="U87" s="17"/>
      <c r="V87" s="7">
        <v>2020</v>
      </c>
      <c r="W87" s="14">
        <v>100</v>
      </c>
      <c r="X87" s="17"/>
      <c r="Y87" s="7">
        <v>2020</v>
      </c>
      <c r="Z87" s="14">
        <v>100</v>
      </c>
      <c r="AA87" s="17"/>
      <c r="AB87" s="7">
        <v>2020</v>
      </c>
      <c r="AC87" s="14">
        <v>100</v>
      </c>
      <c r="AD87" s="17"/>
      <c r="AE87" s="7">
        <v>2020</v>
      </c>
      <c r="AF87" s="14">
        <v>100</v>
      </c>
      <c r="AG87" s="23"/>
    </row>
    <row r="88" spans="1:51" ht="24.75" customHeight="1">
      <c r="A88" s="7">
        <v>2021</v>
      </c>
      <c r="B88" s="15">
        <f>AVERAGE(E88,H88, W88,((Z88+AC88+AF88)/3))</f>
        <v>100</v>
      </c>
      <c r="C88" s="15"/>
      <c r="D88" s="7">
        <v>2021</v>
      </c>
      <c r="E88" s="21">
        <v>100</v>
      </c>
      <c r="F88" s="17"/>
      <c r="G88" s="7">
        <v>2021</v>
      </c>
      <c r="H88" s="31">
        <f t="shared" si="10"/>
        <v>100</v>
      </c>
      <c r="I88" s="14"/>
      <c r="J88" s="7">
        <v>2021</v>
      </c>
      <c r="K88" s="14">
        <v>100</v>
      </c>
      <c r="L88" s="17"/>
      <c r="M88" s="7">
        <v>2021</v>
      </c>
      <c r="N88" s="14">
        <v>100</v>
      </c>
      <c r="O88" s="17"/>
      <c r="P88" s="7">
        <v>2021</v>
      </c>
      <c r="Q88" s="21">
        <v>100</v>
      </c>
      <c r="R88" s="17"/>
      <c r="S88" s="7">
        <v>2021</v>
      </c>
      <c r="T88" s="14">
        <v>100</v>
      </c>
      <c r="U88" s="17"/>
      <c r="V88" s="7">
        <v>2021</v>
      </c>
      <c r="W88" s="14">
        <v>100</v>
      </c>
      <c r="X88" s="17"/>
      <c r="Y88" s="7">
        <v>2021</v>
      </c>
      <c r="Z88" s="14">
        <v>100</v>
      </c>
      <c r="AA88" s="17"/>
      <c r="AB88" s="7">
        <v>2021</v>
      </c>
      <c r="AC88" s="14">
        <v>100</v>
      </c>
      <c r="AD88" s="17"/>
      <c r="AE88" s="7">
        <v>2021</v>
      </c>
      <c r="AF88" s="14">
        <v>100</v>
      </c>
      <c r="AG88" s="23"/>
    </row>
    <row r="89" spans="1:51" ht="24.75" customHeight="1">
      <c r="A89" s="7">
        <v>2022</v>
      </c>
      <c r="B89" s="15">
        <f>AVERAGE(E89,H89, W89,((Z89+AC89+AF89)/3))</f>
        <v>100</v>
      </c>
      <c r="C89" s="15"/>
      <c r="D89" s="7">
        <v>2022</v>
      </c>
      <c r="E89" s="21">
        <v>100</v>
      </c>
      <c r="F89" s="17"/>
      <c r="G89" s="7">
        <v>2022</v>
      </c>
      <c r="H89" s="31">
        <f t="shared" si="10"/>
        <v>100</v>
      </c>
      <c r="I89" s="14"/>
      <c r="J89" s="7">
        <v>2022</v>
      </c>
      <c r="K89" s="14">
        <v>100</v>
      </c>
      <c r="L89" s="17"/>
      <c r="M89" s="7">
        <v>2022</v>
      </c>
      <c r="N89" s="14">
        <v>100</v>
      </c>
      <c r="O89" s="17"/>
      <c r="P89" s="7">
        <v>2022</v>
      </c>
      <c r="Q89" s="21">
        <v>100</v>
      </c>
      <c r="R89" s="17"/>
      <c r="S89" s="7">
        <v>2022</v>
      </c>
      <c r="T89" s="14">
        <v>100</v>
      </c>
      <c r="U89" s="17"/>
      <c r="V89" s="7">
        <v>2022</v>
      </c>
      <c r="W89" s="14">
        <v>100</v>
      </c>
      <c r="X89" s="17"/>
      <c r="Y89" s="7">
        <v>2022</v>
      </c>
      <c r="Z89" s="14">
        <v>100</v>
      </c>
      <c r="AA89" s="17"/>
      <c r="AB89" s="7">
        <v>2022</v>
      </c>
      <c r="AC89" s="14">
        <v>100</v>
      </c>
      <c r="AD89" s="17"/>
      <c r="AE89" s="7">
        <v>2022</v>
      </c>
      <c r="AF89" s="14">
        <v>100</v>
      </c>
      <c r="AG89" s="23"/>
    </row>
    <row r="90" spans="1:51" ht="24.75" customHeight="1">
      <c r="A90" s="7">
        <v>2023</v>
      </c>
      <c r="B90" s="15">
        <f>AVERAGE(E90,H90, W90,((Z90+AC90+AF90)/3))</f>
        <v>100</v>
      </c>
      <c r="C90" s="15"/>
      <c r="D90" s="7">
        <v>2023</v>
      </c>
      <c r="E90" s="21">
        <v>100</v>
      </c>
      <c r="F90" s="17" t="s">
        <v>1763</v>
      </c>
      <c r="G90" s="7">
        <v>2023</v>
      </c>
      <c r="H90" s="31">
        <f t="shared" si="10"/>
        <v>100</v>
      </c>
      <c r="I90" s="14"/>
      <c r="J90" s="7">
        <v>2023</v>
      </c>
      <c r="K90" s="14">
        <v>100</v>
      </c>
      <c r="L90" s="17"/>
      <c r="M90" s="7">
        <v>2023</v>
      </c>
      <c r="N90" s="14">
        <v>100</v>
      </c>
      <c r="O90" s="17"/>
      <c r="P90" s="7">
        <v>2023</v>
      </c>
      <c r="Q90" s="21">
        <v>100</v>
      </c>
      <c r="R90" s="17"/>
      <c r="S90" s="7">
        <v>2023</v>
      </c>
      <c r="T90" s="14">
        <v>100</v>
      </c>
      <c r="U90" s="17"/>
      <c r="V90" s="7">
        <v>2023</v>
      </c>
      <c r="W90" s="14">
        <v>100</v>
      </c>
      <c r="X90" s="17"/>
      <c r="Y90" s="7">
        <v>2023</v>
      </c>
      <c r="Z90" s="14">
        <v>100</v>
      </c>
      <c r="AA90" s="233" t="s">
        <v>1764</v>
      </c>
      <c r="AB90" s="7">
        <v>2023</v>
      </c>
      <c r="AC90" s="14">
        <v>100</v>
      </c>
      <c r="AD90" s="233" t="s">
        <v>1764</v>
      </c>
      <c r="AE90" s="7">
        <v>2023</v>
      </c>
      <c r="AF90" s="14">
        <v>100</v>
      </c>
      <c r="AG90" s="23" t="s">
        <v>1765</v>
      </c>
    </row>
    <row r="91" spans="1:51" ht="24.75" customHeight="1"/>
    <row r="92" spans="1:51" s="38" customFormat="1" ht="24.75" customHeight="1">
      <c r="A92" s="26" t="s">
        <v>5</v>
      </c>
      <c r="B92" s="275" t="s">
        <v>305</v>
      </c>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7"/>
      <c r="AN92" s="40"/>
      <c r="AO92" s="40"/>
      <c r="AP92" s="40"/>
      <c r="AQ92" s="40"/>
      <c r="AR92" s="40"/>
      <c r="AS92" s="40"/>
      <c r="AT92" s="40"/>
      <c r="AU92" s="40"/>
      <c r="AV92" s="40"/>
      <c r="AW92" s="40"/>
      <c r="AX92" s="40"/>
      <c r="AY92" s="40"/>
    </row>
    <row r="93" spans="1:51" s="38" customFormat="1" ht="24.75" customHeight="1">
      <c r="A93" s="26" t="s">
        <v>7</v>
      </c>
      <c r="B93" s="313" t="s">
        <v>306</v>
      </c>
      <c r="C93" s="313"/>
      <c r="D93" s="26" t="s">
        <v>7</v>
      </c>
      <c r="E93" s="313" t="s">
        <v>307</v>
      </c>
      <c r="F93" s="313"/>
      <c r="G93" s="26" t="s">
        <v>7</v>
      </c>
      <c r="H93" s="313">
        <v>148</v>
      </c>
      <c r="I93" s="313"/>
      <c r="J93" s="26" t="s">
        <v>7</v>
      </c>
      <c r="K93" s="313" t="s">
        <v>308</v>
      </c>
      <c r="L93" s="313"/>
      <c r="M93" s="26" t="s">
        <v>7</v>
      </c>
      <c r="N93" s="313">
        <v>149</v>
      </c>
      <c r="O93" s="313"/>
      <c r="P93" s="26" t="s">
        <v>7</v>
      </c>
      <c r="Q93" s="313" t="s">
        <v>309</v>
      </c>
      <c r="R93" s="313"/>
      <c r="S93" s="26" t="s">
        <v>7</v>
      </c>
      <c r="T93" s="313">
        <v>150</v>
      </c>
      <c r="U93" s="313"/>
      <c r="V93" s="26" t="s">
        <v>7</v>
      </c>
      <c r="W93" s="313" t="s">
        <v>310</v>
      </c>
      <c r="X93" s="313"/>
      <c r="Y93" s="26" t="s">
        <v>7</v>
      </c>
      <c r="Z93" s="313" t="s">
        <v>311</v>
      </c>
      <c r="AA93" s="313"/>
      <c r="AB93" s="26" t="s">
        <v>7</v>
      </c>
      <c r="AC93" s="313" t="s">
        <v>312</v>
      </c>
      <c r="AD93" s="313"/>
      <c r="AE93" s="26" t="s">
        <v>7</v>
      </c>
      <c r="AF93" s="313">
        <v>159</v>
      </c>
      <c r="AG93" s="313"/>
      <c r="AH93" s="26" t="s">
        <v>7</v>
      </c>
      <c r="AI93" s="313">
        <v>163</v>
      </c>
      <c r="AJ93" s="313"/>
      <c r="AK93" s="26" t="s">
        <v>7</v>
      </c>
      <c r="AL93" s="313">
        <v>165</v>
      </c>
      <c r="AM93" s="313"/>
      <c r="AN93" s="40"/>
      <c r="AO93" s="40"/>
      <c r="AP93" s="40"/>
      <c r="AQ93" s="40"/>
      <c r="AR93" s="40"/>
      <c r="AS93" s="40"/>
      <c r="AT93" s="40"/>
      <c r="AU93" s="40"/>
      <c r="AV93" s="40"/>
      <c r="AW93" s="40"/>
      <c r="AX93" s="40"/>
      <c r="AY93" s="40"/>
    </row>
    <row r="94" spans="1:51" s="38" customFormat="1" ht="24.75" customHeight="1">
      <c r="A94" s="26" t="s">
        <v>13</v>
      </c>
      <c r="B94" s="27"/>
      <c r="C94" s="27"/>
      <c r="D94" s="26" t="s">
        <v>13</v>
      </c>
      <c r="E94" s="307"/>
      <c r="F94" s="307"/>
      <c r="G94" s="26" t="s">
        <v>13</v>
      </c>
      <c r="H94" s="307"/>
      <c r="I94" s="307"/>
      <c r="J94" s="26" t="s">
        <v>13</v>
      </c>
      <c r="K94" s="307"/>
      <c r="L94" s="307"/>
      <c r="M94" s="26" t="s">
        <v>13</v>
      </c>
      <c r="N94" s="307"/>
      <c r="O94" s="307"/>
      <c r="P94" s="26" t="s">
        <v>13</v>
      </c>
      <c r="Q94" s="307"/>
      <c r="R94" s="307"/>
      <c r="S94" s="26" t="s">
        <v>13</v>
      </c>
      <c r="T94" s="307"/>
      <c r="U94" s="307"/>
      <c r="V94" s="26" t="s">
        <v>13</v>
      </c>
      <c r="W94" s="307"/>
      <c r="X94" s="307"/>
      <c r="Y94" s="26" t="s">
        <v>13</v>
      </c>
      <c r="Z94" s="307"/>
      <c r="AA94" s="307"/>
      <c r="AB94" s="26" t="s">
        <v>13</v>
      </c>
      <c r="AC94" s="307"/>
      <c r="AD94" s="307"/>
      <c r="AE94" s="26" t="s">
        <v>13</v>
      </c>
      <c r="AF94" s="307"/>
      <c r="AG94" s="307"/>
      <c r="AH94" s="26" t="s">
        <v>13</v>
      </c>
      <c r="AI94" s="307"/>
      <c r="AJ94" s="307"/>
      <c r="AK94" s="26" t="s">
        <v>13</v>
      </c>
      <c r="AL94" s="307"/>
      <c r="AM94" s="307"/>
      <c r="AN94" s="40"/>
      <c r="AO94" s="40"/>
      <c r="AP94" s="40"/>
      <c r="AQ94" s="40"/>
      <c r="AR94" s="40"/>
      <c r="AS94" s="40"/>
      <c r="AT94" s="40"/>
      <c r="AU94" s="40"/>
      <c r="AV94" s="40"/>
      <c r="AW94" s="40"/>
      <c r="AX94" s="40"/>
      <c r="AY94" s="40"/>
    </row>
    <row r="95" spans="1:51" s="38" customFormat="1" ht="24.75" customHeight="1">
      <c r="A95" s="27" t="s">
        <v>19</v>
      </c>
      <c r="B95" s="327" t="s">
        <v>313</v>
      </c>
      <c r="C95" s="327"/>
      <c r="D95" s="27" t="s">
        <v>19</v>
      </c>
      <c r="E95" s="327" t="s">
        <v>314</v>
      </c>
      <c r="F95" s="327"/>
      <c r="G95" s="27" t="s">
        <v>19</v>
      </c>
      <c r="H95" s="327" t="s">
        <v>315</v>
      </c>
      <c r="I95" s="327"/>
      <c r="J95" s="27" t="s">
        <v>19</v>
      </c>
      <c r="K95" s="327" t="s">
        <v>316</v>
      </c>
      <c r="L95" s="327"/>
      <c r="M95" s="27" t="s">
        <v>19</v>
      </c>
      <c r="N95" s="327" t="s">
        <v>317</v>
      </c>
      <c r="O95" s="327"/>
      <c r="P95" s="27" t="s">
        <v>19</v>
      </c>
      <c r="Q95" s="327" t="s">
        <v>318</v>
      </c>
      <c r="R95" s="327"/>
      <c r="S95" s="27" t="s">
        <v>19</v>
      </c>
      <c r="T95" s="327" t="s">
        <v>319</v>
      </c>
      <c r="U95" s="327"/>
      <c r="V95" s="27" t="s">
        <v>19</v>
      </c>
      <c r="W95" s="327" t="s">
        <v>320</v>
      </c>
      <c r="X95" s="327"/>
      <c r="Y95" s="27" t="s">
        <v>19</v>
      </c>
      <c r="Z95" s="327" t="s">
        <v>321</v>
      </c>
      <c r="AA95" s="327"/>
      <c r="AB95" s="27" t="s">
        <v>19</v>
      </c>
      <c r="AC95" s="327" t="s">
        <v>322</v>
      </c>
      <c r="AD95" s="327"/>
      <c r="AE95" s="27" t="s">
        <v>19</v>
      </c>
      <c r="AF95" s="327" t="s">
        <v>323</v>
      </c>
      <c r="AG95" s="327"/>
      <c r="AH95" s="27" t="s">
        <v>19</v>
      </c>
      <c r="AI95" s="327" t="s">
        <v>324</v>
      </c>
      <c r="AJ95" s="327"/>
      <c r="AK95" s="27" t="s">
        <v>19</v>
      </c>
      <c r="AL95" s="327" t="s">
        <v>325</v>
      </c>
      <c r="AM95" s="327"/>
      <c r="AN95" s="40"/>
      <c r="AO95" s="40"/>
      <c r="AP95" s="40"/>
      <c r="AQ95" s="40"/>
      <c r="AR95" s="40"/>
      <c r="AS95" s="40"/>
      <c r="AT95" s="40"/>
      <c r="AU95" s="40"/>
      <c r="AV95" s="40"/>
      <c r="AW95" s="40"/>
      <c r="AX95" s="40"/>
      <c r="AY95" s="40"/>
    </row>
    <row r="96" spans="1:51" s="38" customFormat="1" ht="24.75" customHeight="1">
      <c r="A96" s="27" t="s">
        <v>30</v>
      </c>
      <c r="B96" s="327" t="s">
        <v>31</v>
      </c>
      <c r="C96" s="327"/>
      <c r="D96" s="27" t="s">
        <v>30</v>
      </c>
      <c r="E96" s="326" t="s">
        <v>326</v>
      </c>
      <c r="F96" s="326"/>
      <c r="G96" s="27" t="s">
        <v>30</v>
      </c>
      <c r="H96" s="326" t="s">
        <v>327</v>
      </c>
      <c r="I96" s="326"/>
      <c r="J96" s="27" t="s">
        <v>30</v>
      </c>
      <c r="K96" s="326" t="s">
        <v>328</v>
      </c>
      <c r="L96" s="326"/>
      <c r="M96" s="27" t="s">
        <v>30</v>
      </c>
      <c r="N96" s="326" t="s">
        <v>327</v>
      </c>
      <c r="O96" s="326"/>
      <c r="P96" s="27" t="s">
        <v>30</v>
      </c>
      <c r="Q96" s="326" t="s">
        <v>329</v>
      </c>
      <c r="R96" s="326"/>
      <c r="S96" s="27" t="s">
        <v>30</v>
      </c>
      <c r="T96" s="326" t="s">
        <v>327</v>
      </c>
      <c r="U96" s="326"/>
      <c r="V96" s="27" t="s">
        <v>30</v>
      </c>
      <c r="W96" s="325" t="s">
        <v>330</v>
      </c>
      <c r="X96" s="325"/>
      <c r="Y96" s="27" t="s">
        <v>30</v>
      </c>
      <c r="Z96" s="325" t="s">
        <v>331</v>
      </c>
      <c r="AA96" s="325"/>
      <c r="AB96" s="27" t="s">
        <v>30</v>
      </c>
      <c r="AC96" s="325" t="s">
        <v>332</v>
      </c>
      <c r="AD96" s="325"/>
      <c r="AE96" s="27" t="s">
        <v>30</v>
      </c>
      <c r="AF96" s="325" t="s">
        <v>333</v>
      </c>
      <c r="AG96" s="325"/>
      <c r="AH96" s="27" t="s">
        <v>30</v>
      </c>
      <c r="AI96" s="325" t="s">
        <v>334</v>
      </c>
      <c r="AJ96" s="325"/>
      <c r="AK96" s="27" t="s">
        <v>30</v>
      </c>
      <c r="AL96" s="325" t="s">
        <v>335</v>
      </c>
      <c r="AM96" s="325"/>
      <c r="AN96" s="40"/>
      <c r="AO96" s="40"/>
      <c r="AP96" s="40"/>
      <c r="AQ96" s="40"/>
      <c r="AR96" s="40"/>
      <c r="AS96" s="40"/>
      <c r="AT96" s="40"/>
      <c r="AU96" s="40"/>
      <c r="AV96" s="40"/>
      <c r="AW96" s="40"/>
      <c r="AX96" s="40"/>
      <c r="AY96" s="40"/>
    </row>
    <row r="97" spans="1:51" s="38" customFormat="1" ht="24.75" customHeight="1">
      <c r="A97" s="27" t="s">
        <v>41</v>
      </c>
      <c r="B97" s="325" t="s">
        <v>42</v>
      </c>
      <c r="C97" s="325"/>
      <c r="D97" s="27" t="s">
        <v>41</v>
      </c>
      <c r="E97" s="325" t="s">
        <v>336</v>
      </c>
      <c r="F97" s="325"/>
      <c r="G97" s="27" t="s">
        <v>41</v>
      </c>
      <c r="H97" s="325" t="s">
        <v>337</v>
      </c>
      <c r="I97" s="325"/>
      <c r="J97" s="27" t="s">
        <v>41</v>
      </c>
      <c r="K97" s="325" t="s">
        <v>338</v>
      </c>
      <c r="L97" s="325"/>
      <c r="M97" s="27" t="s">
        <v>41</v>
      </c>
      <c r="N97" s="325" t="s">
        <v>337</v>
      </c>
      <c r="O97" s="325"/>
      <c r="P97" s="27" t="s">
        <v>41</v>
      </c>
      <c r="Q97" s="325" t="s">
        <v>338</v>
      </c>
      <c r="R97" s="325"/>
      <c r="S97" s="27" t="s">
        <v>41</v>
      </c>
      <c r="T97" s="325" t="s">
        <v>337</v>
      </c>
      <c r="U97" s="325"/>
      <c r="V97" s="27" t="s">
        <v>41</v>
      </c>
      <c r="W97" s="325" t="s">
        <v>339</v>
      </c>
      <c r="X97" s="325"/>
      <c r="Y97" s="27" t="s">
        <v>41</v>
      </c>
      <c r="Z97" s="325" t="s">
        <v>339</v>
      </c>
      <c r="AA97" s="325"/>
      <c r="AB97" s="27" t="s">
        <v>41</v>
      </c>
      <c r="AC97" s="325" t="s">
        <v>340</v>
      </c>
      <c r="AD97" s="325"/>
      <c r="AE97" s="27" t="s">
        <v>41</v>
      </c>
      <c r="AF97" s="325" t="s">
        <v>341</v>
      </c>
      <c r="AG97" s="325"/>
      <c r="AH97" s="27" t="s">
        <v>41</v>
      </c>
      <c r="AI97" s="325" t="s">
        <v>342</v>
      </c>
      <c r="AJ97" s="325"/>
      <c r="AK97" s="27" t="s">
        <v>41</v>
      </c>
      <c r="AL97" s="325" t="s">
        <v>343</v>
      </c>
      <c r="AM97" s="325"/>
      <c r="AN97" s="40"/>
      <c r="AO97" s="40"/>
      <c r="AP97" s="40"/>
      <c r="AQ97" s="40"/>
      <c r="AR97" s="40"/>
      <c r="AS97" s="40"/>
      <c r="AT97" s="40"/>
      <c r="AU97" s="40"/>
      <c r="AV97" s="40"/>
      <c r="AW97" s="40"/>
      <c r="AX97" s="40"/>
      <c r="AY97" s="40"/>
    </row>
    <row r="98" spans="1:51" s="38" customFormat="1" ht="24.75" customHeight="1">
      <c r="A98" s="27" t="s">
        <v>1</v>
      </c>
      <c r="B98" s="27" t="s">
        <v>52</v>
      </c>
      <c r="C98" s="27" t="s">
        <v>53</v>
      </c>
      <c r="D98" s="27" t="s">
        <v>121</v>
      </c>
      <c r="E98" s="27" t="s">
        <v>54</v>
      </c>
      <c r="F98" s="27" t="s">
        <v>122</v>
      </c>
      <c r="G98" s="27" t="s">
        <v>121</v>
      </c>
      <c r="H98" s="27" t="s">
        <v>54</v>
      </c>
      <c r="I98" s="27" t="s">
        <v>122</v>
      </c>
      <c r="J98" s="27" t="s">
        <v>121</v>
      </c>
      <c r="K98" s="27" t="s">
        <v>54</v>
      </c>
      <c r="L98" s="27" t="s">
        <v>122</v>
      </c>
      <c r="M98" s="27" t="s">
        <v>121</v>
      </c>
      <c r="N98" s="27" t="s">
        <v>54</v>
      </c>
      <c r="O98" s="27" t="s">
        <v>122</v>
      </c>
      <c r="P98" s="27" t="s">
        <v>121</v>
      </c>
      <c r="Q98" s="27" t="s">
        <v>54</v>
      </c>
      <c r="R98" s="27" t="s">
        <v>122</v>
      </c>
      <c r="S98" s="27" t="s">
        <v>121</v>
      </c>
      <c r="T98" s="27" t="s">
        <v>54</v>
      </c>
      <c r="U98" s="27" t="s">
        <v>122</v>
      </c>
      <c r="V98" s="27" t="s">
        <v>121</v>
      </c>
      <c r="W98" s="27" t="s">
        <v>54</v>
      </c>
      <c r="X98" s="27" t="s">
        <v>122</v>
      </c>
      <c r="Y98" s="27" t="s">
        <v>121</v>
      </c>
      <c r="Z98" s="27" t="s">
        <v>54</v>
      </c>
      <c r="AA98" s="27" t="s">
        <v>122</v>
      </c>
      <c r="AB98" s="27" t="s">
        <v>121</v>
      </c>
      <c r="AC98" s="27" t="s">
        <v>54</v>
      </c>
      <c r="AD98" s="27" t="s">
        <v>122</v>
      </c>
      <c r="AE98" s="27" t="s">
        <v>121</v>
      </c>
      <c r="AF98" s="27" t="s">
        <v>54</v>
      </c>
      <c r="AG98" s="27" t="s">
        <v>122</v>
      </c>
      <c r="AH98" s="27" t="s">
        <v>121</v>
      </c>
      <c r="AI98" s="27" t="s">
        <v>54</v>
      </c>
      <c r="AJ98" s="27" t="s">
        <v>122</v>
      </c>
      <c r="AK98" s="27" t="s">
        <v>121</v>
      </c>
      <c r="AL98" s="27" t="s">
        <v>54</v>
      </c>
      <c r="AM98" s="27" t="s">
        <v>122</v>
      </c>
      <c r="AN98" s="40"/>
      <c r="AO98" s="40"/>
      <c r="AP98" s="40"/>
      <c r="AQ98" s="40"/>
      <c r="AR98" s="40"/>
      <c r="AS98" s="40"/>
      <c r="AT98" s="40"/>
      <c r="AU98" s="40"/>
      <c r="AV98" s="40"/>
      <c r="AW98" s="40"/>
      <c r="AX98" s="40"/>
      <c r="AY98" s="40"/>
    </row>
    <row r="99" spans="1:51" s="38" customFormat="1" ht="24.75" customHeight="1">
      <c r="A99" s="27">
        <v>2020</v>
      </c>
      <c r="B99" s="42">
        <f>AVERAGE((E99+K99+Q99)/3+(H99+N99+T99)/3+W99+Z99+AC99+AF99+AI99+AL99)/8</f>
        <v>83.375</v>
      </c>
      <c r="C99" s="43"/>
      <c r="D99" s="27">
        <v>2020</v>
      </c>
      <c r="E99" s="14">
        <v>100</v>
      </c>
      <c r="F99" s="23"/>
      <c r="G99" s="7">
        <v>2020</v>
      </c>
      <c r="H99" s="44">
        <v>100</v>
      </c>
      <c r="I99" s="23"/>
      <c r="J99" s="27">
        <v>2020</v>
      </c>
      <c r="K99" s="74">
        <v>100</v>
      </c>
      <c r="L99" s="23"/>
      <c r="M99" s="7">
        <v>2020</v>
      </c>
      <c r="N99" s="21">
        <v>50</v>
      </c>
      <c r="O99" s="23"/>
      <c r="P99" s="27">
        <v>2020</v>
      </c>
      <c r="Q99" s="14">
        <v>100</v>
      </c>
      <c r="R99" s="23"/>
      <c r="S99" s="7">
        <v>2020</v>
      </c>
      <c r="T99" s="21">
        <v>0</v>
      </c>
      <c r="U99" s="23"/>
      <c r="V99" s="7">
        <v>2020</v>
      </c>
      <c r="W99" s="14">
        <v>67</v>
      </c>
      <c r="X99" s="23"/>
      <c r="Y99" s="7">
        <v>2020</v>
      </c>
      <c r="Z99" s="14">
        <v>100</v>
      </c>
      <c r="AA99" s="23"/>
      <c r="AB99" s="7">
        <v>2020</v>
      </c>
      <c r="AC99" s="21">
        <v>100</v>
      </c>
      <c r="AD99" s="23"/>
      <c r="AE99" s="7">
        <v>2020</v>
      </c>
      <c r="AF99" s="14">
        <v>50</v>
      </c>
      <c r="AG99" s="23"/>
      <c r="AH99" s="7">
        <v>2020</v>
      </c>
      <c r="AI99" s="21">
        <v>100</v>
      </c>
      <c r="AJ99" s="23"/>
      <c r="AK99" s="7">
        <v>2020</v>
      </c>
      <c r="AL99" s="21">
        <v>100</v>
      </c>
      <c r="AM99" s="23"/>
      <c r="AN99" s="40"/>
      <c r="AO99" s="40"/>
      <c r="AP99" s="40"/>
      <c r="AQ99" s="40"/>
      <c r="AR99" s="40"/>
      <c r="AS99" s="40"/>
      <c r="AT99" s="40"/>
      <c r="AU99" s="40"/>
      <c r="AV99" s="40"/>
      <c r="AW99" s="40"/>
      <c r="AX99" s="40"/>
      <c r="AY99" s="40"/>
    </row>
    <row r="100" spans="1:51" s="38" customFormat="1" ht="24.75" customHeight="1">
      <c r="A100" s="27">
        <v>2021</v>
      </c>
      <c r="B100" s="42">
        <f>AVERAGE((E100+K100+Q100)/3+(H100+N100+T100)/3+W100+Z100+AC100+AF100+AI100+AL100)/8</f>
        <v>83.375</v>
      </c>
      <c r="C100" s="49"/>
      <c r="D100" s="27">
        <v>2021</v>
      </c>
      <c r="E100" s="14">
        <v>100</v>
      </c>
      <c r="F100" s="23"/>
      <c r="G100" s="7">
        <v>2021</v>
      </c>
      <c r="H100" s="44">
        <v>100</v>
      </c>
      <c r="I100" s="23"/>
      <c r="J100" s="27">
        <v>2021</v>
      </c>
      <c r="K100" s="74">
        <v>100</v>
      </c>
      <c r="L100" s="23"/>
      <c r="M100" s="7">
        <v>2021</v>
      </c>
      <c r="N100" s="21">
        <v>50</v>
      </c>
      <c r="O100" s="23"/>
      <c r="P100" s="27">
        <v>2021</v>
      </c>
      <c r="Q100" s="14">
        <v>100</v>
      </c>
      <c r="R100" s="23"/>
      <c r="S100" s="7">
        <v>2021</v>
      </c>
      <c r="T100" s="21">
        <v>0</v>
      </c>
      <c r="U100" s="23"/>
      <c r="V100" s="7">
        <v>2021</v>
      </c>
      <c r="W100" s="14">
        <v>67</v>
      </c>
      <c r="X100" s="23"/>
      <c r="Y100" s="7">
        <v>2021</v>
      </c>
      <c r="Z100" s="14">
        <v>100</v>
      </c>
      <c r="AA100" s="23"/>
      <c r="AB100" s="7">
        <v>2021</v>
      </c>
      <c r="AC100" s="21">
        <v>100</v>
      </c>
      <c r="AD100" s="23"/>
      <c r="AE100" s="7">
        <v>2021</v>
      </c>
      <c r="AF100" s="14">
        <v>50</v>
      </c>
      <c r="AG100" s="23"/>
      <c r="AH100" s="7">
        <v>2021</v>
      </c>
      <c r="AI100" s="21">
        <v>100</v>
      </c>
      <c r="AJ100" s="23"/>
      <c r="AK100" s="7">
        <v>2021</v>
      </c>
      <c r="AL100" s="21">
        <v>100</v>
      </c>
      <c r="AM100" s="23"/>
      <c r="AN100" s="40"/>
      <c r="AO100" s="40"/>
      <c r="AP100" s="40"/>
      <c r="AQ100" s="40"/>
      <c r="AR100" s="40"/>
      <c r="AS100" s="40"/>
      <c r="AT100" s="40"/>
      <c r="AU100" s="40"/>
      <c r="AV100" s="40"/>
      <c r="AW100" s="40"/>
      <c r="AX100" s="40"/>
      <c r="AY100" s="40"/>
    </row>
    <row r="101" spans="1:51" s="38" customFormat="1" ht="24.75" customHeight="1">
      <c r="A101" s="27">
        <v>2022</v>
      </c>
      <c r="B101" s="42">
        <f>AVERAGE((E101+K101+Q101)/3+(H101+N101+T101)/3+W101+Z101+AC101+AF101+AI101+AL101)/8</f>
        <v>83.375</v>
      </c>
      <c r="C101" s="49"/>
      <c r="D101" s="27">
        <v>2022</v>
      </c>
      <c r="E101" s="14">
        <v>100</v>
      </c>
      <c r="F101" s="23"/>
      <c r="G101" s="27">
        <v>2022</v>
      </c>
      <c r="H101" s="44">
        <v>100</v>
      </c>
      <c r="I101" s="23"/>
      <c r="J101" s="27">
        <v>2022</v>
      </c>
      <c r="K101" s="74">
        <v>100</v>
      </c>
      <c r="L101" s="23"/>
      <c r="M101" s="27">
        <v>2022</v>
      </c>
      <c r="N101" s="21">
        <v>50</v>
      </c>
      <c r="O101" s="23"/>
      <c r="P101" s="27">
        <v>2022</v>
      </c>
      <c r="Q101" s="14">
        <v>100</v>
      </c>
      <c r="R101" s="23"/>
      <c r="S101" s="27">
        <v>2022</v>
      </c>
      <c r="T101" s="21">
        <v>0</v>
      </c>
      <c r="U101" s="23"/>
      <c r="V101" s="27">
        <v>2022</v>
      </c>
      <c r="W101" s="14">
        <v>67</v>
      </c>
      <c r="X101" s="23"/>
      <c r="Y101" s="27">
        <v>2022</v>
      </c>
      <c r="Z101" s="14">
        <v>100</v>
      </c>
      <c r="AA101" s="23"/>
      <c r="AB101" s="27">
        <v>2022</v>
      </c>
      <c r="AC101" s="21">
        <v>100</v>
      </c>
      <c r="AD101" s="23"/>
      <c r="AE101" s="27">
        <v>2022</v>
      </c>
      <c r="AF101" s="14">
        <v>50</v>
      </c>
      <c r="AG101" s="23"/>
      <c r="AH101" s="27">
        <v>2022</v>
      </c>
      <c r="AI101" s="21">
        <v>100</v>
      </c>
      <c r="AJ101" s="23"/>
      <c r="AK101" s="27">
        <v>2022</v>
      </c>
      <c r="AL101" s="21">
        <v>100</v>
      </c>
      <c r="AM101" s="23"/>
      <c r="AN101" s="40"/>
      <c r="AO101" s="40"/>
      <c r="AP101" s="40"/>
      <c r="AQ101" s="40"/>
      <c r="AR101" s="40"/>
      <c r="AS101" s="40"/>
      <c r="AT101" s="40"/>
      <c r="AU101" s="40"/>
      <c r="AV101" s="40"/>
      <c r="AW101" s="40"/>
      <c r="AX101" s="40"/>
      <c r="AY101" s="40"/>
    </row>
    <row r="102" spans="1:51" ht="24" customHeight="1">
      <c r="A102" s="27">
        <v>2023</v>
      </c>
      <c r="B102" s="42">
        <f>AVERAGE((E102+K102+Q102)/3+(H102+N102+T102)/3+W102+Z102+AC102+AF102+AI102+AL102)/8</f>
        <v>83.375</v>
      </c>
      <c r="C102" s="49"/>
      <c r="D102" s="27">
        <v>2023</v>
      </c>
      <c r="E102" s="14">
        <v>100</v>
      </c>
      <c r="F102" s="23" t="s">
        <v>1766</v>
      </c>
      <c r="G102" s="27">
        <v>2023</v>
      </c>
      <c r="H102" s="44">
        <v>100</v>
      </c>
      <c r="I102" s="23"/>
      <c r="J102" s="27">
        <v>2023</v>
      </c>
      <c r="K102" s="74">
        <v>100</v>
      </c>
      <c r="L102" s="23" t="s">
        <v>1767</v>
      </c>
      <c r="M102" s="27">
        <v>2023</v>
      </c>
      <c r="N102" s="21">
        <v>50</v>
      </c>
      <c r="O102" s="23" t="s">
        <v>1768</v>
      </c>
      <c r="P102" s="27">
        <v>2023</v>
      </c>
      <c r="Q102" s="14">
        <v>100</v>
      </c>
      <c r="R102" s="153" t="s">
        <v>1769</v>
      </c>
      <c r="S102" s="27">
        <v>2023</v>
      </c>
      <c r="T102" s="21">
        <v>0</v>
      </c>
      <c r="U102" s="23" t="s">
        <v>1768</v>
      </c>
      <c r="V102" s="27">
        <v>2023</v>
      </c>
      <c r="W102" s="14">
        <v>67</v>
      </c>
      <c r="X102" s="234" t="s">
        <v>1770</v>
      </c>
      <c r="Y102" s="27">
        <v>2023</v>
      </c>
      <c r="Z102" s="14">
        <v>100</v>
      </c>
      <c r="AA102" s="234" t="s">
        <v>1770</v>
      </c>
      <c r="AB102" s="27">
        <v>2023</v>
      </c>
      <c r="AC102" s="21">
        <v>100</v>
      </c>
      <c r="AD102" s="23" t="s">
        <v>1771</v>
      </c>
      <c r="AE102" s="27">
        <v>2023</v>
      </c>
      <c r="AF102" s="14">
        <v>50</v>
      </c>
      <c r="AG102" s="23" t="s">
        <v>1772</v>
      </c>
      <c r="AH102" s="27">
        <v>2023</v>
      </c>
      <c r="AI102" s="21">
        <v>100</v>
      </c>
      <c r="AJ102" s="23" t="s">
        <v>1773</v>
      </c>
      <c r="AK102" s="27">
        <v>2023</v>
      </c>
      <c r="AL102" s="21">
        <v>100</v>
      </c>
      <c r="AM102" s="23" t="s">
        <v>1774</v>
      </c>
    </row>
  </sheetData>
  <mergeCells count="424">
    <mergeCell ref="A1:D1"/>
    <mergeCell ref="B8:AD8"/>
    <mergeCell ref="B9:C9"/>
    <mergeCell ref="E9:F9"/>
    <mergeCell ref="H9:I9"/>
    <mergeCell ref="K9:L9"/>
    <mergeCell ref="N9:O9"/>
    <mergeCell ref="Q9:R9"/>
    <mergeCell ref="T9:U9"/>
    <mergeCell ref="W9:X9"/>
    <mergeCell ref="Z9:AA9"/>
    <mergeCell ref="AC9:AD9"/>
    <mergeCell ref="E10:F10"/>
    <mergeCell ref="H10:I10"/>
    <mergeCell ref="K10:L10"/>
    <mergeCell ref="N10:O10"/>
    <mergeCell ref="Q10:R10"/>
    <mergeCell ref="T10:U10"/>
    <mergeCell ref="W10:X10"/>
    <mergeCell ref="Z10:AA10"/>
    <mergeCell ref="T11:U11"/>
    <mergeCell ref="W11:X11"/>
    <mergeCell ref="Z11:AA11"/>
    <mergeCell ref="Q13:R13"/>
    <mergeCell ref="T13:U13"/>
    <mergeCell ref="W13:X13"/>
    <mergeCell ref="Z13:AA13"/>
    <mergeCell ref="AC11:AD11"/>
    <mergeCell ref="B12:C12"/>
    <mergeCell ref="E12:F12"/>
    <mergeCell ref="H12:I12"/>
    <mergeCell ref="K12:L12"/>
    <mergeCell ref="N12:O12"/>
    <mergeCell ref="Q12:R12"/>
    <mergeCell ref="B11:C11"/>
    <mergeCell ref="E11:F11"/>
    <mergeCell ref="H11:I11"/>
    <mergeCell ref="K11:L11"/>
    <mergeCell ref="N11:O11"/>
    <mergeCell ref="Q11:R11"/>
    <mergeCell ref="T12:U12"/>
    <mergeCell ref="W12:X12"/>
    <mergeCell ref="Z12:AA12"/>
    <mergeCell ref="AC12:AD12"/>
    <mergeCell ref="AC13:AD13"/>
    <mergeCell ref="B13:C13"/>
    <mergeCell ref="E13:F13"/>
    <mergeCell ref="AR21:AS21"/>
    <mergeCell ref="AU21:AV21"/>
    <mergeCell ref="AX21:AY21"/>
    <mergeCell ref="Q21:R21"/>
    <mergeCell ref="T21:U21"/>
    <mergeCell ref="W21:X21"/>
    <mergeCell ref="Z21:AA21"/>
    <mergeCell ref="AC21:AD21"/>
    <mergeCell ref="AF21:AG21"/>
    <mergeCell ref="H13:I13"/>
    <mergeCell ref="K13:L13"/>
    <mergeCell ref="N13:O13"/>
    <mergeCell ref="Z22:AA22"/>
    <mergeCell ref="AC22:AD22"/>
    <mergeCell ref="AF22:AG22"/>
    <mergeCell ref="AI22:AJ22"/>
    <mergeCell ref="AL22:AM22"/>
    <mergeCell ref="AO22:AP22"/>
    <mergeCell ref="H22:I22"/>
    <mergeCell ref="K22:L22"/>
    <mergeCell ref="N22:O22"/>
    <mergeCell ref="Q22:R22"/>
    <mergeCell ref="T22:U22"/>
    <mergeCell ref="W22:X22"/>
    <mergeCell ref="B20:AY20"/>
    <mergeCell ref="B21:C21"/>
    <mergeCell ref="E21:F21"/>
    <mergeCell ref="H21:I21"/>
    <mergeCell ref="K21:L21"/>
    <mergeCell ref="N21:O21"/>
    <mergeCell ref="AI21:AJ21"/>
    <mergeCell ref="AL21:AM21"/>
    <mergeCell ref="AO21:AP21"/>
    <mergeCell ref="AL23:AM23"/>
    <mergeCell ref="AO23:AP23"/>
    <mergeCell ref="AR23:AS23"/>
    <mergeCell ref="AU23:AV23"/>
    <mergeCell ref="AX23:AY23"/>
    <mergeCell ref="B24:C24"/>
    <mergeCell ref="E24:F24"/>
    <mergeCell ref="H24:I24"/>
    <mergeCell ref="K24:L24"/>
    <mergeCell ref="N24:O24"/>
    <mergeCell ref="T23:U23"/>
    <mergeCell ref="W23:X23"/>
    <mergeCell ref="Z23:AA23"/>
    <mergeCell ref="AC23:AD23"/>
    <mergeCell ref="AF23:AG23"/>
    <mergeCell ref="AI23:AJ23"/>
    <mergeCell ref="B23:C23"/>
    <mergeCell ref="E23:F23"/>
    <mergeCell ref="H23:I23"/>
    <mergeCell ref="K23:L23"/>
    <mergeCell ref="N23:O23"/>
    <mergeCell ref="Q23:R23"/>
    <mergeCell ref="AI24:AJ24"/>
    <mergeCell ref="AL24:AM24"/>
    <mergeCell ref="AO24:AP24"/>
    <mergeCell ref="AR24:AS24"/>
    <mergeCell ref="AU24:AV24"/>
    <mergeCell ref="AX24:AY24"/>
    <mergeCell ref="Q24:R24"/>
    <mergeCell ref="T24:U24"/>
    <mergeCell ref="W24:X24"/>
    <mergeCell ref="Z24:AA24"/>
    <mergeCell ref="AC24:AD24"/>
    <mergeCell ref="AF24:AG24"/>
    <mergeCell ref="AU25:AV25"/>
    <mergeCell ref="AX25:AY25"/>
    <mergeCell ref="B32:AM32"/>
    <mergeCell ref="T25:U25"/>
    <mergeCell ref="W25:X25"/>
    <mergeCell ref="Z25:AA25"/>
    <mergeCell ref="AC25:AD25"/>
    <mergeCell ref="AF25:AG25"/>
    <mergeCell ref="AI25:AJ25"/>
    <mergeCell ref="B25:C25"/>
    <mergeCell ref="E25:F25"/>
    <mergeCell ref="H25:I25"/>
    <mergeCell ref="K25:L25"/>
    <mergeCell ref="N25:O25"/>
    <mergeCell ref="Q25:R25"/>
    <mergeCell ref="B33:C33"/>
    <mergeCell ref="E33:F33"/>
    <mergeCell ref="H33:I33"/>
    <mergeCell ref="K33:L33"/>
    <mergeCell ref="N33:O33"/>
    <mergeCell ref="Q33:R33"/>
    <mergeCell ref="AL25:AM25"/>
    <mergeCell ref="AO25:AP25"/>
    <mergeCell ref="AR25:AS25"/>
    <mergeCell ref="AL33:AM33"/>
    <mergeCell ref="T33:U33"/>
    <mergeCell ref="W33:X33"/>
    <mergeCell ref="Z33:AA33"/>
    <mergeCell ref="AC33:AD33"/>
    <mergeCell ref="AF33:AG33"/>
    <mergeCell ref="AI33:AJ33"/>
    <mergeCell ref="H34:I34"/>
    <mergeCell ref="K34:L34"/>
    <mergeCell ref="N34:O34"/>
    <mergeCell ref="Q34:R34"/>
    <mergeCell ref="T34:U34"/>
    <mergeCell ref="W34:X34"/>
    <mergeCell ref="AC34:AD34"/>
    <mergeCell ref="AI34:AJ34"/>
    <mergeCell ref="AL34:AM34"/>
    <mergeCell ref="AL35:AM35"/>
    <mergeCell ref="B36:C36"/>
    <mergeCell ref="E36:F36"/>
    <mergeCell ref="H36:I36"/>
    <mergeCell ref="K36:L36"/>
    <mergeCell ref="N36:O36"/>
    <mergeCell ref="Q36:R36"/>
    <mergeCell ref="T36:U36"/>
    <mergeCell ref="W36:X36"/>
    <mergeCell ref="Z36:AA36"/>
    <mergeCell ref="T35:U35"/>
    <mergeCell ref="W35:X35"/>
    <mergeCell ref="Z35:AA35"/>
    <mergeCell ref="AC35:AD35"/>
    <mergeCell ref="AF35:AG35"/>
    <mergeCell ref="AI35:AJ35"/>
    <mergeCell ref="B35:C35"/>
    <mergeCell ref="E35:F35"/>
    <mergeCell ref="H35:I35"/>
    <mergeCell ref="K35:L35"/>
    <mergeCell ref="N35:O35"/>
    <mergeCell ref="Q35:R35"/>
    <mergeCell ref="AC36:AD36"/>
    <mergeCell ref="AF36:AG36"/>
    <mergeCell ref="AI36:AJ36"/>
    <mergeCell ref="AL36:AM36"/>
    <mergeCell ref="B37:C37"/>
    <mergeCell ref="E37:F37"/>
    <mergeCell ref="H37:I37"/>
    <mergeCell ref="K37:L37"/>
    <mergeCell ref="N37:O37"/>
    <mergeCell ref="Q37:R37"/>
    <mergeCell ref="AL37:AM37"/>
    <mergeCell ref="Z37:AA37"/>
    <mergeCell ref="AC37:AD37"/>
    <mergeCell ref="AF37:AG37"/>
    <mergeCell ref="AI37:AJ37"/>
    <mergeCell ref="B44:R44"/>
    <mergeCell ref="B45:C45"/>
    <mergeCell ref="E45:F45"/>
    <mergeCell ref="H45:I45"/>
    <mergeCell ref="K45:L45"/>
    <mergeCell ref="N45:O45"/>
    <mergeCell ref="Q45:R45"/>
    <mergeCell ref="T37:U37"/>
    <mergeCell ref="W37:X37"/>
    <mergeCell ref="H46:I46"/>
    <mergeCell ref="K46:L46"/>
    <mergeCell ref="N46:O46"/>
    <mergeCell ref="Q46:R46"/>
    <mergeCell ref="B47:C47"/>
    <mergeCell ref="E47:F47"/>
    <mergeCell ref="H47:I47"/>
    <mergeCell ref="K47:L47"/>
    <mergeCell ref="N47:O47"/>
    <mergeCell ref="Q47:R47"/>
    <mergeCell ref="B49:C49"/>
    <mergeCell ref="E49:F49"/>
    <mergeCell ref="H49:I49"/>
    <mergeCell ref="K49:L49"/>
    <mergeCell ref="N49:O49"/>
    <mergeCell ref="Q49:R49"/>
    <mergeCell ref="B48:C48"/>
    <mergeCell ref="E48:F48"/>
    <mergeCell ref="H48:I48"/>
    <mergeCell ref="K48:L48"/>
    <mergeCell ref="N48:O48"/>
    <mergeCell ref="Q48:R48"/>
    <mergeCell ref="H58:I58"/>
    <mergeCell ref="K58:L58"/>
    <mergeCell ref="N58:O58"/>
    <mergeCell ref="Q58:R58"/>
    <mergeCell ref="T58:U58"/>
    <mergeCell ref="W58:X58"/>
    <mergeCell ref="B56:X56"/>
    <mergeCell ref="B57:C57"/>
    <mergeCell ref="E57:F57"/>
    <mergeCell ref="H57:I57"/>
    <mergeCell ref="K57:L57"/>
    <mergeCell ref="N57:O57"/>
    <mergeCell ref="Q57:R57"/>
    <mergeCell ref="T57:U57"/>
    <mergeCell ref="W57:X57"/>
    <mergeCell ref="T59:U59"/>
    <mergeCell ref="W59:X59"/>
    <mergeCell ref="B60:C60"/>
    <mergeCell ref="E60:F60"/>
    <mergeCell ref="H60:I60"/>
    <mergeCell ref="K60:L60"/>
    <mergeCell ref="N60:O60"/>
    <mergeCell ref="Q60:R60"/>
    <mergeCell ref="T60:U60"/>
    <mergeCell ref="W60:X60"/>
    <mergeCell ref="B59:C59"/>
    <mergeCell ref="E59:F59"/>
    <mergeCell ref="H59:I59"/>
    <mergeCell ref="K59:L59"/>
    <mergeCell ref="N59:O59"/>
    <mergeCell ref="Q59:R59"/>
    <mergeCell ref="T70:U70"/>
    <mergeCell ref="W70:X70"/>
    <mergeCell ref="Z70:AA70"/>
    <mergeCell ref="T71:U71"/>
    <mergeCell ref="W71:X71"/>
    <mergeCell ref="Z71:AA71"/>
    <mergeCell ref="T61:U61"/>
    <mergeCell ref="W61:X61"/>
    <mergeCell ref="B68:AA68"/>
    <mergeCell ref="B69:C69"/>
    <mergeCell ref="E69:F69"/>
    <mergeCell ref="H69:I69"/>
    <mergeCell ref="K69:L69"/>
    <mergeCell ref="N69:O69"/>
    <mergeCell ref="Q69:R69"/>
    <mergeCell ref="T69:U69"/>
    <mergeCell ref="B61:C61"/>
    <mergeCell ref="E61:F61"/>
    <mergeCell ref="H61:I61"/>
    <mergeCell ref="K61:L61"/>
    <mergeCell ref="N61:O61"/>
    <mergeCell ref="Q61:R61"/>
    <mergeCell ref="W69:X69"/>
    <mergeCell ref="Z69:AA69"/>
    <mergeCell ref="B71:C71"/>
    <mergeCell ref="E71:F71"/>
    <mergeCell ref="H71:I71"/>
    <mergeCell ref="K71:L71"/>
    <mergeCell ref="N71:O71"/>
    <mergeCell ref="Q71:R71"/>
    <mergeCell ref="H70:I70"/>
    <mergeCell ref="K70:L70"/>
    <mergeCell ref="N70:O70"/>
    <mergeCell ref="Q70:R70"/>
    <mergeCell ref="W72:X72"/>
    <mergeCell ref="Z72:AA72"/>
    <mergeCell ref="B73:C73"/>
    <mergeCell ref="E73:F73"/>
    <mergeCell ref="H73:I73"/>
    <mergeCell ref="K73:L73"/>
    <mergeCell ref="N73:O73"/>
    <mergeCell ref="Q73:R73"/>
    <mergeCell ref="T73:U73"/>
    <mergeCell ref="W73:X73"/>
    <mergeCell ref="Z73:AA73"/>
    <mergeCell ref="B72:C72"/>
    <mergeCell ref="E72:F72"/>
    <mergeCell ref="H72:I72"/>
    <mergeCell ref="K72:L72"/>
    <mergeCell ref="N72:O72"/>
    <mergeCell ref="Q72:R72"/>
    <mergeCell ref="T72:U72"/>
    <mergeCell ref="B80:AG80"/>
    <mergeCell ref="B81:C81"/>
    <mergeCell ref="E81:F81"/>
    <mergeCell ref="H81:I81"/>
    <mergeCell ref="K81:L81"/>
    <mergeCell ref="N81:O81"/>
    <mergeCell ref="Q81:R81"/>
    <mergeCell ref="T81:U81"/>
    <mergeCell ref="W81:X81"/>
    <mergeCell ref="Z81:AA81"/>
    <mergeCell ref="AC81:AD81"/>
    <mergeCell ref="AF81:AG81"/>
    <mergeCell ref="H82:I82"/>
    <mergeCell ref="K82:L82"/>
    <mergeCell ref="N82:O82"/>
    <mergeCell ref="Q82:R82"/>
    <mergeCell ref="T82:U82"/>
    <mergeCell ref="W82:X82"/>
    <mergeCell ref="Z82:AA82"/>
    <mergeCell ref="AC82:AD82"/>
    <mergeCell ref="AF82:AG82"/>
    <mergeCell ref="AC83:AD83"/>
    <mergeCell ref="AF83:AG83"/>
    <mergeCell ref="B84:C84"/>
    <mergeCell ref="E84:F84"/>
    <mergeCell ref="H84:I84"/>
    <mergeCell ref="K84:L84"/>
    <mergeCell ref="N84:O84"/>
    <mergeCell ref="Q84:R84"/>
    <mergeCell ref="T84:U84"/>
    <mergeCell ref="B83:C83"/>
    <mergeCell ref="E83:F83"/>
    <mergeCell ref="H83:I83"/>
    <mergeCell ref="K83:L83"/>
    <mergeCell ref="N83:O83"/>
    <mergeCell ref="Q83:R83"/>
    <mergeCell ref="T83:U83"/>
    <mergeCell ref="W83:X83"/>
    <mergeCell ref="Z83:AA83"/>
    <mergeCell ref="AF85:AG85"/>
    <mergeCell ref="B92:AM92"/>
    <mergeCell ref="W84:X84"/>
    <mergeCell ref="Z84:AA84"/>
    <mergeCell ref="AC84:AD84"/>
    <mergeCell ref="AF84:AG84"/>
    <mergeCell ref="B85:C85"/>
    <mergeCell ref="E85:F85"/>
    <mergeCell ref="H85:I85"/>
    <mergeCell ref="K85:L85"/>
    <mergeCell ref="N85:O85"/>
    <mergeCell ref="Q85:R85"/>
    <mergeCell ref="E93:F93"/>
    <mergeCell ref="H93:I93"/>
    <mergeCell ref="K93:L93"/>
    <mergeCell ref="N93:O93"/>
    <mergeCell ref="Q93:R93"/>
    <mergeCell ref="T85:U85"/>
    <mergeCell ref="W85:X85"/>
    <mergeCell ref="Z85:AA85"/>
    <mergeCell ref="AC85:AD85"/>
    <mergeCell ref="B95:C95"/>
    <mergeCell ref="E95:F95"/>
    <mergeCell ref="H95:I95"/>
    <mergeCell ref="K95:L95"/>
    <mergeCell ref="N95:O95"/>
    <mergeCell ref="Q95:R95"/>
    <mergeCell ref="T95:U95"/>
    <mergeCell ref="AL93:AM93"/>
    <mergeCell ref="E94:F94"/>
    <mergeCell ref="H94:I94"/>
    <mergeCell ref="K94:L94"/>
    <mergeCell ref="N94:O94"/>
    <mergeCell ref="Q94:R94"/>
    <mergeCell ref="T94:U94"/>
    <mergeCell ref="W94:X94"/>
    <mergeCell ref="Z94:AA94"/>
    <mergeCell ref="AC94:AD94"/>
    <mergeCell ref="T93:U93"/>
    <mergeCell ref="W93:X93"/>
    <mergeCell ref="Z93:AA93"/>
    <mergeCell ref="AC93:AD93"/>
    <mergeCell ref="AF93:AG93"/>
    <mergeCell ref="AI93:AJ93"/>
    <mergeCell ref="B93:C93"/>
    <mergeCell ref="N96:O96"/>
    <mergeCell ref="Q96:R96"/>
    <mergeCell ref="W95:X95"/>
    <mergeCell ref="Z95:AA95"/>
    <mergeCell ref="AC95:AD95"/>
    <mergeCell ref="AF95:AG95"/>
    <mergeCell ref="AI95:AJ95"/>
    <mergeCell ref="AL95:AM95"/>
    <mergeCell ref="AF94:AG94"/>
    <mergeCell ref="AI94:AJ94"/>
    <mergeCell ref="AL94:AM94"/>
    <mergeCell ref="AC97:AD97"/>
    <mergeCell ref="AF97:AG97"/>
    <mergeCell ref="AI97:AJ97"/>
    <mergeCell ref="AL97:AM97"/>
    <mergeCell ref="AL96:AM96"/>
    <mergeCell ref="B97:C97"/>
    <mergeCell ref="E97:F97"/>
    <mergeCell ref="H97:I97"/>
    <mergeCell ref="K97:L97"/>
    <mergeCell ref="N97:O97"/>
    <mergeCell ref="Q97:R97"/>
    <mergeCell ref="T97:U97"/>
    <mergeCell ref="W97:X97"/>
    <mergeCell ref="Z97:AA97"/>
    <mergeCell ref="T96:U96"/>
    <mergeCell ref="W96:X96"/>
    <mergeCell ref="Z96:AA96"/>
    <mergeCell ref="AC96:AD96"/>
    <mergeCell ref="AF96:AG96"/>
    <mergeCell ref="AI96:AJ96"/>
    <mergeCell ref="B96:C96"/>
    <mergeCell ref="E96:F96"/>
    <mergeCell ref="H96:I96"/>
    <mergeCell ref="K96:L96"/>
  </mergeCells>
  <hyperlinks>
    <hyperlink ref="AA90" r:id="rId1" xr:uid="{2585EA7C-CB75-482B-9184-8A380AA7F107}"/>
    <hyperlink ref="AD90" r:id="rId2" xr:uid="{FD78F141-BA61-4712-9CC1-77BDED9AEEC7}"/>
  </hyperlinks>
  <pageMargins left="0.70833333333333304" right="0.70833333333333304" top="0.74791666666666701" bottom="0.74791666666666701" header="0.31458333333333299" footer="0.31458333333333299"/>
  <pageSetup paperSize="9" scale="50"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8BDA-108D-4C20-923F-64563DA2CA52}">
  <dimension ref="A1:CC111"/>
  <sheetViews>
    <sheetView topLeftCell="I77" zoomScale="80" zoomScaleNormal="113" workbookViewId="0">
      <selection activeCell="O82" sqref="O82"/>
    </sheetView>
  </sheetViews>
  <sheetFormatPr defaultColWidth="8.90625" defaultRowHeight="15" customHeight="1"/>
  <cols>
    <col min="1" max="1" width="17.453125" style="1" customWidth="1"/>
    <col min="2" max="2" width="13.453125" style="1" customWidth="1"/>
    <col min="3" max="3" width="23.08984375" style="1" customWidth="1"/>
    <col min="4" max="4" width="17.453125" style="1" customWidth="1"/>
    <col min="5" max="5" width="13.453125" style="1" customWidth="1"/>
    <col min="6" max="6" width="23.08984375" style="1" customWidth="1"/>
    <col min="7" max="7" width="17.453125" style="1" customWidth="1"/>
    <col min="8" max="8" width="13.453125" style="1" customWidth="1"/>
    <col min="9" max="9" width="23.08984375" style="1" customWidth="1"/>
    <col min="10" max="10" width="17.453125" style="1" customWidth="1"/>
    <col min="11" max="11" width="13.453125" style="1" customWidth="1"/>
    <col min="12" max="12" width="23.08984375" style="1" customWidth="1"/>
    <col min="13" max="13" width="17.453125" style="1" customWidth="1"/>
    <col min="14" max="14" width="13.453125" style="1" customWidth="1"/>
    <col min="15" max="15" width="23.08984375" style="1" customWidth="1"/>
    <col min="16" max="16" width="17.453125" style="1" customWidth="1"/>
    <col min="17" max="17" width="13.453125" style="1" customWidth="1"/>
    <col min="18" max="18" width="23.08984375" style="1" customWidth="1"/>
    <col min="19" max="19" width="17.453125" style="1" customWidth="1"/>
    <col min="20" max="20" width="13.453125" style="1" customWidth="1"/>
    <col min="21" max="21" width="23.08984375" style="1" customWidth="1"/>
    <col min="22" max="22" width="17.453125" style="1" customWidth="1"/>
    <col min="23" max="23" width="13.453125" style="1" customWidth="1"/>
    <col min="24" max="24" width="23.08984375" style="1" customWidth="1"/>
    <col min="25" max="25" width="17.453125" style="1" customWidth="1"/>
    <col min="26" max="26" width="13.453125" style="1" customWidth="1"/>
    <col min="27" max="27" width="23.08984375" style="1" customWidth="1"/>
    <col min="28" max="28" width="17.453125" style="1" customWidth="1"/>
    <col min="29" max="29" width="13.453125" style="1" customWidth="1"/>
    <col min="30" max="30" width="23.08984375" style="1" customWidth="1"/>
    <col min="31" max="31" width="17.453125" style="1" customWidth="1"/>
    <col min="32" max="32" width="13.453125" style="1" customWidth="1"/>
    <col min="33" max="33" width="23.08984375" style="1" customWidth="1"/>
    <col min="34" max="34" width="17.453125" style="1" customWidth="1"/>
    <col min="35" max="35" width="13.453125" style="1" customWidth="1"/>
    <col min="36" max="36" width="23.08984375" style="1" customWidth="1"/>
    <col min="37" max="37" width="17.453125" style="1" customWidth="1"/>
    <col min="38" max="38" width="13.453125" style="1" customWidth="1"/>
    <col min="39" max="39" width="23.08984375" style="1" customWidth="1"/>
    <col min="40" max="40" width="17.453125" style="1" customWidth="1"/>
    <col min="41" max="41" width="13.453125" style="1" customWidth="1"/>
    <col min="42" max="42" width="23.08984375" style="1" customWidth="1"/>
    <col min="43" max="43" width="17.453125" style="1" customWidth="1"/>
    <col min="44" max="44" width="13.453125" style="1" customWidth="1"/>
    <col min="45" max="45" width="23.08984375" style="1" customWidth="1"/>
    <col min="46" max="46" width="17.453125" style="1" customWidth="1"/>
    <col min="47" max="47" width="13.453125" style="1" customWidth="1"/>
    <col min="48" max="48" width="23.08984375" style="1" customWidth="1"/>
    <col min="49" max="49" width="17.453125" style="1" customWidth="1"/>
    <col min="50" max="50" width="13.453125" style="1" customWidth="1"/>
    <col min="51" max="51" width="23.08984375" style="1" customWidth="1"/>
    <col min="52" max="16384" width="8.90625" style="1"/>
  </cols>
  <sheetData>
    <row r="1" spans="1:81" ht="24.75" customHeight="1">
      <c r="A1" s="323" t="s">
        <v>0</v>
      </c>
      <c r="B1" s="323"/>
      <c r="C1" s="323"/>
      <c r="D1" s="323"/>
    </row>
    <row r="2" spans="1:81" ht="40.75" customHeight="1">
      <c r="A2" s="2" t="s">
        <v>1</v>
      </c>
      <c r="B2" s="2" t="s">
        <v>2</v>
      </c>
      <c r="C2" s="2" t="s">
        <v>3</v>
      </c>
      <c r="D2" s="2" t="s">
        <v>4</v>
      </c>
    </row>
    <row r="3" spans="1:81" ht="24.75" customHeight="1">
      <c r="A3" s="3">
        <v>2020</v>
      </c>
      <c r="B3" s="16">
        <f>AVERAGE(B16,B29,B42,B55,B68,B81,B94,B107)</f>
        <v>51.230654761904759</v>
      </c>
      <c r="C3" s="16">
        <f>AVERAGE(B16,B29,B42,B55,B68,B81,B94)</f>
        <v>53.793367346938773</v>
      </c>
      <c r="D3" s="16">
        <f>AVERAGE(B16,B29,B55,B68,B81,B94)</f>
        <v>56.409722222222221</v>
      </c>
    </row>
    <row r="4" spans="1:81" ht="24.75" customHeight="1">
      <c r="A4" s="3">
        <v>2021</v>
      </c>
      <c r="B4" s="16">
        <f>AVERAGE(B17,B30,B43,B56,B69,B82,B95,B108)</f>
        <v>49.518849206349202</v>
      </c>
      <c r="C4" s="16">
        <f t="shared" ref="C4:C7" si="0">AVERAGE(B17,B30,B43,B56,B69,B82,B95)</f>
        <v>51.837018140589564</v>
      </c>
      <c r="D4" s="16">
        <f t="shared" ref="D4:D7" si="1">AVERAGE(B17,B30,B56,B69,B82,B95)</f>
        <v>54.12731481481481</v>
      </c>
    </row>
    <row r="5" spans="1:81" ht="24.75" customHeight="1">
      <c r="A5" s="3">
        <v>2022</v>
      </c>
      <c r="B5" s="16">
        <f>AVERAGE(B18,B31,B44,B57,B70,B83,B96,B109)</f>
        <v>50.411706349206348</v>
      </c>
      <c r="C5" s="16">
        <f t="shared" si="0"/>
        <v>52.857426303854872</v>
      </c>
      <c r="D5" s="16">
        <f t="shared" si="1"/>
        <v>54.12731481481481</v>
      </c>
    </row>
    <row r="6" spans="1:81" ht="24.75" customHeight="1">
      <c r="A6" s="3">
        <v>2023</v>
      </c>
      <c r="B6" s="16">
        <f t="shared" ref="B6" si="2">AVERAGE(B19,B32,B45,B58,B71,B84,B97,B110)</f>
        <v>52.495039682539684</v>
      </c>
      <c r="C6" s="16">
        <f t="shared" si="0"/>
        <v>55.238378684807252</v>
      </c>
      <c r="D6" s="16">
        <f>AVERAGE(B19,B32,B58,B71,B84,B97)</f>
        <v>56.905092592592588</v>
      </c>
    </row>
    <row r="7" spans="1:81" ht="24.75" customHeight="1">
      <c r="A7" s="3">
        <v>2024</v>
      </c>
      <c r="B7" s="16">
        <f>AVERAGE(B20,B33,B46,B59,B72,B85,B98,B111)</f>
        <v>51.597222222222221</v>
      </c>
      <c r="C7" s="16">
        <f t="shared" si="0"/>
        <v>54.212301587301582</v>
      </c>
      <c r="D7" s="16">
        <f t="shared" si="1"/>
        <v>54.451388888888886</v>
      </c>
    </row>
    <row r="8" spans="1:81" ht="24.75" customHeight="1"/>
    <row r="9" spans="1:81" ht="24.75" customHeight="1">
      <c r="A9" s="5" t="s">
        <v>5</v>
      </c>
      <c r="B9" s="324" t="s">
        <v>6</v>
      </c>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6"/>
      <c r="AF9" s="6"/>
      <c r="AG9" s="6"/>
      <c r="AH9" s="6"/>
      <c r="AI9" s="6"/>
      <c r="AJ9" s="6"/>
    </row>
    <row r="10" spans="1:81" ht="24.75" customHeight="1">
      <c r="A10" s="5" t="s">
        <v>7</v>
      </c>
      <c r="B10" s="318" t="s">
        <v>8</v>
      </c>
      <c r="C10" s="318"/>
      <c r="D10" s="5" t="s">
        <v>7</v>
      </c>
      <c r="E10" s="312"/>
      <c r="F10" s="312"/>
      <c r="G10" s="5" t="s">
        <v>7</v>
      </c>
      <c r="H10" s="312"/>
      <c r="I10" s="312"/>
      <c r="J10" s="5" t="s">
        <v>7</v>
      </c>
      <c r="K10" s="312"/>
      <c r="L10" s="312"/>
      <c r="M10" s="5" t="s">
        <v>7</v>
      </c>
      <c r="N10" s="312" t="s">
        <v>9</v>
      </c>
      <c r="O10" s="312"/>
      <c r="P10" s="5" t="s">
        <v>7</v>
      </c>
      <c r="Q10" s="318" t="s">
        <v>10</v>
      </c>
      <c r="R10" s="318"/>
      <c r="S10" s="5" t="s">
        <v>7</v>
      </c>
      <c r="T10" s="312" t="s">
        <v>11</v>
      </c>
      <c r="U10" s="312"/>
      <c r="V10" s="9" t="s">
        <v>7</v>
      </c>
      <c r="W10" s="315"/>
      <c r="X10" s="315"/>
      <c r="Y10" s="9" t="s">
        <v>7</v>
      </c>
      <c r="Z10" s="315"/>
      <c r="AA10" s="315"/>
      <c r="AB10" s="5" t="s">
        <v>7</v>
      </c>
      <c r="AC10" s="312" t="s">
        <v>12</v>
      </c>
      <c r="AD10" s="312"/>
    </row>
    <row r="11" spans="1:81" ht="24.75" customHeight="1">
      <c r="A11" s="5" t="s">
        <v>13</v>
      </c>
      <c r="B11" s="7"/>
      <c r="C11" s="7"/>
      <c r="D11" s="5" t="s">
        <v>13</v>
      </c>
      <c r="E11" s="311" t="s">
        <v>14</v>
      </c>
      <c r="F11" s="311"/>
      <c r="G11" s="5" t="s">
        <v>13</v>
      </c>
      <c r="H11" s="311" t="s">
        <v>15</v>
      </c>
      <c r="I11" s="311"/>
      <c r="J11" s="5" t="s">
        <v>13</v>
      </c>
      <c r="K11" s="311" t="s">
        <v>16</v>
      </c>
      <c r="L11" s="311"/>
      <c r="M11" s="5" t="s">
        <v>13</v>
      </c>
      <c r="N11" s="311"/>
      <c r="O11" s="311"/>
      <c r="P11" s="5" t="s">
        <v>13</v>
      </c>
      <c r="Q11" s="312"/>
      <c r="R11" s="312"/>
      <c r="S11" s="5" t="s">
        <v>13</v>
      </c>
      <c r="T11" s="312"/>
      <c r="U11" s="312"/>
      <c r="V11" s="9" t="s">
        <v>13</v>
      </c>
      <c r="W11" s="314" t="s">
        <v>17</v>
      </c>
      <c r="X11" s="315"/>
      <c r="Y11" s="9" t="s">
        <v>13</v>
      </c>
      <c r="Z11" s="314" t="s">
        <v>18</v>
      </c>
      <c r="AA11" s="315"/>
      <c r="AB11" s="5" t="s">
        <v>13</v>
      </c>
      <c r="AC11" s="8"/>
      <c r="AD11" s="8"/>
    </row>
    <row r="12" spans="1:81" ht="24.75" customHeight="1">
      <c r="A12" s="7" t="s">
        <v>19</v>
      </c>
      <c r="B12" s="322" t="s">
        <v>20</v>
      </c>
      <c r="C12" s="322"/>
      <c r="D12" s="7" t="s">
        <v>19</v>
      </c>
      <c r="E12" s="322" t="s">
        <v>21</v>
      </c>
      <c r="F12" s="322"/>
      <c r="G12" s="7" t="s">
        <v>19</v>
      </c>
      <c r="H12" s="322" t="s">
        <v>22</v>
      </c>
      <c r="I12" s="322"/>
      <c r="J12" s="7" t="s">
        <v>19</v>
      </c>
      <c r="K12" s="322" t="s">
        <v>23</v>
      </c>
      <c r="L12" s="322"/>
      <c r="M12" s="7" t="s">
        <v>19</v>
      </c>
      <c r="N12" s="322" t="s">
        <v>24</v>
      </c>
      <c r="O12" s="322"/>
      <c r="P12" s="7" t="s">
        <v>19</v>
      </c>
      <c r="Q12" s="322" t="s">
        <v>25</v>
      </c>
      <c r="R12" s="322"/>
      <c r="S12" s="7" t="s">
        <v>19</v>
      </c>
      <c r="T12" s="322" t="s">
        <v>26</v>
      </c>
      <c r="U12" s="322"/>
      <c r="V12" s="11" t="s">
        <v>19</v>
      </c>
      <c r="W12" s="308" t="s">
        <v>27</v>
      </c>
      <c r="X12" s="308"/>
      <c r="Y12" s="11" t="s">
        <v>19</v>
      </c>
      <c r="Z12" s="308" t="s">
        <v>28</v>
      </c>
      <c r="AA12" s="308"/>
      <c r="AB12" s="7" t="s">
        <v>19</v>
      </c>
      <c r="AC12" s="322" t="s">
        <v>29</v>
      </c>
      <c r="AD12" s="322"/>
    </row>
    <row r="13" spans="1:81" ht="24.75" customHeight="1">
      <c r="A13" s="7" t="s">
        <v>30</v>
      </c>
      <c r="B13" s="322" t="s">
        <v>31</v>
      </c>
      <c r="C13" s="322"/>
      <c r="D13" s="7" t="s">
        <v>30</v>
      </c>
      <c r="E13" s="310" t="s">
        <v>32</v>
      </c>
      <c r="F13" s="310"/>
      <c r="G13" s="7" t="s">
        <v>30</v>
      </c>
      <c r="H13" s="310" t="s">
        <v>33</v>
      </c>
      <c r="I13" s="310"/>
      <c r="J13" s="7" t="s">
        <v>30</v>
      </c>
      <c r="K13" s="310" t="s">
        <v>34</v>
      </c>
      <c r="L13" s="310"/>
      <c r="M13" s="7" t="s">
        <v>30</v>
      </c>
      <c r="N13" s="310" t="s">
        <v>35</v>
      </c>
      <c r="O13" s="310"/>
      <c r="P13" s="7" t="s">
        <v>30</v>
      </c>
      <c r="Q13" s="310" t="s">
        <v>36</v>
      </c>
      <c r="R13" s="310"/>
      <c r="S13" s="7" t="s">
        <v>30</v>
      </c>
      <c r="T13" s="310" t="s">
        <v>37</v>
      </c>
      <c r="U13" s="310"/>
      <c r="V13" s="11" t="s">
        <v>30</v>
      </c>
      <c r="W13" s="309" t="s">
        <v>38</v>
      </c>
      <c r="X13" s="309"/>
      <c r="Y13" s="11" t="s">
        <v>30</v>
      </c>
      <c r="Z13" s="309" t="s">
        <v>39</v>
      </c>
      <c r="AA13" s="309"/>
      <c r="AB13" s="7" t="s">
        <v>30</v>
      </c>
      <c r="AC13" s="310" t="s">
        <v>40</v>
      </c>
      <c r="AD13" s="310"/>
    </row>
    <row r="14" spans="1:81" ht="24.75" customHeight="1">
      <c r="A14" s="7" t="s">
        <v>41</v>
      </c>
      <c r="B14" s="310" t="s">
        <v>42</v>
      </c>
      <c r="C14" s="310"/>
      <c r="D14" s="7" t="s">
        <v>41</v>
      </c>
      <c r="E14" s="359" t="s">
        <v>1037</v>
      </c>
      <c r="F14" s="310"/>
      <c r="G14" s="7" t="s">
        <v>41</v>
      </c>
      <c r="H14" s="362" t="s">
        <v>1038</v>
      </c>
      <c r="I14" s="309"/>
      <c r="J14" s="7" t="s">
        <v>41</v>
      </c>
      <c r="K14" s="308" t="s">
        <v>45</v>
      </c>
      <c r="L14" s="309"/>
      <c r="M14" s="7" t="s">
        <v>41</v>
      </c>
      <c r="N14" s="359" t="s">
        <v>1775</v>
      </c>
      <c r="O14" s="310"/>
      <c r="P14" s="7" t="s">
        <v>41</v>
      </c>
      <c r="Q14" s="359" t="s">
        <v>1040</v>
      </c>
      <c r="R14" s="310"/>
      <c r="S14" s="7" t="s">
        <v>41</v>
      </c>
      <c r="T14" s="322" t="s">
        <v>48</v>
      </c>
      <c r="U14" s="310"/>
      <c r="V14" s="11" t="s">
        <v>41</v>
      </c>
      <c r="W14" s="359" t="s">
        <v>1776</v>
      </c>
      <c r="X14" s="309"/>
      <c r="Y14" s="11" t="s">
        <v>41</v>
      </c>
      <c r="Z14" s="359" t="s">
        <v>1777</v>
      </c>
      <c r="AA14" s="309"/>
      <c r="AB14" s="7" t="s">
        <v>41</v>
      </c>
      <c r="AC14" s="359" t="s">
        <v>1778</v>
      </c>
      <c r="AD14" s="310"/>
    </row>
    <row r="15" spans="1:81" s="50" customFormat="1" ht="24.75" customHeight="1">
      <c r="A15" s="7" t="s">
        <v>1</v>
      </c>
      <c r="B15" s="7" t="s">
        <v>52</v>
      </c>
      <c r="C15" s="7" t="s">
        <v>53</v>
      </c>
      <c r="D15" s="7" t="s">
        <v>1</v>
      </c>
      <c r="E15" s="7" t="s">
        <v>52</v>
      </c>
      <c r="F15" s="7" t="s">
        <v>53</v>
      </c>
      <c r="G15" s="7" t="s">
        <v>1</v>
      </c>
      <c r="H15" s="7" t="s">
        <v>52</v>
      </c>
      <c r="I15" s="7" t="s">
        <v>53</v>
      </c>
      <c r="J15" s="7" t="s">
        <v>1</v>
      </c>
      <c r="K15" s="7" t="s">
        <v>52</v>
      </c>
      <c r="L15" s="7" t="s">
        <v>53</v>
      </c>
      <c r="M15" s="7" t="s">
        <v>1</v>
      </c>
      <c r="N15" s="7" t="s">
        <v>52</v>
      </c>
      <c r="O15" s="7" t="s">
        <v>53</v>
      </c>
      <c r="P15" s="7" t="s">
        <v>1</v>
      </c>
      <c r="Q15" s="7" t="s">
        <v>52</v>
      </c>
      <c r="R15" s="7" t="s">
        <v>53</v>
      </c>
      <c r="S15" s="7" t="s">
        <v>1</v>
      </c>
      <c r="T15" s="7" t="s">
        <v>54</v>
      </c>
      <c r="U15" s="7" t="s">
        <v>53</v>
      </c>
      <c r="V15" s="7"/>
      <c r="W15" s="7" t="s">
        <v>52</v>
      </c>
      <c r="X15" s="7" t="s">
        <v>53</v>
      </c>
      <c r="Y15" s="7" t="s">
        <v>1</v>
      </c>
      <c r="Z15" s="7" t="s">
        <v>52</v>
      </c>
      <c r="AA15" s="7" t="s">
        <v>53</v>
      </c>
      <c r="AB15" s="7" t="s">
        <v>1</v>
      </c>
      <c r="AC15" s="7" t="s">
        <v>52</v>
      </c>
      <c r="AD15" s="7" t="s">
        <v>53</v>
      </c>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ht="24.75" customHeight="1">
      <c r="A16" s="7">
        <v>2020</v>
      </c>
      <c r="B16" s="15">
        <f t="shared" ref="B16:B20" si="3">AVERAGE(E16, H16,K16,N16,Q16,T16,W16,Z16,AC16)</f>
        <v>31.444444444444443</v>
      </c>
      <c r="C16" s="16"/>
      <c r="D16" s="7">
        <v>2020</v>
      </c>
      <c r="E16" s="82">
        <v>0</v>
      </c>
      <c r="F16" s="86" t="s">
        <v>1779</v>
      </c>
      <c r="G16" s="7">
        <v>2020</v>
      </c>
      <c r="H16" s="14">
        <v>0</v>
      </c>
      <c r="I16" s="23" t="s">
        <v>1780</v>
      </c>
      <c r="J16" s="7">
        <v>2020</v>
      </c>
      <c r="K16" s="14">
        <v>50</v>
      </c>
      <c r="L16" s="17" t="s">
        <v>1781</v>
      </c>
      <c r="M16" s="7">
        <v>2020</v>
      </c>
      <c r="N16" s="82">
        <v>100</v>
      </c>
      <c r="O16" s="235" t="s">
        <v>1782</v>
      </c>
      <c r="P16" s="7">
        <v>2020</v>
      </c>
      <c r="Q16" s="82">
        <v>33</v>
      </c>
      <c r="R16" s="83" t="s">
        <v>1783</v>
      </c>
      <c r="S16" s="7">
        <v>2020</v>
      </c>
      <c r="T16" s="80">
        <v>100</v>
      </c>
      <c r="U16" s="17" t="s">
        <v>1784</v>
      </c>
      <c r="V16" s="7">
        <v>2020</v>
      </c>
      <c r="W16" s="82">
        <v>0</v>
      </c>
      <c r="X16" s="236"/>
      <c r="Y16" s="7">
        <v>2020</v>
      </c>
      <c r="Z16" s="82">
        <v>0</v>
      </c>
      <c r="AA16" s="83" t="s">
        <v>1785</v>
      </c>
      <c r="AB16" s="7">
        <v>2020</v>
      </c>
      <c r="AC16" s="21">
        <v>0</v>
      </c>
      <c r="AD16" s="23" t="s">
        <v>1786</v>
      </c>
    </row>
    <row r="17" spans="1:51" ht="24.75" customHeight="1">
      <c r="A17" s="7">
        <v>2021</v>
      </c>
      <c r="B17" s="15">
        <f t="shared" si="3"/>
        <v>31.444444444444443</v>
      </c>
      <c r="C17" s="16"/>
      <c r="D17" s="7">
        <v>2021</v>
      </c>
      <c r="E17" s="82">
        <v>0</v>
      </c>
      <c r="F17" s="86" t="s">
        <v>1779</v>
      </c>
      <c r="G17" s="7">
        <v>2021</v>
      </c>
      <c r="H17" s="14">
        <v>0</v>
      </c>
      <c r="I17" s="17"/>
      <c r="J17" s="7">
        <v>2021</v>
      </c>
      <c r="K17" s="14">
        <v>50</v>
      </c>
      <c r="L17" s="17" t="s">
        <v>1781</v>
      </c>
      <c r="M17" s="7">
        <v>2021</v>
      </c>
      <c r="N17" s="82">
        <v>100</v>
      </c>
      <c r="O17" s="83"/>
      <c r="P17" s="7">
        <v>2021</v>
      </c>
      <c r="Q17" s="82">
        <v>33</v>
      </c>
      <c r="R17" s="83"/>
      <c r="S17" s="7">
        <v>2021</v>
      </c>
      <c r="T17" s="80">
        <v>100</v>
      </c>
      <c r="U17" s="17"/>
      <c r="V17" s="7">
        <v>2021</v>
      </c>
      <c r="W17" s="237">
        <v>0</v>
      </c>
      <c r="X17" s="238" t="s">
        <v>1787</v>
      </c>
      <c r="Y17" s="28">
        <v>2021</v>
      </c>
      <c r="Z17" s="82">
        <v>0</v>
      </c>
      <c r="AA17" s="83" t="s">
        <v>1788</v>
      </c>
      <c r="AB17" s="7">
        <v>2021</v>
      </c>
      <c r="AC17" s="21">
        <v>0</v>
      </c>
      <c r="AD17" s="23" t="s">
        <v>1786</v>
      </c>
    </row>
    <row r="18" spans="1:51" ht="24.75" customHeight="1">
      <c r="A18" s="7">
        <v>2022</v>
      </c>
      <c r="B18" s="15">
        <f t="shared" si="3"/>
        <v>31.444444444444443</v>
      </c>
      <c r="C18" s="16"/>
      <c r="D18" s="7">
        <v>2022</v>
      </c>
      <c r="E18" s="82">
        <v>0</v>
      </c>
      <c r="F18" s="86" t="s">
        <v>1779</v>
      </c>
      <c r="G18" s="7">
        <v>2022</v>
      </c>
      <c r="H18" s="14">
        <v>0</v>
      </c>
      <c r="I18" s="17"/>
      <c r="J18" s="7">
        <v>2022</v>
      </c>
      <c r="K18" s="14">
        <v>50</v>
      </c>
      <c r="L18" s="17" t="s">
        <v>1781</v>
      </c>
      <c r="M18" s="7">
        <v>2022</v>
      </c>
      <c r="N18" s="82">
        <v>100</v>
      </c>
      <c r="O18" s="83"/>
      <c r="P18" s="7">
        <v>2022</v>
      </c>
      <c r="Q18" s="82">
        <v>33</v>
      </c>
      <c r="R18" s="83"/>
      <c r="S18" s="7">
        <v>2022</v>
      </c>
      <c r="T18" s="80">
        <v>100</v>
      </c>
      <c r="U18" s="17"/>
      <c r="V18" s="7">
        <v>2022</v>
      </c>
      <c r="W18" s="237">
        <v>0</v>
      </c>
      <c r="X18" s="238" t="s">
        <v>1789</v>
      </c>
      <c r="Y18" s="28">
        <v>2022</v>
      </c>
      <c r="Z18" s="82">
        <v>0</v>
      </c>
      <c r="AA18" s="236" t="s">
        <v>1790</v>
      </c>
      <c r="AB18" s="7">
        <v>2022</v>
      </c>
      <c r="AC18" s="21">
        <v>0</v>
      </c>
      <c r="AD18" s="23" t="s">
        <v>1786</v>
      </c>
    </row>
    <row r="19" spans="1:51" ht="24.75" customHeight="1">
      <c r="A19" s="7">
        <v>2023</v>
      </c>
      <c r="B19" s="15">
        <f t="shared" si="3"/>
        <v>48.111111111111114</v>
      </c>
      <c r="C19" s="16"/>
      <c r="D19" s="7">
        <v>2023</v>
      </c>
      <c r="E19" s="82">
        <v>50</v>
      </c>
      <c r="F19" s="83" t="s">
        <v>1791</v>
      </c>
      <c r="G19" s="7">
        <v>2023</v>
      </c>
      <c r="H19" s="14">
        <v>0</v>
      </c>
      <c r="I19" s="17"/>
      <c r="J19" s="7">
        <v>2023</v>
      </c>
      <c r="K19" s="14">
        <v>50</v>
      </c>
      <c r="L19" s="17" t="s">
        <v>1781</v>
      </c>
      <c r="M19" s="7">
        <v>2023</v>
      </c>
      <c r="N19" s="82">
        <v>100</v>
      </c>
      <c r="O19" s="83"/>
      <c r="P19" s="7">
        <v>2023</v>
      </c>
      <c r="Q19" s="82">
        <v>33</v>
      </c>
      <c r="R19" s="86"/>
      <c r="S19" s="7">
        <v>2023</v>
      </c>
      <c r="T19" s="80">
        <v>100</v>
      </c>
      <c r="U19" s="17"/>
      <c r="V19" s="7">
        <v>2023</v>
      </c>
      <c r="W19" s="82">
        <v>50</v>
      </c>
      <c r="X19" s="239" t="s">
        <v>1792</v>
      </c>
      <c r="Y19" s="7">
        <v>2023</v>
      </c>
      <c r="Z19" s="237">
        <v>50</v>
      </c>
      <c r="AA19" s="238" t="s">
        <v>1793</v>
      </c>
      <c r="AB19" s="28">
        <v>2023</v>
      </c>
      <c r="AC19" s="21">
        <v>0</v>
      </c>
      <c r="AD19" s="23" t="s">
        <v>1786</v>
      </c>
    </row>
    <row r="20" spans="1:51" ht="24.75" customHeight="1">
      <c r="A20" s="7">
        <v>2024</v>
      </c>
      <c r="B20" s="15">
        <f t="shared" si="3"/>
        <v>48.111111111111114</v>
      </c>
      <c r="C20" s="16"/>
      <c r="D20" s="7">
        <v>2024</v>
      </c>
      <c r="E20" s="82">
        <v>50</v>
      </c>
      <c r="F20" s="83" t="s">
        <v>1794</v>
      </c>
      <c r="G20" s="7">
        <v>2024</v>
      </c>
      <c r="H20" s="14">
        <v>0</v>
      </c>
      <c r="I20" s="17"/>
      <c r="J20" s="7">
        <v>2024</v>
      </c>
      <c r="K20" s="14">
        <v>50</v>
      </c>
      <c r="L20" s="17" t="s">
        <v>1781</v>
      </c>
      <c r="M20" s="7">
        <v>2024</v>
      </c>
      <c r="N20" s="82">
        <v>100</v>
      </c>
      <c r="O20" s="83"/>
      <c r="P20" s="7">
        <v>2024</v>
      </c>
      <c r="Q20" s="82">
        <v>33</v>
      </c>
      <c r="R20" s="83"/>
      <c r="S20" s="7">
        <v>2024</v>
      </c>
      <c r="T20" s="80">
        <v>100</v>
      </c>
      <c r="U20" s="17"/>
      <c r="V20" s="7">
        <v>2024</v>
      </c>
      <c r="W20" s="82">
        <v>50</v>
      </c>
      <c r="X20" s="83" t="s">
        <v>1795</v>
      </c>
      <c r="Y20" s="7">
        <v>2024</v>
      </c>
      <c r="Z20" s="237">
        <v>50</v>
      </c>
      <c r="AA20" s="238" t="s">
        <v>1793</v>
      </c>
      <c r="AB20" s="28">
        <v>2024</v>
      </c>
      <c r="AC20" s="21">
        <v>0</v>
      </c>
      <c r="AD20" s="23" t="s">
        <v>1786</v>
      </c>
    </row>
    <row r="21" spans="1:51" ht="24.75" customHeight="1">
      <c r="A21" s="24"/>
      <c r="B21" s="24"/>
      <c r="C21" s="24"/>
      <c r="D21" s="24"/>
      <c r="E21" s="24"/>
      <c r="F21" s="24"/>
      <c r="G21" s="24"/>
      <c r="H21" s="24"/>
      <c r="I21" s="24"/>
      <c r="J21" s="24"/>
      <c r="K21" s="24"/>
      <c r="L21" s="24"/>
      <c r="M21" s="24"/>
      <c r="N21" s="24"/>
    </row>
    <row r="22" spans="1:51" ht="24.75" customHeight="1">
      <c r="A22" s="5" t="s">
        <v>5</v>
      </c>
      <c r="B22" s="294" t="s">
        <v>59</v>
      </c>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6"/>
    </row>
    <row r="23" spans="1:51" ht="24.75" customHeight="1">
      <c r="A23" s="5" t="s">
        <v>7</v>
      </c>
      <c r="B23" s="318" t="s">
        <v>60</v>
      </c>
      <c r="C23" s="318"/>
      <c r="D23" s="5" t="s">
        <v>7</v>
      </c>
      <c r="E23" s="312" t="s">
        <v>61</v>
      </c>
      <c r="F23" s="312"/>
      <c r="G23" s="5" t="s">
        <v>7</v>
      </c>
      <c r="H23" s="312" t="s">
        <v>62</v>
      </c>
      <c r="I23" s="312"/>
      <c r="J23" s="5" t="s">
        <v>7</v>
      </c>
      <c r="K23" s="313" t="s">
        <v>63</v>
      </c>
      <c r="L23" s="313"/>
      <c r="M23" s="26" t="s">
        <v>7</v>
      </c>
      <c r="N23" s="313"/>
      <c r="O23" s="313"/>
      <c r="P23" s="26" t="s">
        <v>7</v>
      </c>
      <c r="Q23" s="313"/>
      <c r="R23" s="313"/>
      <c r="S23" s="26" t="s">
        <v>7</v>
      </c>
      <c r="T23" s="319" t="s">
        <v>64</v>
      </c>
      <c r="U23" s="319"/>
      <c r="V23" s="5" t="s">
        <v>7</v>
      </c>
      <c r="W23" s="312"/>
      <c r="X23" s="312"/>
      <c r="Y23" s="5" t="s">
        <v>7</v>
      </c>
      <c r="Z23" s="315"/>
      <c r="AA23" s="315"/>
      <c r="AB23" s="9" t="s">
        <v>7</v>
      </c>
      <c r="AC23" s="315"/>
      <c r="AD23" s="315"/>
      <c r="AE23" s="9" t="s">
        <v>7</v>
      </c>
      <c r="AF23" s="315" t="s">
        <v>65</v>
      </c>
      <c r="AG23" s="315"/>
      <c r="AH23" s="5" t="s">
        <v>7</v>
      </c>
      <c r="AI23" s="312"/>
      <c r="AJ23" s="312"/>
      <c r="AK23" s="5" t="s">
        <v>7</v>
      </c>
      <c r="AL23" s="312"/>
      <c r="AM23" s="312"/>
      <c r="AN23" s="5" t="s">
        <v>7</v>
      </c>
      <c r="AO23" s="312" t="s">
        <v>66</v>
      </c>
      <c r="AP23" s="312"/>
      <c r="AQ23" s="5" t="s">
        <v>7</v>
      </c>
      <c r="AR23" s="312" t="s">
        <v>67</v>
      </c>
      <c r="AS23" s="312"/>
      <c r="AT23" s="5" t="s">
        <v>7</v>
      </c>
      <c r="AU23" s="312" t="s">
        <v>68</v>
      </c>
      <c r="AV23" s="312"/>
      <c r="AW23" s="5" t="s">
        <v>7</v>
      </c>
      <c r="AX23" s="312" t="s">
        <v>69</v>
      </c>
      <c r="AY23" s="312"/>
    </row>
    <row r="24" spans="1:51" ht="24.75" customHeight="1">
      <c r="A24" s="5" t="s">
        <v>13</v>
      </c>
      <c r="B24" s="7"/>
      <c r="C24" s="7"/>
      <c r="D24" s="5" t="s">
        <v>13</v>
      </c>
      <c r="E24" s="8"/>
      <c r="F24" s="8"/>
      <c r="G24" s="5" t="s">
        <v>13</v>
      </c>
      <c r="H24" s="311"/>
      <c r="I24" s="311"/>
      <c r="J24" s="5" t="s">
        <v>13</v>
      </c>
      <c r="K24" s="307"/>
      <c r="L24" s="307"/>
      <c r="M24" s="26" t="s">
        <v>13</v>
      </c>
      <c r="N24" s="307" t="s">
        <v>70</v>
      </c>
      <c r="O24" s="307"/>
      <c r="P24" s="26" t="s">
        <v>13</v>
      </c>
      <c r="Q24" s="307" t="s">
        <v>71</v>
      </c>
      <c r="R24" s="307"/>
      <c r="S24" s="26" t="s">
        <v>13</v>
      </c>
      <c r="T24" s="313"/>
      <c r="U24" s="313"/>
      <c r="V24" s="5" t="s">
        <v>13</v>
      </c>
      <c r="W24" s="311" t="s">
        <v>72</v>
      </c>
      <c r="X24" s="312"/>
      <c r="Y24" s="5" t="s">
        <v>13</v>
      </c>
      <c r="Z24" s="314" t="s">
        <v>73</v>
      </c>
      <c r="AA24" s="314"/>
      <c r="AB24" s="9" t="s">
        <v>13</v>
      </c>
      <c r="AC24" s="314" t="s">
        <v>74</v>
      </c>
      <c r="AD24" s="315"/>
      <c r="AE24" s="9" t="s">
        <v>13</v>
      </c>
      <c r="AF24" s="316"/>
      <c r="AG24" s="317"/>
      <c r="AH24" s="5" t="s">
        <v>13</v>
      </c>
      <c r="AI24" s="311" t="s">
        <v>75</v>
      </c>
      <c r="AJ24" s="311"/>
      <c r="AK24" s="5" t="s">
        <v>13</v>
      </c>
      <c r="AL24" s="311" t="s">
        <v>76</v>
      </c>
      <c r="AM24" s="312"/>
      <c r="AN24" s="5" t="s">
        <v>13</v>
      </c>
      <c r="AO24" s="312"/>
      <c r="AP24" s="312"/>
      <c r="AQ24" s="5" t="s">
        <v>13</v>
      </c>
      <c r="AR24" s="8"/>
      <c r="AS24" s="8"/>
      <c r="AT24" s="5" t="s">
        <v>13</v>
      </c>
      <c r="AU24" s="8"/>
      <c r="AV24" s="8"/>
      <c r="AW24" s="5" t="s">
        <v>13</v>
      </c>
      <c r="AX24" s="8"/>
      <c r="AY24" s="8"/>
    </row>
    <row r="25" spans="1:51" ht="24.75" customHeight="1">
      <c r="A25" s="7" t="s">
        <v>19</v>
      </c>
      <c r="B25" s="322" t="s">
        <v>77</v>
      </c>
      <c r="C25" s="322"/>
      <c r="D25" s="7" t="s">
        <v>19</v>
      </c>
      <c r="E25" s="327" t="s">
        <v>78</v>
      </c>
      <c r="F25" s="327"/>
      <c r="G25" s="7" t="s">
        <v>19</v>
      </c>
      <c r="H25" s="322" t="s">
        <v>79</v>
      </c>
      <c r="I25" s="322"/>
      <c r="J25" s="7" t="s">
        <v>19</v>
      </c>
      <c r="K25" s="327" t="s">
        <v>80</v>
      </c>
      <c r="L25" s="327"/>
      <c r="M25" s="27" t="s">
        <v>19</v>
      </c>
      <c r="N25" s="327" t="s">
        <v>81</v>
      </c>
      <c r="O25" s="327"/>
      <c r="P25" s="27" t="s">
        <v>19</v>
      </c>
      <c r="Q25" s="327" t="s">
        <v>82</v>
      </c>
      <c r="R25" s="327"/>
      <c r="S25" s="27" t="s">
        <v>19</v>
      </c>
      <c r="T25" s="327" t="s">
        <v>83</v>
      </c>
      <c r="U25" s="327"/>
      <c r="V25" s="7" t="s">
        <v>19</v>
      </c>
      <c r="W25" s="322" t="s">
        <v>84</v>
      </c>
      <c r="X25" s="322"/>
      <c r="Y25" s="7" t="s">
        <v>19</v>
      </c>
      <c r="Z25" s="322" t="s">
        <v>85</v>
      </c>
      <c r="AA25" s="322"/>
      <c r="AB25" s="7" t="s">
        <v>19</v>
      </c>
      <c r="AC25" s="322" t="s">
        <v>86</v>
      </c>
      <c r="AD25" s="322"/>
      <c r="AE25" s="7" t="s">
        <v>19</v>
      </c>
      <c r="AF25" s="322" t="s">
        <v>87</v>
      </c>
      <c r="AG25" s="322"/>
      <c r="AH25" s="7" t="s">
        <v>19</v>
      </c>
      <c r="AI25" s="322" t="s">
        <v>88</v>
      </c>
      <c r="AJ25" s="322"/>
      <c r="AK25" s="7" t="s">
        <v>19</v>
      </c>
      <c r="AL25" s="322" t="s">
        <v>89</v>
      </c>
      <c r="AM25" s="322"/>
      <c r="AN25" s="7" t="s">
        <v>19</v>
      </c>
      <c r="AO25" s="322" t="s">
        <v>90</v>
      </c>
      <c r="AP25" s="322"/>
      <c r="AQ25" s="7" t="s">
        <v>19</v>
      </c>
      <c r="AR25" s="322" t="s">
        <v>91</v>
      </c>
      <c r="AS25" s="322"/>
      <c r="AT25" s="7" t="s">
        <v>19</v>
      </c>
      <c r="AU25" s="322" t="s">
        <v>92</v>
      </c>
      <c r="AV25" s="322"/>
      <c r="AW25" s="7" t="s">
        <v>19</v>
      </c>
      <c r="AX25" s="322" t="s">
        <v>93</v>
      </c>
      <c r="AY25" s="322"/>
    </row>
    <row r="26" spans="1:51" ht="24.75" customHeight="1">
      <c r="A26" s="7" t="s">
        <v>30</v>
      </c>
      <c r="B26" s="322" t="s">
        <v>31</v>
      </c>
      <c r="C26" s="322"/>
      <c r="D26" s="7" t="s">
        <v>30</v>
      </c>
      <c r="E26" s="358" t="s">
        <v>1417</v>
      </c>
      <c r="F26" s="325"/>
      <c r="G26" s="7" t="s">
        <v>30</v>
      </c>
      <c r="H26" s="310" t="s">
        <v>95</v>
      </c>
      <c r="I26" s="310"/>
      <c r="J26" s="7" t="s">
        <v>30</v>
      </c>
      <c r="K26" s="259" t="s">
        <v>427</v>
      </c>
      <c r="L26" s="260"/>
      <c r="M26" s="27" t="s">
        <v>30</v>
      </c>
      <c r="N26" s="325" t="s">
        <v>96</v>
      </c>
      <c r="O26" s="325"/>
      <c r="P26" s="27" t="s">
        <v>30</v>
      </c>
      <c r="Q26" s="325" t="s">
        <v>97</v>
      </c>
      <c r="R26" s="325"/>
      <c r="S26" s="27" t="s">
        <v>30</v>
      </c>
      <c r="T26" s="325" t="s">
        <v>1796</v>
      </c>
      <c r="U26" s="325"/>
      <c r="V26" s="7" t="s">
        <v>30</v>
      </c>
      <c r="W26" s="310" t="s">
        <v>98</v>
      </c>
      <c r="X26" s="310"/>
      <c r="Y26" s="7" t="s">
        <v>30</v>
      </c>
      <c r="Z26" s="310" t="s">
        <v>99</v>
      </c>
      <c r="AA26" s="310"/>
      <c r="AB26" s="7" t="s">
        <v>30</v>
      </c>
      <c r="AC26" s="310" t="s">
        <v>100</v>
      </c>
      <c r="AD26" s="310"/>
      <c r="AE26" s="7" t="s">
        <v>30</v>
      </c>
      <c r="AF26" s="310" t="s">
        <v>87</v>
      </c>
      <c r="AG26" s="310"/>
      <c r="AH26" s="7" t="s">
        <v>30</v>
      </c>
      <c r="AI26" s="310" t="s">
        <v>101</v>
      </c>
      <c r="AJ26" s="310"/>
      <c r="AK26" s="7" t="s">
        <v>30</v>
      </c>
      <c r="AL26" s="310" t="s">
        <v>102</v>
      </c>
      <c r="AM26" s="310"/>
      <c r="AN26" s="7" t="s">
        <v>30</v>
      </c>
      <c r="AO26" s="310" t="s">
        <v>90</v>
      </c>
      <c r="AP26" s="310"/>
      <c r="AQ26" s="7" t="s">
        <v>30</v>
      </c>
      <c r="AR26" s="310" t="s">
        <v>103</v>
      </c>
      <c r="AS26" s="310"/>
      <c r="AT26" s="7" t="s">
        <v>30</v>
      </c>
      <c r="AU26" s="310" t="s">
        <v>104</v>
      </c>
      <c r="AV26" s="310"/>
      <c r="AW26" s="7" t="s">
        <v>30</v>
      </c>
      <c r="AX26" s="310" t="s">
        <v>105</v>
      </c>
      <c r="AY26" s="310"/>
    </row>
    <row r="27" spans="1:51" ht="24.75" customHeight="1">
      <c r="A27" s="7" t="s">
        <v>41</v>
      </c>
      <c r="B27" s="310" t="s">
        <v>42</v>
      </c>
      <c r="C27" s="310"/>
      <c r="D27" s="7" t="s">
        <v>41</v>
      </c>
      <c r="E27" s="358" t="s">
        <v>1418</v>
      </c>
      <c r="F27" s="325"/>
      <c r="G27" s="7" t="s">
        <v>41</v>
      </c>
      <c r="H27" s="359" t="s">
        <v>1797</v>
      </c>
      <c r="I27" s="310"/>
      <c r="J27" s="7" t="s">
        <v>41</v>
      </c>
      <c r="K27" s="329" t="s">
        <v>429</v>
      </c>
      <c r="L27" s="325"/>
      <c r="M27" s="27" t="s">
        <v>41</v>
      </c>
      <c r="N27" s="358" t="s">
        <v>1055</v>
      </c>
      <c r="O27" s="325"/>
      <c r="P27" s="27" t="s">
        <v>41</v>
      </c>
      <c r="Q27" s="358" t="s">
        <v>1056</v>
      </c>
      <c r="R27" s="325"/>
      <c r="S27" s="27" t="s">
        <v>41</v>
      </c>
      <c r="T27" s="329" t="s">
        <v>429</v>
      </c>
      <c r="U27" s="325"/>
      <c r="V27" s="7" t="s">
        <v>41</v>
      </c>
      <c r="W27" s="359" t="s">
        <v>1798</v>
      </c>
      <c r="X27" s="310"/>
      <c r="Y27" s="7" t="s">
        <v>41</v>
      </c>
      <c r="Z27" s="359" t="s">
        <v>1799</v>
      </c>
      <c r="AA27" s="310"/>
      <c r="AB27" s="7" t="s">
        <v>41</v>
      </c>
      <c r="AC27" s="310" t="s">
        <v>114</v>
      </c>
      <c r="AD27" s="310"/>
      <c r="AE27" s="7" t="s">
        <v>41</v>
      </c>
      <c r="AF27" s="310" t="s">
        <v>42</v>
      </c>
      <c r="AG27" s="310"/>
      <c r="AH27" s="7" t="s">
        <v>41</v>
      </c>
      <c r="AI27" s="310" t="s">
        <v>115</v>
      </c>
      <c r="AJ27" s="310"/>
      <c r="AK27" s="7" t="s">
        <v>41</v>
      </c>
      <c r="AL27" s="310" t="s">
        <v>116</v>
      </c>
      <c r="AM27" s="310"/>
      <c r="AN27" s="7" t="s">
        <v>41</v>
      </c>
      <c r="AO27" s="310" t="s">
        <v>117</v>
      </c>
      <c r="AP27" s="310"/>
      <c r="AQ27" s="7" t="s">
        <v>41</v>
      </c>
      <c r="AR27" s="310" t="s">
        <v>118</v>
      </c>
      <c r="AS27" s="310"/>
      <c r="AT27" s="7" t="s">
        <v>41</v>
      </c>
      <c r="AU27" s="310" t="s">
        <v>119</v>
      </c>
      <c r="AV27" s="310"/>
      <c r="AW27" s="7" t="s">
        <v>41</v>
      </c>
      <c r="AX27" s="310" t="s">
        <v>120</v>
      </c>
      <c r="AY27" s="310"/>
    </row>
    <row r="28" spans="1:51" ht="24.75" customHeight="1">
      <c r="A28" s="7" t="s">
        <v>1</v>
      </c>
      <c r="B28" s="7" t="s">
        <v>52</v>
      </c>
      <c r="C28" s="7" t="s">
        <v>53</v>
      </c>
      <c r="D28" s="7" t="s">
        <v>121</v>
      </c>
      <c r="E28" s="7" t="s">
        <v>54</v>
      </c>
      <c r="F28" s="8" t="s">
        <v>122</v>
      </c>
      <c r="G28" s="7" t="s">
        <v>1</v>
      </c>
      <c r="H28" s="7" t="s">
        <v>52</v>
      </c>
      <c r="I28" s="7" t="s">
        <v>123</v>
      </c>
      <c r="J28" s="7" t="s">
        <v>1</v>
      </c>
      <c r="K28" s="7" t="s">
        <v>52</v>
      </c>
      <c r="L28" s="7" t="s">
        <v>123</v>
      </c>
      <c r="M28" s="7" t="s">
        <v>1</v>
      </c>
      <c r="N28" s="7" t="s">
        <v>52</v>
      </c>
      <c r="O28" s="7" t="s">
        <v>123</v>
      </c>
      <c r="P28" s="7" t="s">
        <v>1</v>
      </c>
      <c r="Q28" s="7" t="s">
        <v>52</v>
      </c>
      <c r="R28" s="7" t="s">
        <v>123</v>
      </c>
      <c r="S28" s="7" t="s">
        <v>121</v>
      </c>
      <c r="T28" s="7" t="s">
        <v>54</v>
      </c>
      <c r="U28" s="7" t="s">
        <v>124</v>
      </c>
      <c r="V28" s="7" t="s">
        <v>121</v>
      </c>
      <c r="W28" s="7" t="s">
        <v>54</v>
      </c>
      <c r="X28" s="7" t="s">
        <v>124</v>
      </c>
      <c r="Y28" s="7" t="s">
        <v>121</v>
      </c>
      <c r="Z28" s="7" t="s">
        <v>54</v>
      </c>
      <c r="AA28" s="7" t="s">
        <v>124</v>
      </c>
      <c r="AB28" s="7" t="s">
        <v>121</v>
      </c>
      <c r="AC28" s="7" t="s">
        <v>54</v>
      </c>
      <c r="AD28" s="7" t="s">
        <v>124</v>
      </c>
      <c r="AE28" s="7" t="s">
        <v>121</v>
      </c>
      <c r="AF28" s="7" t="s">
        <v>54</v>
      </c>
      <c r="AG28" s="7" t="s">
        <v>124</v>
      </c>
      <c r="AH28" s="7" t="s">
        <v>121</v>
      </c>
      <c r="AI28" s="7" t="s">
        <v>54</v>
      </c>
      <c r="AJ28" s="7" t="s">
        <v>124</v>
      </c>
      <c r="AK28" s="7" t="s">
        <v>1</v>
      </c>
      <c r="AL28" s="7" t="s">
        <v>54</v>
      </c>
      <c r="AM28" s="7" t="s">
        <v>123</v>
      </c>
      <c r="AN28" s="7" t="s">
        <v>1</v>
      </c>
      <c r="AO28" s="7" t="s">
        <v>52</v>
      </c>
      <c r="AP28" s="7" t="s">
        <v>123</v>
      </c>
      <c r="AQ28" s="7" t="s">
        <v>1</v>
      </c>
      <c r="AR28" s="7" t="s">
        <v>52</v>
      </c>
      <c r="AS28" s="7" t="s">
        <v>123</v>
      </c>
      <c r="AT28" s="7" t="s">
        <v>1</v>
      </c>
      <c r="AU28" s="7" t="s">
        <v>52</v>
      </c>
      <c r="AV28" s="7" t="s">
        <v>123</v>
      </c>
      <c r="AW28" s="7" t="s">
        <v>1</v>
      </c>
      <c r="AX28" s="7" t="s">
        <v>52</v>
      </c>
      <c r="AY28" s="7" t="s">
        <v>123</v>
      </c>
    </row>
    <row r="29" spans="1:51" ht="24.75" customHeight="1">
      <c r="A29" s="7">
        <v>2020</v>
      </c>
      <c r="B29" s="15">
        <f>AVERAGE(E29,H29,K29,T29,AF29,AO29,AU29,AX29,AR29)</f>
        <v>72.222222222222229</v>
      </c>
      <c r="C29" s="16"/>
      <c r="D29" s="7">
        <v>2020</v>
      </c>
      <c r="E29" s="21">
        <v>50</v>
      </c>
      <c r="F29" s="17"/>
      <c r="G29" s="7">
        <v>2020</v>
      </c>
      <c r="H29" s="14">
        <v>100</v>
      </c>
      <c r="I29" s="17" t="s">
        <v>1800</v>
      </c>
      <c r="J29" s="7">
        <v>2020</v>
      </c>
      <c r="K29" s="14">
        <v>100</v>
      </c>
      <c r="L29" s="17"/>
      <c r="M29" s="7">
        <v>2020</v>
      </c>
      <c r="N29" s="14">
        <v>100</v>
      </c>
      <c r="O29" s="17"/>
      <c r="P29" s="7">
        <v>2020</v>
      </c>
      <c r="Q29" s="14">
        <v>100</v>
      </c>
      <c r="R29" s="17"/>
      <c r="S29" s="7">
        <v>2020</v>
      </c>
      <c r="T29" s="14">
        <v>100</v>
      </c>
      <c r="U29" s="17"/>
      <c r="V29" s="7">
        <v>2020</v>
      </c>
      <c r="W29" s="82">
        <v>100</v>
      </c>
      <c r="X29" s="83"/>
      <c r="Y29" s="7">
        <v>2020</v>
      </c>
      <c r="Z29" s="82">
        <v>100</v>
      </c>
      <c r="AA29" s="83"/>
      <c r="AB29" s="7">
        <v>2020</v>
      </c>
      <c r="AC29" s="82">
        <v>100</v>
      </c>
      <c r="AD29" s="83"/>
      <c r="AE29" s="7">
        <v>2020</v>
      </c>
      <c r="AF29" s="31">
        <f t="shared" ref="AF29:AF33" si="4">0.67*AI29+0.33*AL29</f>
        <v>100</v>
      </c>
      <c r="AG29" s="17"/>
      <c r="AH29" s="7">
        <v>2020</v>
      </c>
      <c r="AI29" s="82">
        <v>100</v>
      </c>
      <c r="AJ29" s="83" t="s">
        <v>1801</v>
      </c>
      <c r="AK29" s="7">
        <v>2020</v>
      </c>
      <c r="AL29" s="14">
        <v>100</v>
      </c>
      <c r="AM29" s="17"/>
      <c r="AN29" s="7">
        <v>2020</v>
      </c>
      <c r="AO29" s="14">
        <v>50</v>
      </c>
      <c r="AP29" s="17"/>
      <c r="AQ29" s="7">
        <v>2020</v>
      </c>
      <c r="AR29" s="14">
        <v>0</v>
      </c>
      <c r="AS29" s="17"/>
      <c r="AT29" s="7">
        <v>2020</v>
      </c>
      <c r="AU29" s="14">
        <v>100</v>
      </c>
      <c r="AV29" s="17"/>
      <c r="AW29" s="7">
        <v>2020</v>
      </c>
      <c r="AX29" s="14">
        <v>50</v>
      </c>
      <c r="AY29" s="23"/>
    </row>
    <row r="30" spans="1:51" ht="24.75" customHeight="1">
      <c r="A30" s="7">
        <v>2021</v>
      </c>
      <c r="B30" s="15">
        <f>AVERAGE(E30,H30,K30,T30,AF30,AO30,AU30,AX30,AR30)</f>
        <v>64.777777777777771</v>
      </c>
      <c r="C30" s="15"/>
      <c r="D30" s="7">
        <v>2021</v>
      </c>
      <c r="E30" s="21">
        <v>50</v>
      </c>
      <c r="F30" s="17"/>
      <c r="G30" s="7">
        <v>2021</v>
      </c>
      <c r="H30" s="14">
        <v>100</v>
      </c>
      <c r="I30" s="17" t="s">
        <v>1800</v>
      </c>
      <c r="J30" s="7">
        <v>2021</v>
      </c>
      <c r="K30" s="14">
        <v>100</v>
      </c>
      <c r="L30" s="17"/>
      <c r="M30" s="7">
        <v>2021</v>
      </c>
      <c r="N30" s="14">
        <v>100</v>
      </c>
      <c r="O30" s="17"/>
      <c r="P30" s="7">
        <v>2021</v>
      </c>
      <c r="Q30" s="14">
        <v>100</v>
      </c>
      <c r="R30" s="17"/>
      <c r="S30" s="7">
        <v>2021</v>
      </c>
      <c r="T30" s="14">
        <v>100</v>
      </c>
      <c r="U30" s="17"/>
      <c r="V30" s="7">
        <v>2021</v>
      </c>
      <c r="W30" s="82">
        <v>100</v>
      </c>
      <c r="X30" s="83"/>
      <c r="Y30" s="7">
        <v>2021</v>
      </c>
      <c r="Z30" s="82">
        <v>100</v>
      </c>
      <c r="AA30" s="83"/>
      <c r="AB30" s="7">
        <v>2021</v>
      </c>
      <c r="AC30" s="82">
        <v>100</v>
      </c>
      <c r="AD30" s="83"/>
      <c r="AE30" s="7">
        <v>2021</v>
      </c>
      <c r="AF30" s="31">
        <f t="shared" si="4"/>
        <v>33</v>
      </c>
      <c r="AG30" s="17"/>
      <c r="AH30" s="7">
        <v>2021</v>
      </c>
      <c r="AI30" s="82">
        <v>0</v>
      </c>
      <c r="AJ30" s="83" t="s">
        <v>1802</v>
      </c>
      <c r="AK30" s="7">
        <v>2021</v>
      </c>
      <c r="AL30" s="14">
        <v>100</v>
      </c>
      <c r="AM30" s="17"/>
      <c r="AN30" s="7">
        <v>2021</v>
      </c>
      <c r="AO30" s="14">
        <v>50</v>
      </c>
      <c r="AP30" s="17"/>
      <c r="AQ30" s="7">
        <v>2021</v>
      </c>
      <c r="AR30" s="14">
        <v>0</v>
      </c>
      <c r="AS30" s="17"/>
      <c r="AT30" s="7">
        <v>2021</v>
      </c>
      <c r="AU30" s="14">
        <v>100</v>
      </c>
      <c r="AV30" s="17"/>
      <c r="AW30" s="7">
        <v>2021</v>
      </c>
      <c r="AX30" s="14">
        <v>50</v>
      </c>
      <c r="AY30" s="23"/>
    </row>
    <row r="31" spans="1:51" ht="24.75" customHeight="1">
      <c r="A31" s="7">
        <v>2022</v>
      </c>
      <c r="B31" s="15">
        <f>AVERAGE(E31,H31,K31,T31,AF31,AO31,AU31,AX31,AR31)</f>
        <v>64.777777777777771</v>
      </c>
      <c r="C31" s="15"/>
      <c r="D31" s="7">
        <v>2022</v>
      </c>
      <c r="E31" s="21">
        <v>50</v>
      </c>
      <c r="F31" s="17"/>
      <c r="G31" s="7">
        <v>2022</v>
      </c>
      <c r="H31" s="14">
        <v>100</v>
      </c>
      <c r="I31" s="17" t="s">
        <v>1800</v>
      </c>
      <c r="J31" s="7">
        <v>2022</v>
      </c>
      <c r="K31" s="14">
        <v>100</v>
      </c>
      <c r="L31" s="17"/>
      <c r="M31" s="7">
        <v>2022</v>
      </c>
      <c r="N31" s="14">
        <v>100</v>
      </c>
      <c r="O31" s="17"/>
      <c r="P31" s="7">
        <v>2022</v>
      </c>
      <c r="Q31" s="14">
        <v>100</v>
      </c>
      <c r="R31" s="17"/>
      <c r="S31" s="7">
        <v>2022</v>
      </c>
      <c r="T31" s="14">
        <v>100</v>
      </c>
      <c r="U31" s="17"/>
      <c r="V31" s="7">
        <v>2022</v>
      </c>
      <c r="W31" s="82">
        <v>100</v>
      </c>
      <c r="X31" s="83"/>
      <c r="Y31" s="7">
        <v>2022</v>
      </c>
      <c r="Z31" s="82">
        <v>100</v>
      </c>
      <c r="AA31" s="83"/>
      <c r="AB31" s="7">
        <v>2022</v>
      </c>
      <c r="AC31" s="82">
        <v>100</v>
      </c>
      <c r="AD31" s="83"/>
      <c r="AE31" s="7">
        <v>2022</v>
      </c>
      <c r="AF31" s="31">
        <f t="shared" si="4"/>
        <v>33</v>
      </c>
      <c r="AG31" s="17"/>
      <c r="AH31" s="7">
        <v>2022</v>
      </c>
      <c r="AI31" s="82">
        <v>0</v>
      </c>
      <c r="AJ31" s="83" t="s">
        <v>1803</v>
      </c>
      <c r="AK31" s="7">
        <v>2022</v>
      </c>
      <c r="AL31" s="14">
        <v>100</v>
      </c>
      <c r="AM31" s="17"/>
      <c r="AN31" s="7">
        <v>2022</v>
      </c>
      <c r="AO31" s="14">
        <v>50</v>
      </c>
      <c r="AP31" s="17"/>
      <c r="AQ31" s="7">
        <v>2022</v>
      </c>
      <c r="AR31" s="14">
        <v>0</v>
      </c>
      <c r="AS31" s="17"/>
      <c r="AT31" s="7">
        <v>2022</v>
      </c>
      <c r="AU31" s="14">
        <v>100</v>
      </c>
      <c r="AV31" s="17"/>
      <c r="AW31" s="7">
        <v>2022</v>
      </c>
      <c r="AX31" s="14">
        <v>50</v>
      </c>
      <c r="AY31" s="23"/>
    </row>
    <row r="32" spans="1:51" ht="24.75" customHeight="1">
      <c r="A32" s="7">
        <v>2023</v>
      </c>
      <c r="B32" s="15">
        <f>AVERAGE(E32,H32,K32,T32,AF32,AO32,AU32,AX32,AR32)</f>
        <v>64.777777777777771</v>
      </c>
      <c r="C32" s="15"/>
      <c r="D32" s="7">
        <v>2023</v>
      </c>
      <c r="E32" s="21">
        <v>50</v>
      </c>
      <c r="F32" s="17" t="s">
        <v>1804</v>
      </c>
      <c r="G32" s="7">
        <v>2023</v>
      </c>
      <c r="H32" s="14">
        <v>100</v>
      </c>
      <c r="I32" s="17" t="s">
        <v>1800</v>
      </c>
      <c r="J32" s="7">
        <v>2023</v>
      </c>
      <c r="K32" s="14">
        <v>100</v>
      </c>
      <c r="L32" s="17"/>
      <c r="M32" s="7">
        <v>2023</v>
      </c>
      <c r="N32" s="14">
        <v>100</v>
      </c>
      <c r="O32" s="17"/>
      <c r="P32" s="7">
        <v>2023</v>
      </c>
      <c r="Q32" s="14">
        <v>100</v>
      </c>
      <c r="R32" s="17"/>
      <c r="S32" s="7">
        <v>2023</v>
      </c>
      <c r="T32" s="14">
        <v>100</v>
      </c>
      <c r="U32" s="17"/>
      <c r="V32" s="7">
        <v>2023</v>
      </c>
      <c r="W32" s="82">
        <v>100</v>
      </c>
      <c r="X32" s="86" t="s">
        <v>1805</v>
      </c>
      <c r="Y32" s="7">
        <v>2023</v>
      </c>
      <c r="Z32" s="82">
        <v>100</v>
      </c>
      <c r="AA32" s="240" t="s">
        <v>1806</v>
      </c>
      <c r="AB32" s="7">
        <v>2023</v>
      </c>
      <c r="AC32" s="82">
        <v>100</v>
      </c>
      <c r="AD32" s="83"/>
      <c r="AE32" s="7">
        <v>2023</v>
      </c>
      <c r="AF32" s="31">
        <f t="shared" si="4"/>
        <v>33</v>
      </c>
      <c r="AG32" s="17"/>
      <c r="AH32" s="7">
        <v>2023</v>
      </c>
      <c r="AI32" s="82">
        <v>0</v>
      </c>
      <c r="AJ32" s="83" t="s">
        <v>1807</v>
      </c>
      <c r="AK32" s="7">
        <v>2023</v>
      </c>
      <c r="AL32" s="14">
        <v>100</v>
      </c>
      <c r="AM32" s="17"/>
      <c r="AN32" s="7">
        <v>2023</v>
      </c>
      <c r="AO32" s="14">
        <v>50</v>
      </c>
      <c r="AP32" s="17"/>
      <c r="AQ32" s="7">
        <v>2023</v>
      </c>
      <c r="AR32" s="14">
        <v>0</v>
      </c>
      <c r="AS32" s="17"/>
      <c r="AT32" s="7">
        <v>2023</v>
      </c>
      <c r="AU32" s="14">
        <v>100</v>
      </c>
      <c r="AV32" s="17"/>
      <c r="AW32" s="7">
        <v>2023</v>
      </c>
      <c r="AX32" s="14">
        <v>50</v>
      </c>
      <c r="AY32" s="23"/>
    </row>
    <row r="33" spans="1:51" ht="24.75" customHeight="1">
      <c r="A33" s="7">
        <v>2024</v>
      </c>
      <c r="B33" s="15">
        <f>AVERAGE(E33,H33,K33,T33,AF33,AO33,AU33,AX33,AR33)</f>
        <v>62.555555555555557</v>
      </c>
      <c r="C33" s="15"/>
      <c r="D33" s="7">
        <v>2024</v>
      </c>
      <c r="E33" s="21">
        <v>50</v>
      </c>
      <c r="F33" s="17" t="s">
        <v>1804</v>
      </c>
      <c r="G33" s="7">
        <v>2024</v>
      </c>
      <c r="H33" s="14">
        <v>100</v>
      </c>
      <c r="I33" s="17" t="s">
        <v>1800</v>
      </c>
      <c r="J33" s="7">
        <v>2024</v>
      </c>
      <c r="K33" s="14">
        <v>100</v>
      </c>
      <c r="L33" s="17"/>
      <c r="M33" s="7">
        <v>2024</v>
      </c>
      <c r="N33" s="14">
        <v>100</v>
      </c>
      <c r="O33" s="17"/>
      <c r="P33" s="7">
        <v>2024</v>
      </c>
      <c r="Q33" s="14">
        <v>100</v>
      </c>
      <c r="R33" s="17"/>
      <c r="S33" s="7">
        <v>2024</v>
      </c>
      <c r="T33" s="14">
        <v>80</v>
      </c>
      <c r="U33" s="17"/>
      <c r="V33" s="7">
        <v>2024</v>
      </c>
      <c r="W33" s="82">
        <v>0</v>
      </c>
      <c r="X33" s="83" t="s">
        <v>1808</v>
      </c>
      <c r="Y33" s="7">
        <v>2024</v>
      </c>
      <c r="Z33" s="82">
        <v>100</v>
      </c>
      <c r="AA33" s="83"/>
      <c r="AB33" s="7">
        <v>2024</v>
      </c>
      <c r="AC33" s="82">
        <v>100</v>
      </c>
      <c r="AD33" s="83"/>
      <c r="AE33" s="7">
        <v>2024</v>
      </c>
      <c r="AF33" s="31">
        <f t="shared" si="4"/>
        <v>33</v>
      </c>
      <c r="AG33" s="17"/>
      <c r="AH33" s="7">
        <v>2024</v>
      </c>
      <c r="AI33" s="82">
        <v>0</v>
      </c>
      <c r="AJ33" s="83" t="s">
        <v>1809</v>
      </c>
      <c r="AK33" s="7">
        <v>2024</v>
      </c>
      <c r="AL33" s="14">
        <v>100</v>
      </c>
      <c r="AM33" s="17"/>
      <c r="AN33" s="7">
        <v>2024</v>
      </c>
      <c r="AO33" s="14">
        <v>50</v>
      </c>
      <c r="AP33" s="23"/>
      <c r="AQ33" s="7">
        <v>2024</v>
      </c>
      <c r="AR33" s="14">
        <v>0</v>
      </c>
      <c r="AS33" s="23" t="s">
        <v>1810</v>
      </c>
      <c r="AT33" s="7">
        <v>2024</v>
      </c>
      <c r="AU33" s="14">
        <v>100</v>
      </c>
      <c r="AV33" s="17"/>
      <c r="AW33" s="7">
        <v>2024</v>
      </c>
      <c r="AX33" s="14">
        <v>50</v>
      </c>
      <c r="AY33" s="23"/>
    </row>
    <row r="34" spans="1:51" ht="24.75" customHeight="1">
      <c r="A34" s="24"/>
      <c r="B34" s="24"/>
      <c r="C34" s="24"/>
      <c r="D34" s="24"/>
      <c r="E34" s="24"/>
      <c r="F34" s="24"/>
      <c r="G34" s="24"/>
      <c r="H34" s="24"/>
      <c r="I34" s="24"/>
      <c r="J34" s="24"/>
      <c r="K34" s="24"/>
      <c r="L34" s="24"/>
      <c r="M34" s="24"/>
      <c r="N34" s="24"/>
      <c r="AD34" s="32"/>
    </row>
    <row r="35" spans="1:51" ht="24.75" customHeight="1">
      <c r="A35" s="5" t="s">
        <v>5</v>
      </c>
      <c r="B35" s="294" t="s">
        <v>127</v>
      </c>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6"/>
    </row>
    <row r="36" spans="1:51" ht="24.75" customHeight="1">
      <c r="A36" s="5" t="s">
        <v>7</v>
      </c>
      <c r="B36" s="318" t="s">
        <v>128</v>
      </c>
      <c r="C36" s="318"/>
      <c r="D36" s="5" t="s">
        <v>7</v>
      </c>
      <c r="E36" s="312" t="s">
        <v>129</v>
      </c>
      <c r="F36" s="312"/>
      <c r="G36" s="5" t="s">
        <v>7</v>
      </c>
      <c r="H36" s="312" t="s">
        <v>130</v>
      </c>
      <c r="I36" s="312"/>
      <c r="J36" s="5" t="s">
        <v>7</v>
      </c>
      <c r="K36" s="312" t="s">
        <v>131</v>
      </c>
      <c r="L36" s="312"/>
      <c r="M36" s="5" t="s">
        <v>7</v>
      </c>
      <c r="N36" s="312" t="s">
        <v>132</v>
      </c>
      <c r="O36" s="312"/>
      <c r="P36" s="5" t="s">
        <v>7</v>
      </c>
      <c r="Q36" s="312"/>
      <c r="R36" s="312"/>
      <c r="S36" s="5" t="s">
        <v>7</v>
      </c>
      <c r="T36" s="318"/>
      <c r="U36" s="318"/>
      <c r="V36" s="5" t="s">
        <v>7</v>
      </c>
      <c r="W36" s="312"/>
      <c r="X36" s="312"/>
      <c r="Y36" s="5" t="s">
        <v>7</v>
      </c>
      <c r="Z36" s="315" t="s">
        <v>133</v>
      </c>
      <c r="AA36" s="315"/>
      <c r="AB36" s="9" t="s">
        <v>7</v>
      </c>
      <c r="AC36" s="315" t="s">
        <v>134</v>
      </c>
      <c r="AD36" s="315"/>
      <c r="AE36" s="5" t="s">
        <v>7</v>
      </c>
      <c r="AF36" s="312" t="s">
        <v>135</v>
      </c>
      <c r="AG36" s="312"/>
      <c r="AH36" s="5" t="s">
        <v>7</v>
      </c>
      <c r="AI36" s="312"/>
      <c r="AJ36" s="312"/>
      <c r="AK36" s="5" t="s">
        <v>7</v>
      </c>
      <c r="AL36" s="312"/>
      <c r="AM36" s="312"/>
    </row>
    <row r="37" spans="1:51" ht="24.75" customHeight="1">
      <c r="A37" s="5" t="s">
        <v>13</v>
      </c>
      <c r="B37" s="7"/>
      <c r="C37" s="7"/>
      <c r="D37" s="5" t="s">
        <v>13</v>
      </c>
      <c r="E37" s="8"/>
      <c r="F37" s="8"/>
      <c r="G37" s="5" t="s">
        <v>13</v>
      </c>
      <c r="H37" s="311"/>
      <c r="I37" s="311"/>
      <c r="J37" s="5" t="s">
        <v>13</v>
      </c>
      <c r="K37" s="311"/>
      <c r="L37" s="311"/>
      <c r="M37" s="5" t="s">
        <v>13</v>
      </c>
      <c r="N37" s="311"/>
      <c r="O37" s="311"/>
      <c r="P37" s="5" t="s">
        <v>13</v>
      </c>
      <c r="Q37" s="311" t="s">
        <v>136</v>
      </c>
      <c r="R37" s="311"/>
      <c r="S37" s="5" t="s">
        <v>13</v>
      </c>
      <c r="T37" s="311" t="s">
        <v>137</v>
      </c>
      <c r="U37" s="312"/>
      <c r="V37" s="5" t="s">
        <v>13</v>
      </c>
      <c r="W37" s="311" t="s">
        <v>138</v>
      </c>
      <c r="X37" s="312"/>
      <c r="Y37" s="5" t="s">
        <v>13</v>
      </c>
      <c r="Z37" s="29"/>
      <c r="AA37" s="29"/>
      <c r="AB37" s="9" t="s">
        <v>13</v>
      </c>
      <c r="AC37" s="316"/>
      <c r="AD37" s="317"/>
      <c r="AE37" s="5" t="s">
        <v>13</v>
      </c>
      <c r="AF37" s="8"/>
      <c r="AG37" s="8"/>
      <c r="AH37" s="5" t="s">
        <v>13</v>
      </c>
      <c r="AI37" s="311" t="s">
        <v>139</v>
      </c>
      <c r="AJ37" s="312"/>
      <c r="AK37" s="5" t="s">
        <v>13</v>
      </c>
      <c r="AL37" s="311" t="s">
        <v>140</v>
      </c>
      <c r="AM37" s="311"/>
    </row>
    <row r="38" spans="1:51" ht="24.75" customHeight="1">
      <c r="A38" s="7" t="s">
        <v>19</v>
      </c>
      <c r="B38" s="322" t="s">
        <v>141</v>
      </c>
      <c r="C38" s="322"/>
      <c r="D38" s="7" t="s">
        <v>19</v>
      </c>
      <c r="E38" s="322" t="s">
        <v>142</v>
      </c>
      <c r="F38" s="322"/>
      <c r="G38" s="7" t="s">
        <v>19</v>
      </c>
      <c r="H38" s="322" t="s">
        <v>143</v>
      </c>
      <c r="I38" s="322"/>
      <c r="J38" s="7" t="s">
        <v>19</v>
      </c>
      <c r="K38" s="322" t="s">
        <v>144</v>
      </c>
      <c r="L38" s="322"/>
      <c r="M38" s="7" t="s">
        <v>19</v>
      </c>
      <c r="N38" s="322" t="s">
        <v>145</v>
      </c>
      <c r="O38" s="322"/>
      <c r="P38" s="7" t="s">
        <v>19</v>
      </c>
      <c r="Q38" s="322" t="s">
        <v>145</v>
      </c>
      <c r="R38" s="322"/>
      <c r="S38" s="7" t="s">
        <v>19</v>
      </c>
      <c r="T38" s="322" t="s">
        <v>146</v>
      </c>
      <c r="U38" s="322"/>
      <c r="V38" s="7" t="s">
        <v>19</v>
      </c>
      <c r="W38" s="322" t="s">
        <v>147</v>
      </c>
      <c r="X38" s="322"/>
      <c r="Y38" s="7" t="s">
        <v>19</v>
      </c>
      <c r="Z38" s="308" t="s">
        <v>148</v>
      </c>
      <c r="AA38" s="308"/>
      <c r="AB38" s="7" t="s">
        <v>19</v>
      </c>
      <c r="AC38" s="322" t="s">
        <v>149</v>
      </c>
      <c r="AD38" s="322"/>
      <c r="AE38" s="7" t="s">
        <v>19</v>
      </c>
      <c r="AF38" s="322" t="s">
        <v>150</v>
      </c>
      <c r="AG38" s="322"/>
      <c r="AH38" s="7" t="s">
        <v>19</v>
      </c>
      <c r="AI38" s="322" t="s">
        <v>151</v>
      </c>
      <c r="AJ38" s="322"/>
      <c r="AK38" s="7" t="s">
        <v>19</v>
      </c>
      <c r="AL38" s="322" t="s">
        <v>152</v>
      </c>
      <c r="AM38" s="322"/>
    </row>
    <row r="39" spans="1:51" ht="24.75" customHeight="1">
      <c r="A39" s="7" t="s">
        <v>30</v>
      </c>
      <c r="B39" s="322" t="s">
        <v>31</v>
      </c>
      <c r="C39" s="322"/>
      <c r="D39" s="7" t="s">
        <v>30</v>
      </c>
      <c r="E39" s="310" t="s">
        <v>153</v>
      </c>
      <c r="F39" s="310"/>
      <c r="G39" s="7" t="s">
        <v>30</v>
      </c>
      <c r="H39" s="310" t="s">
        <v>154</v>
      </c>
      <c r="I39" s="310"/>
      <c r="J39" s="7" t="s">
        <v>30</v>
      </c>
      <c r="K39" s="310" t="s">
        <v>155</v>
      </c>
      <c r="L39" s="310"/>
      <c r="M39" s="7" t="s">
        <v>30</v>
      </c>
      <c r="N39" s="310" t="s">
        <v>156</v>
      </c>
      <c r="O39" s="310"/>
      <c r="P39" s="7" t="s">
        <v>30</v>
      </c>
      <c r="Q39" s="310" t="s">
        <v>157</v>
      </c>
      <c r="R39" s="310"/>
      <c r="S39" s="7" t="s">
        <v>30</v>
      </c>
      <c r="T39" s="310" t="s">
        <v>158</v>
      </c>
      <c r="U39" s="310"/>
      <c r="V39" s="7" t="s">
        <v>30</v>
      </c>
      <c r="W39" s="310" t="s">
        <v>159</v>
      </c>
      <c r="X39" s="310"/>
      <c r="Y39" s="7" t="s">
        <v>30</v>
      </c>
      <c r="Z39" s="310" t="s">
        <v>160</v>
      </c>
      <c r="AA39" s="310"/>
      <c r="AB39" s="7" t="s">
        <v>30</v>
      </c>
      <c r="AC39" s="310" t="s">
        <v>161</v>
      </c>
      <c r="AD39" s="310"/>
      <c r="AE39" s="7" t="s">
        <v>30</v>
      </c>
      <c r="AF39" s="363" t="s">
        <v>172</v>
      </c>
      <c r="AG39" s="364"/>
      <c r="AH39" s="7" t="s">
        <v>30</v>
      </c>
      <c r="AI39" s="310" t="s">
        <v>162</v>
      </c>
      <c r="AJ39" s="310"/>
      <c r="AK39" s="7" t="s">
        <v>30</v>
      </c>
      <c r="AL39" s="310" t="s">
        <v>163</v>
      </c>
      <c r="AM39" s="310"/>
    </row>
    <row r="40" spans="1:51" ht="24.75" customHeight="1">
      <c r="A40" s="7" t="s">
        <v>41</v>
      </c>
      <c r="B40" s="310" t="s">
        <v>42</v>
      </c>
      <c r="C40" s="310"/>
      <c r="D40" s="7" t="s">
        <v>41</v>
      </c>
      <c r="E40" s="359" t="s">
        <v>1070</v>
      </c>
      <c r="F40" s="310"/>
      <c r="G40" s="7" t="s">
        <v>41</v>
      </c>
      <c r="H40" s="359" t="s">
        <v>1071</v>
      </c>
      <c r="I40" s="310"/>
      <c r="J40" s="7" t="s">
        <v>41</v>
      </c>
      <c r="K40" s="322" t="s">
        <v>166</v>
      </c>
      <c r="L40" s="310"/>
      <c r="M40" s="7" t="s">
        <v>41</v>
      </c>
      <c r="N40" s="310" t="s">
        <v>42</v>
      </c>
      <c r="O40" s="310"/>
      <c r="P40" s="7" t="s">
        <v>41</v>
      </c>
      <c r="Q40" s="310" t="s">
        <v>167</v>
      </c>
      <c r="R40" s="310"/>
      <c r="S40" s="7" t="s">
        <v>41</v>
      </c>
      <c r="T40" s="359" t="s">
        <v>1073</v>
      </c>
      <c r="U40" s="310"/>
      <c r="V40" s="7" t="s">
        <v>41</v>
      </c>
      <c r="W40" s="359" t="s">
        <v>1074</v>
      </c>
      <c r="X40" s="310"/>
      <c r="Y40" s="7" t="s">
        <v>41</v>
      </c>
      <c r="Z40" s="359" t="s">
        <v>1075</v>
      </c>
      <c r="AA40" s="310"/>
      <c r="AB40" s="7" t="s">
        <v>41</v>
      </c>
      <c r="AC40" s="359" t="s">
        <v>1811</v>
      </c>
      <c r="AD40" s="310"/>
      <c r="AE40" s="7" t="s">
        <v>41</v>
      </c>
      <c r="AF40" s="308" t="s">
        <v>433</v>
      </c>
      <c r="AG40" s="310"/>
      <c r="AH40" s="7" t="s">
        <v>41</v>
      </c>
      <c r="AI40" s="310" t="s">
        <v>173</v>
      </c>
      <c r="AJ40" s="310"/>
      <c r="AK40" s="7" t="s">
        <v>41</v>
      </c>
      <c r="AL40" s="310" t="s">
        <v>174</v>
      </c>
      <c r="AM40" s="310"/>
    </row>
    <row r="41" spans="1:51" ht="24.75" customHeight="1">
      <c r="A41" s="7" t="s">
        <v>1</v>
      </c>
      <c r="B41" s="7" t="s">
        <v>52</v>
      </c>
      <c r="C41" s="7" t="s">
        <v>53</v>
      </c>
      <c r="D41" s="7" t="s">
        <v>121</v>
      </c>
      <c r="E41" s="7" t="s">
        <v>54</v>
      </c>
      <c r="F41" s="7" t="s">
        <v>122</v>
      </c>
      <c r="G41" s="7" t="s">
        <v>121</v>
      </c>
      <c r="H41" s="7" t="s">
        <v>54</v>
      </c>
      <c r="I41" s="7" t="s">
        <v>122</v>
      </c>
      <c r="J41" s="7" t="s">
        <v>121</v>
      </c>
      <c r="K41" s="7" t="s">
        <v>54</v>
      </c>
      <c r="L41" s="7" t="s">
        <v>122</v>
      </c>
      <c r="M41" s="7" t="s">
        <v>121</v>
      </c>
      <c r="N41" s="7" t="s">
        <v>54</v>
      </c>
      <c r="O41" s="7" t="s">
        <v>122</v>
      </c>
      <c r="P41" s="7" t="s">
        <v>121</v>
      </c>
      <c r="Q41" s="7" t="s">
        <v>54</v>
      </c>
      <c r="R41" s="7" t="s">
        <v>122</v>
      </c>
      <c r="S41" s="7" t="s">
        <v>121</v>
      </c>
      <c r="T41" s="7" t="s">
        <v>54</v>
      </c>
      <c r="U41" s="7" t="s">
        <v>122</v>
      </c>
      <c r="V41" s="7" t="s">
        <v>121</v>
      </c>
      <c r="W41" s="7" t="s">
        <v>54</v>
      </c>
      <c r="X41" s="7" t="s">
        <v>122</v>
      </c>
      <c r="Y41" s="7" t="s">
        <v>121</v>
      </c>
      <c r="Z41" s="7" t="s">
        <v>54</v>
      </c>
      <c r="AA41" s="7" t="s">
        <v>122</v>
      </c>
      <c r="AB41" s="7" t="s">
        <v>121</v>
      </c>
      <c r="AC41" s="7" t="s">
        <v>54</v>
      </c>
      <c r="AD41" s="7" t="s">
        <v>122</v>
      </c>
      <c r="AE41" s="7" t="s">
        <v>121</v>
      </c>
      <c r="AF41" s="7" t="s">
        <v>54</v>
      </c>
      <c r="AG41" s="7" t="s">
        <v>122</v>
      </c>
      <c r="AH41" s="7" t="s">
        <v>121</v>
      </c>
      <c r="AI41" s="7" t="s">
        <v>54</v>
      </c>
      <c r="AJ41" s="7" t="s">
        <v>122</v>
      </c>
      <c r="AK41" s="7" t="s">
        <v>121</v>
      </c>
      <c r="AL41" s="7" t="s">
        <v>54</v>
      </c>
      <c r="AM41" s="7" t="s">
        <v>122</v>
      </c>
    </row>
    <row r="42" spans="1:51" ht="24.75" customHeight="1">
      <c r="A42" s="7">
        <v>2020</v>
      </c>
      <c r="B42" s="16">
        <f>AVERAGE(E42,H42,K42,N42,Z43,AC42,AF42)</f>
        <v>38.095238095238095</v>
      </c>
      <c r="C42" s="16"/>
      <c r="D42" s="7">
        <v>2020</v>
      </c>
      <c r="E42" s="14">
        <v>67</v>
      </c>
      <c r="F42" s="23" t="s">
        <v>1812</v>
      </c>
      <c r="G42" s="7">
        <v>2020</v>
      </c>
      <c r="H42" s="82">
        <v>0</v>
      </c>
      <c r="I42" s="83"/>
      <c r="J42" s="7">
        <v>2020</v>
      </c>
      <c r="K42" s="82">
        <v>50</v>
      </c>
      <c r="L42" s="83"/>
      <c r="M42" s="7">
        <v>2020</v>
      </c>
      <c r="N42" s="31">
        <f t="shared" ref="N42:N46" si="5">AVERAGE(Q42,T42,W42)</f>
        <v>66.666666666666671</v>
      </c>
      <c r="O42" s="14"/>
      <c r="P42" s="7">
        <v>2020</v>
      </c>
      <c r="Q42" s="14">
        <v>50</v>
      </c>
      <c r="R42" s="170" t="s">
        <v>1813</v>
      </c>
      <c r="S42" s="7">
        <v>2020</v>
      </c>
      <c r="T42" s="14">
        <v>50</v>
      </c>
      <c r="U42" s="17"/>
      <c r="V42" s="7">
        <v>2020</v>
      </c>
      <c r="W42" s="82">
        <v>100</v>
      </c>
      <c r="X42" s="86" t="s">
        <v>1814</v>
      </c>
      <c r="Y42" s="7">
        <v>2020</v>
      </c>
      <c r="Z42" s="210">
        <v>0</v>
      </c>
      <c r="AA42" s="83" t="s">
        <v>1815</v>
      </c>
      <c r="AB42" s="7">
        <v>2020</v>
      </c>
      <c r="AC42" s="14">
        <v>50</v>
      </c>
      <c r="AD42" s="17"/>
      <c r="AE42" s="7">
        <v>2020</v>
      </c>
      <c r="AF42" s="14">
        <v>33</v>
      </c>
      <c r="AG42" s="14"/>
      <c r="AH42" s="7">
        <v>2020</v>
      </c>
      <c r="AI42" s="21">
        <v>0</v>
      </c>
      <c r="AJ42" s="17"/>
      <c r="AK42" s="7">
        <v>2020</v>
      </c>
      <c r="AL42" s="82">
        <v>50</v>
      </c>
      <c r="AM42" s="86" t="s">
        <v>1816</v>
      </c>
    </row>
    <row r="43" spans="1:51" ht="24.75" customHeight="1">
      <c r="A43" s="7">
        <v>2021</v>
      </c>
      <c r="B43" s="16">
        <f t="shared" ref="B43:B46" si="6">AVERAGE(E43,H43,K43,N43,Z44,AC43,AF43)</f>
        <v>38.095238095238095</v>
      </c>
      <c r="C43" s="16"/>
      <c r="D43" s="7">
        <v>2021</v>
      </c>
      <c r="E43" s="14">
        <v>67</v>
      </c>
      <c r="F43" s="17"/>
      <c r="G43" s="7">
        <v>2021</v>
      </c>
      <c r="H43" s="82">
        <v>0</v>
      </c>
      <c r="I43" s="83"/>
      <c r="J43" s="7">
        <v>2021</v>
      </c>
      <c r="K43" s="82">
        <v>50</v>
      </c>
      <c r="L43" s="83"/>
      <c r="M43" s="7">
        <v>2021</v>
      </c>
      <c r="N43" s="31">
        <f t="shared" si="5"/>
        <v>66.666666666666671</v>
      </c>
      <c r="O43" s="14"/>
      <c r="P43" s="7">
        <v>2021</v>
      </c>
      <c r="Q43" s="14">
        <v>50</v>
      </c>
      <c r="R43" s="17"/>
      <c r="S43" s="7">
        <v>2021</v>
      </c>
      <c r="T43" s="14">
        <v>50</v>
      </c>
      <c r="U43" s="17"/>
      <c r="V43" s="7">
        <v>2021</v>
      </c>
      <c r="W43" s="82">
        <v>100</v>
      </c>
      <c r="X43" s="83" t="s">
        <v>1817</v>
      </c>
      <c r="Y43" s="7">
        <v>2021</v>
      </c>
      <c r="Z43" s="210">
        <v>0</v>
      </c>
      <c r="AA43" s="83"/>
      <c r="AB43" s="7">
        <v>2021</v>
      </c>
      <c r="AC43" s="14">
        <v>50</v>
      </c>
      <c r="AD43" s="17"/>
      <c r="AE43" s="7">
        <v>2021</v>
      </c>
      <c r="AF43" s="14">
        <v>33</v>
      </c>
      <c r="AG43" s="14"/>
      <c r="AH43" s="7">
        <v>2021</v>
      </c>
      <c r="AI43" s="21">
        <v>0</v>
      </c>
      <c r="AJ43" s="17"/>
      <c r="AK43" s="7">
        <v>2021</v>
      </c>
      <c r="AL43" s="82">
        <v>50</v>
      </c>
      <c r="AM43" s="86"/>
    </row>
    <row r="44" spans="1:51" ht="24.75" customHeight="1">
      <c r="A44" s="7">
        <v>2022</v>
      </c>
      <c r="B44" s="16">
        <f t="shared" si="6"/>
        <v>45.238095238095241</v>
      </c>
      <c r="C44" s="16"/>
      <c r="D44" s="7">
        <v>2022</v>
      </c>
      <c r="E44" s="14">
        <v>67</v>
      </c>
      <c r="F44" s="17" t="s">
        <v>1818</v>
      </c>
      <c r="G44" s="7">
        <v>2022</v>
      </c>
      <c r="H44" s="82">
        <v>50</v>
      </c>
      <c r="I44" s="83" t="s">
        <v>1819</v>
      </c>
      <c r="J44" s="7">
        <v>2022</v>
      </c>
      <c r="K44" s="82">
        <v>50</v>
      </c>
      <c r="L44" s="83"/>
      <c r="M44" s="7">
        <v>2022</v>
      </c>
      <c r="N44" s="31">
        <f t="shared" si="5"/>
        <v>66.666666666666671</v>
      </c>
      <c r="O44" s="14"/>
      <c r="P44" s="7">
        <v>2022</v>
      </c>
      <c r="Q44" s="14">
        <v>50</v>
      </c>
      <c r="R44" s="17"/>
      <c r="S44" s="7">
        <v>2022</v>
      </c>
      <c r="T44" s="14">
        <v>50</v>
      </c>
      <c r="U44" s="17"/>
      <c r="V44" s="7">
        <v>2022</v>
      </c>
      <c r="W44" s="82">
        <v>100</v>
      </c>
      <c r="X44" s="83"/>
      <c r="Y44" s="7">
        <v>2022</v>
      </c>
      <c r="Z44" s="210">
        <v>0</v>
      </c>
      <c r="AA44" s="83"/>
      <c r="AB44" s="7">
        <v>2022</v>
      </c>
      <c r="AC44" s="14">
        <v>50</v>
      </c>
      <c r="AD44" s="17"/>
      <c r="AE44" s="7">
        <v>2022</v>
      </c>
      <c r="AF44" s="14">
        <v>33</v>
      </c>
      <c r="AG44" s="14"/>
      <c r="AH44" s="7">
        <v>2022</v>
      </c>
      <c r="AI44" s="21">
        <v>0</v>
      </c>
      <c r="AJ44" s="17"/>
      <c r="AK44" s="7">
        <v>2022</v>
      </c>
      <c r="AL44" s="82">
        <v>50</v>
      </c>
      <c r="AM44" s="86"/>
    </row>
    <row r="45" spans="1:51" ht="24.75" customHeight="1">
      <c r="A45" s="7">
        <v>2023</v>
      </c>
      <c r="B45" s="16">
        <f t="shared" si="6"/>
        <v>45.238095238095241</v>
      </c>
      <c r="C45" s="16"/>
      <c r="D45" s="7">
        <v>2023</v>
      </c>
      <c r="E45" s="14">
        <v>67</v>
      </c>
      <c r="F45" s="17"/>
      <c r="G45" s="7">
        <v>2023</v>
      </c>
      <c r="H45" s="82">
        <v>50</v>
      </c>
      <c r="I45" s="83" t="s">
        <v>1819</v>
      </c>
      <c r="J45" s="7">
        <v>2023</v>
      </c>
      <c r="K45" s="82">
        <v>50</v>
      </c>
      <c r="L45" s="83"/>
      <c r="M45" s="7">
        <v>2023</v>
      </c>
      <c r="N45" s="31">
        <f t="shared" si="5"/>
        <v>66.666666666666671</v>
      </c>
      <c r="O45" s="14"/>
      <c r="P45" s="7">
        <v>2023</v>
      </c>
      <c r="Q45" s="14">
        <v>50</v>
      </c>
      <c r="R45" s="17"/>
      <c r="S45" s="7">
        <v>2023</v>
      </c>
      <c r="T45" s="14">
        <v>50</v>
      </c>
      <c r="U45" s="17"/>
      <c r="V45" s="7">
        <v>2023</v>
      </c>
      <c r="W45" s="82">
        <v>100</v>
      </c>
      <c r="X45" s="83"/>
      <c r="Y45" s="7">
        <v>2023</v>
      </c>
      <c r="Z45" s="210">
        <v>0</v>
      </c>
      <c r="AA45" s="83"/>
      <c r="AB45" s="7">
        <v>2023</v>
      </c>
      <c r="AC45" s="14">
        <v>50</v>
      </c>
      <c r="AD45" s="17"/>
      <c r="AE45" s="7">
        <v>2023</v>
      </c>
      <c r="AF45" s="14">
        <v>33</v>
      </c>
      <c r="AG45" s="14"/>
      <c r="AH45" s="7">
        <v>2023</v>
      </c>
      <c r="AI45" s="21">
        <v>0</v>
      </c>
      <c r="AJ45" s="17"/>
      <c r="AK45" s="7">
        <v>2023</v>
      </c>
      <c r="AL45" s="82">
        <v>50</v>
      </c>
      <c r="AM45" s="86"/>
    </row>
    <row r="46" spans="1:51" ht="24.75" customHeight="1">
      <c r="A46" s="7">
        <v>2024</v>
      </c>
      <c r="B46" s="16">
        <f t="shared" si="6"/>
        <v>52.777777777777779</v>
      </c>
      <c r="C46" s="16"/>
      <c r="D46" s="7">
        <v>2024</v>
      </c>
      <c r="E46" s="14">
        <v>67</v>
      </c>
      <c r="F46" s="17"/>
      <c r="G46" s="7">
        <v>2024</v>
      </c>
      <c r="H46" s="82">
        <v>50</v>
      </c>
      <c r="I46" s="83" t="s">
        <v>1819</v>
      </c>
      <c r="J46" s="7">
        <v>2024</v>
      </c>
      <c r="K46" s="82">
        <v>50</v>
      </c>
      <c r="L46" s="83"/>
      <c r="M46" s="7">
        <v>2024</v>
      </c>
      <c r="N46" s="31">
        <f t="shared" si="5"/>
        <v>66.666666666666671</v>
      </c>
      <c r="O46" s="14"/>
      <c r="P46" s="7">
        <v>2024</v>
      </c>
      <c r="Q46" s="14">
        <v>50</v>
      </c>
      <c r="R46" s="17"/>
      <c r="S46" s="7">
        <v>2024</v>
      </c>
      <c r="T46" s="14">
        <v>50</v>
      </c>
      <c r="U46" s="17"/>
      <c r="V46" s="7">
        <v>2024</v>
      </c>
      <c r="W46" s="82">
        <v>100</v>
      </c>
      <c r="X46" s="83"/>
      <c r="Y46" s="7">
        <v>2024</v>
      </c>
      <c r="Z46" s="210">
        <v>0</v>
      </c>
      <c r="AA46" s="83"/>
      <c r="AB46" s="7">
        <v>2024</v>
      </c>
      <c r="AC46" s="14">
        <v>50</v>
      </c>
      <c r="AD46" s="17"/>
      <c r="AE46" s="7">
        <v>2024</v>
      </c>
      <c r="AF46" s="14">
        <v>33</v>
      </c>
      <c r="AG46" s="14"/>
      <c r="AH46" s="7">
        <v>2024</v>
      </c>
      <c r="AI46" s="21">
        <v>0</v>
      </c>
      <c r="AJ46" s="17"/>
      <c r="AK46" s="7">
        <v>2024</v>
      </c>
      <c r="AL46" s="82">
        <v>50</v>
      </c>
      <c r="AM46" s="86"/>
    </row>
    <row r="47" spans="1:51" ht="24.75" customHeight="1"/>
    <row r="48" spans="1:51" ht="24.75" customHeight="1">
      <c r="A48" s="5" t="s">
        <v>5</v>
      </c>
      <c r="B48" s="324" t="s">
        <v>181</v>
      </c>
      <c r="C48" s="324"/>
      <c r="D48" s="324"/>
      <c r="E48" s="324"/>
      <c r="F48" s="324"/>
      <c r="G48" s="324"/>
      <c r="H48" s="324"/>
      <c r="I48" s="324"/>
      <c r="J48" s="324"/>
      <c r="K48" s="324"/>
      <c r="L48" s="324"/>
      <c r="M48" s="324"/>
      <c r="N48" s="324"/>
      <c r="O48" s="324"/>
      <c r="P48" s="324"/>
      <c r="Q48" s="324"/>
      <c r="R48" s="324"/>
    </row>
    <row r="49" spans="1:24" ht="24.75" customHeight="1">
      <c r="A49" s="5" t="s">
        <v>7</v>
      </c>
      <c r="B49" s="318" t="s">
        <v>182</v>
      </c>
      <c r="C49" s="318"/>
      <c r="D49" s="5" t="s">
        <v>7</v>
      </c>
      <c r="E49" s="312" t="s">
        <v>183</v>
      </c>
      <c r="F49" s="312"/>
      <c r="G49" s="5" t="s">
        <v>7</v>
      </c>
      <c r="H49" s="312" t="s">
        <v>184</v>
      </c>
      <c r="I49" s="312"/>
      <c r="J49" s="5" t="s">
        <v>7</v>
      </c>
      <c r="K49" s="312" t="s">
        <v>185</v>
      </c>
      <c r="L49" s="312"/>
      <c r="M49" s="5" t="s">
        <v>7</v>
      </c>
      <c r="N49" s="312" t="s">
        <v>186</v>
      </c>
      <c r="O49" s="312"/>
      <c r="P49" s="5" t="s">
        <v>7</v>
      </c>
      <c r="Q49" s="312" t="s">
        <v>187</v>
      </c>
      <c r="R49" s="312"/>
    </row>
    <row r="50" spans="1:24" ht="24.75" customHeight="1">
      <c r="A50" s="5" t="s">
        <v>13</v>
      </c>
      <c r="B50" s="7"/>
      <c r="C50" s="7"/>
      <c r="D50" s="5" t="s">
        <v>13</v>
      </c>
      <c r="E50" s="8"/>
      <c r="F50" s="8"/>
      <c r="G50" s="5" t="s">
        <v>13</v>
      </c>
      <c r="H50" s="311"/>
      <c r="I50" s="311"/>
      <c r="J50" s="5" t="s">
        <v>13</v>
      </c>
      <c r="K50" s="311"/>
      <c r="L50" s="311"/>
      <c r="M50" s="5" t="s">
        <v>13</v>
      </c>
      <c r="N50" s="311"/>
      <c r="O50" s="311"/>
      <c r="P50" s="5" t="s">
        <v>13</v>
      </c>
      <c r="Q50" s="311"/>
      <c r="R50" s="311"/>
    </row>
    <row r="51" spans="1:24" ht="24.75" customHeight="1">
      <c r="A51" s="7" t="s">
        <v>19</v>
      </c>
      <c r="B51" s="322" t="s">
        <v>188</v>
      </c>
      <c r="C51" s="322"/>
      <c r="D51" s="7" t="s">
        <v>19</v>
      </c>
      <c r="E51" s="322" t="s">
        <v>189</v>
      </c>
      <c r="F51" s="322"/>
      <c r="G51" s="7" t="s">
        <v>19</v>
      </c>
      <c r="H51" s="322" t="s">
        <v>190</v>
      </c>
      <c r="I51" s="322"/>
      <c r="J51" s="7" t="s">
        <v>19</v>
      </c>
      <c r="K51" s="322" t="s">
        <v>191</v>
      </c>
      <c r="L51" s="322"/>
      <c r="M51" s="7" t="s">
        <v>19</v>
      </c>
      <c r="N51" s="322" t="s">
        <v>192</v>
      </c>
      <c r="O51" s="322"/>
      <c r="P51" s="7" t="s">
        <v>19</v>
      </c>
      <c r="Q51" s="322" t="s">
        <v>193</v>
      </c>
      <c r="R51" s="322"/>
    </row>
    <row r="52" spans="1:24" ht="24.75" customHeight="1">
      <c r="A52" s="7" t="s">
        <v>30</v>
      </c>
      <c r="B52" s="322" t="s">
        <v>31</v>
      </c>
      <c r="C52" s="322"/>
      <c r="D52" s="7" t="s">
        <v>30</v>
      </c>
      <c r="E52" s="310" t="s">
        <v>194</v>
      </c>
      <c r="F52" s="310"/>
      <c r="G52" s="7" t="s">
        <v>30</v>
      </c>
      <c r="H52" s="310" t="s">
        <v>195</v>
      </c>
      <c r="I52" s="310"/>
      <c r="J52" s="7" t="s">
        <v>30</v>
      </c>
      <c r="K52" s="359" t="s">
        <v>1820</v>
      </c>
      <c r="L52" s="310"/>
      <c r="M52" s="7" t="s">
        <v>30</v>
      </c>
      <c r="N52" s="325" t="s">
        <v>197</v>
      </c>
      <c r="O52" s="325"/>
      <c r="P52" s="7" t="s">
        <v>30</v>
      </c>
      <c r="Q52" s="310" t="s">
        <v>198</v>
      </c>
      <c r="R52" s="310"/>
    </row>
    <row r="53" spans="1:24" ht="24.75" customHeight="1">
      <c r="A53" s="7" t="s">
        <v>41</v>
      </c>
      <c r="B53" s="310" t="s">
        <v>42</v>
      </c>
      <c r="C53" s="310"/>
      <c r="D53" s="7" t="s">
        <v>41</v>
      </c>
      <c r="E53" s="358" t="s">
        <v>1090</v>
      </c>
      <c r="F53" s="325"/>
      <c r="G53" s="7" t="s">
        <v>41</v>
      </c>
      <c r="H53" s="310" t="s">
        <v>200</v>
      </c>
      <c r="I53" s="310"/>
      <c r="J53" s="7" t="s">
        <v>41</v>
      </c>
      <c r="K53" s="359" t="s">
        <v>1266</v>
      </c>
      <c r="L53" s="310"/>
      <c r="M53" s="7" t="s">
        <v>41</v>
      </c>
      <c r="N53" s="361" t="s">
        <v>1821</v>
      </c>
      <c r="O53" s="325"/>
      <c r="P53" s="7" t="s">
        <v>41</v>
      </c>
      <c r="Q53" s="358" t="s">
        <v>1094</v>
      </c>
      <c r="R53" s="325"/>
    </row>
    <row r="54" spans="1:24" ht="24.75" customHeight="1">
      <c r="A54" s="7" t="s">
        <v>1</v>
      </c>
      <c r="B54" s="7" t="s">
        <v>52</v>
      </c>
      <c r="C54" s="7" t="s">
        <v>53</v>
      </c>
      <c r="D54" s="7" t="s">
        <v>121</v>
      </c>
      <c r="E54" s="7" t="s">
        <v>54</v>
      </c>
      <c r="F54" s="7" t="s">
        <v>122</v>
      </c>
      <c r="G54" s="7" t="s">
        <v>121</v>
      </c>
      <c r="H54" s="7" t="s">
        <v>54</v>
      </c>
      <c r="I54" s="7" t="s">
        <v>122</v>
      </c>
      <c r="J54" s="7" t="s">
        <v>121</v>
      </c>
      <c r="K54" s="7" t="s">
        <v>54</v>
      </c>
      <c r="L54" s="7" t="s">
        <v>122</v>
      </c>
      <c r="M54" s="7" t="s">
        <v>121</v>
      </c>
      <c r="N54" s="7" t="s">
        <v>54</v>
      </c>
      <c r="O54" s="7" t="s">
        <v>122</v>
      </c>
      <c r="P54" s="7" t="s">
        <v>121</v>
      </c>
      <c r="Q54" s="7" t="s">
        <v>54</v>
      </c>
      <c r="R54" s="7" t="s">
        <v>122</v>
      </c>
    </row>
    <row r="55" spans="1:24" ht="24.75" customHeight="1">
      <c r="A55" s="7">
        <v>2020</v>
      </c>
      <c r="B55" s="15">
        <f t="shared" ref="B55:B59" si="7">AVERAGE(E55,H55,K55,N55,Q55)</f>
        <v>40</v>
      </c>
      <c r="C55" s="16"/>
      <c r="D55" s="7">
        <v>2020</v>
      </c>
      <c r="E55" s="82">
        <v>25</v>
      </c>
      <c r="F55" s="86" t="s">
        <v>1822</v>
      </c>
      <c r="G55" s="7">
        <v>2020</v>
      </c>
      <c r="H55" s="14">
        <v>0</v>
      </c>
      <c r="I55" s="241" t="s">
        <v>1823</v>
      </c>
      <c r="J55" s="7">
        <v>2020</v>
      </c>
      <c r="K55" s="14">
        <v>25</v>
      </c>
      <c r="L55" s="17" t="s">
        <v>1824</v>
      </c>
      <c r="M55" s="7">
        <v>2020</v>
      </c>
      <c r="N55" s="82">
        <v>100</v>
      </c>
      <c r="O55" s="242" t="s">
        <v>1825</v>
      </c>
      <c r="P55" s="7">
        <v>2020</v>
      </c>
      <c r="Q55" s="82">
        <v>50</v>
      </c>
      <c r="R55" s="86"/>
    </row>
    <row r="56" spans="1:24" ht="24.75" customHeight="1">
      <c r="A56" s="7">
        <v>2021</v>
      </c>
      <c r="B56" s="15">
        <f t="shared" si="7"/>
        <v>40</v>
      </c>
      <c r="C56" s="15"/>
      <c r="D56" s="7">
        <v>2021</v>
      </c>
      <c r="E56" s="82">
        <v>25</v>
      </c>
      <c r="F56" s="83"/>
      <c r="G56" s="7">
        <v>2021</v>
      </c>
      <c r="H56" s="14">
        <v>0</v>
      </c>
      <c r="I56" s="17"/>
      <c r="J56" s="7">
        <v>2021</v>
      </c>
      <c r="K56" s="14">
        <v>25</v>
      </c>
      <c r="L56" s="17"/>
      <c r="M56" s="7">
        <v>2021</v>
      </c>
      <c r="N56" s="82">
        <v>100</v>
      </c>
      <c r="O56" s="83"/>
      <c r="P56" s="7">
        <v>2021</v>
      </c>
      <c r="Q56" s="82">
        <v>50</v>
      </c>
      <c r="R56" s="86"/>
    </row>
    <row r="57" spans="1:24" ht="24.75" customHeight="1">
      <c r="A57" s="7">
        <v>2022</v>
      </c>
      <c r="B57" s="15">
        <f t="shared" si="7"/>
        <v>40</v>
      </c>
      <c r="C57" s="15"/>
      <c r="D57" s="7">
        <v>2022</v>
      </c>
      <c r="E57" s="82">
        <v>25</v>
      </c>
      <c r="F57" s="83"/>
      <c r="G57" s="7">
        <v>2022</v>
      </c>
      <c r="H57" s="14">
        <v>0</v>
      </c>
      <c r="I57" s="17"/>
      <c r="J57" s="7">
        <v>2022</v>
      </c>
      <c r="K57" s="21">
        <v>25</v>
      </c>
      <c r="L57" s="17"/>
      <c r="M57" s="7">
        <v>2022</v>
      </c>
      <c r="N57" s="82">
        <v>100</v>
      </c>
      <c r="O57" s="83"/>
      <c r="P57" s="7">
        <v>2022</v>
      </c>
      <c r="Q57" s="82">
        <v>50</v>
      </c>
      <c r="R57" s="86"/>
    </row>
    <row r="58" spans="1:24" ht="24.75" customHeight="1">
      <c r="A58" s="7">
        <v>2023</v>
      </c>
      <c r="B58" s="15">
        <f t="shared" si="7"/>
        <v>40</v>
      </c>
      <c r="C58" s="15"/>
      <c r="D58" s="7">
        <v>2023</v>
      </c>
      <c r="E58" s="82">
        <v>25</v>
      </c>
      <c r="F58" s="83"/>
      <c r="G58" s="7">
        <v>2023</v>
      </c>
      <c r="H58" s="14">
        <v>0</v>
      </c>
      <c r="I58" s="17"/>
      <c r="J58" s="7">
        <v>2023</v>
      </c>
      <c r="K58" s="14">
        <v>25</v>
      </c>
      <c r="L58" s="241" t="s">
        <v>1826</v>
      </c>
      <c r="M58" s="7">
        <v>2023</v>
      </c>
      <c r="N58" s="82">
        <v>100</v>
      </c>
      <c r="O58" s="83"/>
      <c r="P58" s="7">
        <v>2023</v>
      </c>
      <c r="Q58" s="82">
        <v>50</v>
      </c>
      <c r="R58" s="86" t="s">
        <v>1827</v>
      </c>
    </row>
    <row r="59" spans="1:24" ht="24.75" customHeight="1">
      <c r="A59" s="7">
        <v>2024</v>
      </c>
      <c r="B59" s="15">
        <f t="shared" si="7"/>
        <v>40</v>
      </c>
      <c r="C59" s="15"/>
      <c r="D59" s="7">
        <v>2024</v>
      </c>
      <c r="E59" s="82">
        <v>25</v>
      </c>
      <c r="F59" s="83"/>
      <c r="G59" s="7">
        <v>2024</v>
      </c>
      <c r="H59" s="14">
        <v>0</v>
      </c>
      <c r="I59" s="17"/>
      <c r="J59" s="7">
        <v>2024</v>
      </c>
      <c r="K59" s="14">
        <v>25</v>
      </c>
      <c r="L59" s="17"/>
      <c r="M59" s="7">
        <v>2024</v>
      </c>
      <c r="N59" s="82">
        <v>100</v>
      </c>
      <c r="O59" s="83"/>
      <c r="P59" s="7">
        <v>2024</v>
      </c>
      <c r="Q59" s="82">
        <v>50</v>
      </c>
      <c r="R59" s="86"/>
    </row>
    <row r="60" spans="1:24" ht="24.75" customHeight="1"/>
    <row r="61" spans="1:24" ht="24.75" customHeight="1">
      <c r="A61" s="5" t="s">
        <v>5</v>
      </c>
      <c r="B61" s="324" t="s">
        <v>204</v>
      </c>
      <c r="C61" s="324"/>
      <c r="D61" s="324"/>
      <c r="E61" s="324"/>
      <c r="F61" s="324"/>
      <c r="G61" s="324"/>
      <c r="H61" s="324"/>
      <c r="I61" s="324"/>
      <c r="J61" s="324"/>
      <c r="K61" s="324"/>
      <c r="L61" s="324"/>
      <c r="M61" s="324"/>
      <c r="N61" s="324"/>
      <c r="O61" s="324"/>
      <c r="P61" s="324"/>
      <c r="Q61" s="324"/>
      <c r="R61" s="324"/>
      <c r="S61" s="324"/>
      <c r="T61" s="324"/>
      <c r="U61" s="324"/>
      <c r="V61" s="324"/>
      <c r="W61" s="324"/>
      <c r="X61" s="324"/>
    </row>
    <row r="62" spans="1:24" ht="24.75" customHeight="1">
      <c r="A62" s="5" t="s">
        <v>7</v>
      </c>
      <c r="B62" s="318" t="s">
        <v>205</v>
      </c>
      <c r="C62" s="318"/>
      <c r="D62" s="5" t="s">
        <v>7</v>
      </c>
      <c r="E62" s="312" t="s">
        <v>206</v>
      </c>
      <c r="F62" s="312"/>
      <c r="G62" s="5" t="s">
        <v>7</v>
      </c>
      <c r="H62" s="312" t="s">
        <v>207</v>
      </c>
      <c r="I62" s="312"/>
      <c r="J62" s="5" t="s">
        <v>7</v>
      </c>
      <c r="K62" s="312" t="s">
        <v>208</v>
      </c>
      <c r="L62" s="312"/>
      <c r="M62" s="5" t="s">
        <v>7</v>
      </c>
      <c r="N62" s="312" t="s">
        <v>209</v>
      </c>
      <c r="O62" s="312"/>
      <c r="P62" s="5" t="s">
        <v>7</v>
      </c>
      <c r="Q62" s="312" t="s">
        <v>210</v>
      </c>
      <c r="R62" s="312"/>
      <c r="S62" s="5" t="s">
        <v>7</v>
      </c>
      <c r="T62" s="312" t="s">
        <v>211</v>
      </c>
      <c r="U62" s="312"/>
      <c r="V62" s="5" t="s">
        <v>7</v>
      </c>
      <c r="W62" s="312" t="s">
        <v>212</v>
      </c>
      <c r="X62" s="312"/>
    </row>
    <row r="63" spans="1:24" ht="24.75" customHeight="1">
      <c r="A63" s="5" t="s">
        <v>13</v>
      </c>
      <c r="B63" s="7"/>
      <c r="C63" s="7"/>
      <c r="D63" s="5" t="s">
        <v>13</v>
      </c>
      <c r="E63" s="8"/>
      <c r="F63" s="8"/>
      <c r="G63" s="5" t="s">
        <v>13</v>
      </c>
      <c r="H63" s="311"/>
      <c r="I63" s="311"/>
      <c r="J63" s="5" t="s">
        <v>13</v>
      </c>
      <c r="K63" s="311"/>
      <c r="L63" s="311"/>
      <c r="M63" s="5" t="s">
        <v>13</v>
      </c>
      <c r="N63" s="311"/>
      <c r="O63" s="311"/>
      <c r="P63" s="5" t="s">
        <v>13</v>
      </c>
      <c r="Q63" s="311"/>
      <c r="R63" s="311"/>
      <c r="S63" s="5" t="s">
        <v>13</v>
      </c>
      <c r="T63" s="311"/>
      <c r="U63" s="311"/>
      <c r="V63" s="5" t="s">
        <v>13</v>
      </c>
      <c r="W63" s="311"/>
      <c r="X63" s="311"/>
    </row>
    <row r="64" spans="1:24" ht="24.75" customHeight="1">
      <c r="A64" s="7" t="s">
        <v>19</v>
      </c>
      <c r="B64" s="322" t="s">
        <v>213</v>
      </c>
      <c r="C64" s="322"/>
      <c r="D64" s="7" t="s">
        <v>19</v>
      </c>
      <c r="E64" s="322" t="s">
        <v>214</v>
      </c>
      <c r="F64" s="322"/>
      <c r="G64" s="7" t="s">
        <v>19</v>
      </c>
      <c r="H64" s="322" t="s">
        <v>215</v>
      </c>
      <c r="I64" s="322"/>
      <c r="J64" s="7" t="s">
        <v>19</v>
      </c>
      <c r="K64" s="322" t="s">
        <v>88</v>
      </c>
      <c r="L64" s="322"/>
      <c r="M64" s="7" t="s">
        <v>19</v>
      </c>
      <c r="N64" s="322" t="s">
        <v>216</v>
      </c>
      <c r="O64" s="322"/>
      <c r="P64" s="7" t="s">
        <v>19</v>
      </c>
      <c r="Q64" s="322" t="s">
        <v>217</v>
      </c>
      <c r="R64" s="322"/>
      <c r="S64" s="7" t="s">
        <v>19</v>
      </c>
      <c r="T64" s="322" t="s">
        <v>218</v>
      </c>
      <c r="U64" s="322"/>
      <c r="V64" s="7" t="s">
        <v>19</v>
      </c>
      <c r="W64" s="322" t="s">
        <v>219</v>
      </c>
      <c r="X64" s="322"/>
    </row>
    <row r="65" spans="1:27" ht="24.75" customHeight="1">
      <c r="A65" s="7" t="s">
        <v>30</v>
      </c>
      <c r="B65" s="322" t="s">
        <v>31</v>
      </c>
      <c r="C65" s="322"/>
      <c r="D65" s="7" t="s">
        <v>30</v>
      </c>
      <c r="E65" s="310" t="s">
        <v>220</v>
      </c>
      <c r="F65" s="310"/>
      <c r="G65" s="7" t="s">
        <v>30</v>
      </c>
      <c r="H65" s="310" t="s">
        <v>221</v>
      </c>
      <c r="I65" s="310"/>
      <c r="J65" s="7" t="s">
        <v>30</v>
      </c>
      <c r="K65" s="310" t="s">
        <v>101</v>
      </c>
      <c r="L65" s="310"/>
      <c r="M65" s="7" t="s">
        <v>30</v>
      </c>
      <c r="N65" s="310" t="s">
        <v>222</v>
      </c>
      <c r="O65" s="310"/>
      <c r="P65" s="7" t="s">
        <v>30</v>
      </c>
      <c r="Q65" s="310" t="s">
        <v>217</v>
      </c>
      <c r="R65" s="310"/>
      <c r="S65" s="7" t="s">
        <v>30</v>
      </c>
      <c r="T65" s="310" t="s">
        <v>223</v>
      </c>
      <c r="U65" s="310"/>
      <c r="V65" s="7" t="s">
        <v>30</v>
      </c>
      <c r="W65" s="309" t="s">
        <v>224</v>
      </c>
      <c r="X65" s="309"/>
    </row>
    <row r="66" spans="1:27" ht="24.75" customHeight="1">
      <c r="A66" s="7" t="s">
        <v>41</v>
      </c>
      <c r="B66" s="310" t="s">
        <v>42</v>
      </c>
      <c r="C66" s="310"/>
      <c r="D66" s="7" t="s">
        <v>41</v>
      </c>
      <c r="E66" s="325" t="s">
        <v>225</v>
      </c>
      <c r="F66" s="325"/>
      <c r="G66" s="7" t="s">
        <v>41</v>
      </c>
      <c r="H66" s="310" t="s">
        <v>226</v>
      </c>
      <c r="I66" s="310"/>
      <c r="J66" s="7" t="s">
        <v>41</v>
      </c>
      <c r="K66" s="359" t="s">
        <v>1828</v>
      </c>
      <c r="L66" s="310"/>
      <c r="M66" s="7" t="s">
        <v>41</v>
      </c>
      <c r="N66" s="310" t="s">
        <v>227</v>
      </c>
      <c r="O66" s="310"/>
      <c r="P66" s="7" t="s">
        <v>41</v>
      </c>
      <c r="Q66" s="310" t="s">
        <v>228</v>
      </c>
      <c r="R66" s="310"/>
      <c r="S66" s="7" t="s">
        <v>41</v>
      </c>
      <c r="T66" s="322" t="s">
        <v>229</v>
      </c>
      <c r="U66" s="310"/>
      <c r="V66" s="7" t="s">
        <v>41</v>
      </c>
      <c r="W66" s="310" t="s">
        <v>230</v>
      </c>
      <c r="X66" s="310"/>
    </row>
    <row r="67" spans="1:27" ht="24.75" customHeight="1">
      <c r="A67" s="7" t="s">
        <v>1</v>
      </c>
      <c r="B67" s="7" t="s">
        <v>52</v>
      </c>
      <c r="C67" s="7" t="s">
        <v>53</v>
      </c>
      <c r="D67" s="7" t="s">
        <v>121</v>
      </c>
      <c r="E67" s="7" t="s">
        <v>54</v>
      </c>
      <c r="F67" s="7" t="s">
        <v>122</v>
      </c>
      <c r="G67" s="7" t="s">
        <v>121</v>
      </c>
      <c r="H67" s="7" t="s">
        <v>54</v>
      </c>
      <c r="I67" s="7" t="s">
        <v>122</v>
      </c>
      <c r="J67" s="7" t="s">
        <v>121</v>
      </c>
      <c r="K67" s="7" t="s">
        <v>54</v>
      </c>
      <c r="L67" s="7" t="s">
        <v>122</v>
      </c>
      <c r="M67" s="7" t="s">
        <v>121</v>
      </c>
      <c r="N67" s="7" t="s">
        <v>54</v>
      </c>
      <c r="O67" s="7" t="s">
        <v>122</v>
      </c>
      <c r="P67" s="7" t="s">
        <v>121</v>
      </c>
      <c r="Q67" s="7" t="s">
        <v>54</v>
      </c>
      <c r="R67" s="7" t="s">
        <v>122</v>
      </c>
      <c r="S67" s="7" t="s">
        <v>121</v>
      </c>
      <c r="T67" s="7" t="s">
        <v>54</v>
      </c>
      <c r="U67" s="7" t="s">
        <v>122</v>
      </c>
      <c r="V67" s="7" t="s">
        <v>121</v>
      </c>
      <c r="W67" s="7" t="s">
        <v>54</v>
      </c>
      <c r="X67" s="7" t="s">
        <v>122</v>
      </c>
    </row>
    <row r="68" spans="1:27" ht="24.75" customHeight="1">
      <c r="A68" s="7">
        <v>2020</v>
      </c>
      <c r="B68" s="15">
        <f t="shared" ref="B68:B72" si="8">AVERAGE(E68,((H68+K68)/2),((N68+Q68+T68)/3),W68)</f>
        <v>77.083333333333329</v>
      </c>
      <c r="C68" s="16"/>
      <c r="D68" s="7">
        <v>2020</v>
      </c>
      <c r="E68" s="21">
        <v>50</v>
      </c>
      <c r="F68" s="17"/>
      <c r="G68" s="7">
        <v>2020</v>
      </c>
      <c r="H68" s="82">
        <v>100</v>
      </c>
      <c r="I68" s="83"/>
      <c r="J68" s="7">
        <v>2020</v>
      </c>
      <c r="K68" s="243">
        <v>50</v>
      </c>
      <c r="L68" s="83" t="s">
        <v>1829</v>
      </c>
      <c r="M68" s="7">
        <v>2020</v>
      </c>
      <c r="N68" s="14">
        <v>100</v>
      </c>
      <c r="O68" s="17" t="s">
        <v>1830</v>
      </c>
      <c r="P68" s="7">
        <v>2020</v>
      </c>
      <c r="Q68" s="14">
        <v>100</v>
      </c>
      <c r="R68" s="17" t="s">
        <v>1831</v>
      </c>
      <c r="S68" s="7">
        <v>2020</v>
      </c>
      <c r="T68" s="14">
        <v>50</v>
      </c>
      <c r="U68" s="17" t="s">
        <v>1832</v>
      </c>
      <c r="V68" s="7">
        <v>2020</v>
      </c>
      <c r="W68" s="14">
        <v>100</v>
      </c>
      <c r="X68" s="23"/>
    </row>
    <row r="69" spans="1:27" ht="24.75" customHeight="1">
      <c r="A69" s="7">
        <v>2021</v>
      </c>
      <c r="B69" s="15">
        <f t="shared" si="8"/>
        <v>70.833333333333329</v>
      </c>
      <c r="C69" s="15"/>
      <c r="D69" s="7">
        <v>2021</v>
      </c>
      <c r="E69" s="21">
        <v>50</v>
      </c>
      <c r="G69" s="7">
        <v>2021</v>
      </c>
      <c r="H69" s="82">
        <v>100</v>
      </c>
      <c r="I69" s="83" t="s">
        <v>1833</v>
      </c>
      <c r="J69" s="7">
        <v>2021</v>
      </c>
      <c r="K69" s="243">
        <v>0</v>
      </c>
      <c r="L69" s="244" t="s">
        <v>1834</v>
      </c>
      <c r="M69" s="7">
        <v>2021</v>
      </c>
      <c r="N69" s="14">
        <v>100</v>
      </c>
      <c r="O69" s="17"/>
      <c r="P69" s="7">
        <v>2021</v>
      </c>
      <c r="Q69" s="14">
        <v>100</v>
      </c>
      <c r="R69" s="17"/>
      <c r="S69" s="7">
        <v>2021</v>
      </c>
      <c r="T69" s="14">
        <v>50</v>
      </c>
      <c r="U69" s="17"/>
      <c r="V69" s="7">
        <v>2021</v>
      </c>
      <c r="W69" s="14">
        <v>100</v>
      </c>
      <c r="X69" s="23"/>
    </row>
    <row r="70" spans="1:27" ht="24.75" customHeight="1">
      <c r="A70" s="7">
        <v>2022</v>
      </c>
      <c r="B70" s="15">
        <f t="shared" si="8"/>
        <v>70.833333333333329</v>
      </c>
      <c r="C70" s="15"/>
      <c r="D70" s="7">
        <v>2022</v>
      </c>
      <c r="E70" s="21">
        <v>50</v>
      </c>
      <c r="F70" s="17" t="s">
        <v>1835</v>
      </c>
      <c r="G70" s="7">
        <v>2022</v>
      </c>
      <c r="H70" s="82">
        <v>100</v>
      </c>
      <c r="I70" s="83"/>
      <c r="J70" s="7">
        <v>2022</v>
      </c>
      <c r="K70" s="243">
        <v>0</v>
      </c>
      <c r="L70" s="83"/>
      <c r="M70" s="7">
        <v>2022</v>
      </c>
      <c r="N70" s="14">
        <v>100</v>
      </c>
      <c r="O70" s="17"/>
      <c r="P70" s="7">
        <v>2022</v>
      </c>
      <c r="Q70" s="14">
        <v>100</v>
      </c>
      <c r="R70" s="17"/>
      <c r="S70" s="7">
        <v>2022</v>
      </c>
      <c r="T70" s="14">
        <v>50</v>
      </c>
      <c r="U70" s="17"/>
      <c r="V70" s="7">
        <v>2022</v>
      </c>
      <c r="W70" s="14">
        <v>100</v>
      </c>
      <c r="X70" s="23"/>
    </row>
    <row r="71" spans="1:27" ht="24.75" customHeight="1">
      <c r="A71" s="7">
        <v>2023</v>
      </c>
      <c r="B71" s="15">
        <f t="shared" si="8"/>
        <v>70.833333333333329</v>
      </c>
      <c r="C71" s="15"/>
      <c r="D71" s="7">
        <v>2023</v>
      </c>
      <c r="E71" s="21">
        <v>50</v>
      </c>
      <c r="F71" s="17"/>
      <c r="G71" s="7">
        <v>2023</v>
      </c>
      <c r="H71" s="82">
        <v>100</v>
      </c>
      <c r="I71" s="83"/>
      <c r="J71" s="7">
        <v>2023</v>
      </c>
      <c r="K71" s="243">
        <v>0</v>
      </c>
      <c r="L71" s="83"/>
      <c r="M71" s="7">
        <v>2023</v>
      </c>
      <c r="N71" s="14">
        <v>100</v>
      </c>
      <c r="O71" s="17"/>
      <c r="P71" s="7">
        <v>2023</v>
      </c>
      <c r="Q71" s="14">
        <v>100</v>
      </c>
      <c r="R71" s="17"/>
      <c r="S71" s="7">
        <v>2023</v>
      </c>
      <c r="T71" s="14">
        <v>50</v>
      </c>
      <c r="U71" s="17"/>
      <c r="V71" s="7">
        <v>2023</v>
      </c>
      <c r="W71" s="14">
        <v>100</v>
      </c>
      <c r="X71" s="23"/>
    </row>
    <row r="72" spans="1:27" ht="24.75" customHeight="1">
      <c r="A72" s="7">
        <v>2024</v>
      </c>
      <c r="B72" s="15">
        <f t="shared" si="8"/>
        <v>58.333333333333329</v>
      </c>
      <c r="C72" s="15"/>
      <c r="D72" s="7">
        <v>2024</v>
      </c>
      <c r="E72" s="21">
        <v>50</v>
      </c>
      <c r="F72" s="17" t="s">
        <v>1836</v>
      </c>
      <c r="G72" s="7">
        <v>2024</v>
      </c>
      <c r="H72" s="82">
        <v>0</v>
      </c>
      <c r="I72" s="83" t="s">
        <v>1835</v>
      </c>
      <c r="J72" s="7">
        <v>2024</v>
      </c>
      <c r="K72" s="243">
        <v>0</v>
      </c>
      <c r="L72" s="83"/>
      <c r="M72" s="7">
        <v>2024</v>
      </c>
      <c r="N72" s="14">
        <v>100</v>
      </c>
      <c r="O72" s="17"/>
      <c r="P72" s="7">
        <v>2024</v>
      </c>
      <c r="Q72" s="14">
        <v>100</v>
      </c>
      <c r="R72" s="17"/>
      <c r="S72" s="7">
        <v>2024</v>
      </c>
      <c r="T72" s="14">
        <v>50</v>
      </c>
      <c r="U72" s="17"/>
      <c r="V72" s="7">
        <v>2024</v>
      </c>
      <c r="W72" s="14">
        <v>100</v>
      </c>
      <c r="X72" s="23"/>
    </row>
    <row r="73" spans="1:27" ht="24.75" customHeight="1"/>
    <row r="74" spans="1:27" ht="24.75" customHeight="1">
      <c r="A74" s="5" t="s">
        <v>5</v>
      </c>
      <c r="B74" s="324" t="s">
        <v>232</v>
      </c>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row>
    <row r="75" spans="1:27" ht="24.75" customHeight="1">
      <c r="A75" s="5" t="s">
        <v>7</v>
      </c>
      <c r="B75" s="318" t="s">
        <v>233</v>
      </c>
      <c r="C75" s="318"/>
      <c r="D75" s="5" t="s">
        <v>7</v>
      </c>
      <c r="E75" s="312" t="s">
        <v>234</v>
      </c>
      <c r="F75" s="312"/>
      <c r="G75" s="5" t="s">
        <v>7</v>
      </c>
      <c r="H75" s="312" t="s">
        <v>235</v>
      </c>
      <c r="I75" s="312"/>
      <c r="J75" s="5" t="s">
        <v>7</v>
      </c>
      <c r="K75" s="312" t="s">
        <v>236</v>
      </c>
      <c r="L75" s="312"/>
      <c r="M75" s="5" t="s">
        <v>7</v>
      </c>
      <c r="N75" s="312"/>
      <c r="O75" s="312"/>
      <c r="P75" s="5" t="s">
        <v>7</v>
      </c>
      <c r="Q75" s="312"/>
      <c r="R75" s="312"/>
      <c r="S75" s="5" t="s">
        <v>7</v>
      </c>
      <c r="T75" s="312"/>
      <c r="U75" s="312"/>
      <c r="V75" s="5" t="s">
        <v>7</v>
      </c>
      <c r="W75" s="312"/>
      <c r="X75" s="312"/>
      <c r="Y75" s="5" t="s">
        <v>7</v>
      </c>
      <c r="Z75" s="312" t="s">
        <v>237</v>
      </c>
      <c r="AA75" s="312"/>
    </row>
    <row r="76" spans="1:27" ht="24.75" customHeight="1">
      <c r="A76" s="5" t="s">
        <v>13</v>
      </c>
      <c r="B76" s="7"/>
      <c r="C76" s="7"/>
      <c r="D76" s="5" t="s">
        <v>13</v>
      </c>
      <c r="E76" s="8"/>
      <c r="F76" s="8"/>
      <c r="G76" s="5" t="s">
        <v>13</v>
      </c>
      <c r="H76" s="311"/>
      <c r="I76" s="311"/>
      <c r="J76" s="5" t="s">
        <v>13</v>
      </c>
      <c r="K76" s="311"/>
      <c r="L76" s="311"/>
      <c r="M76" s="5" t="s">
        <v>13</v>
      </c>
      <c r="N76" s="311" t="s">
        <v>238</v>
      </c>
      <c r="O76" s="311"/>
      <c r="P76" s="5" t="s">
        <v>13</v>
      </c>
      <c r="Q76" s="311" t="s">
        <v>239</v>
      </c>
      <c r="R76" s="311"/>
      <c r="S76" s="5" t="s">
        <v>13</v>
      </c>
      <c r="T76" s="311" t="s">
        <v>240</v>
      </c>
      <c r="U76" s="311"/>
      <c r="V76" s="5" t="s">
        <v>13</v>
      </c>
      <c r="W76" s="311" t="s">
        <v>241</v>
      </c>
      <c r="X76" s="311"/>
      <c r="Y76" s="5" t="s">
        <v>13</v>
      </c>
      <c r="Z76" s="311"/>
      <c r="AA76" s="311"/>
    </row>
    <row r="77" spans="1:27" ht="24.75" customHeight="1">
      <c r="A77" s="7" t="s">
        <v>19</v>
      </c>
      <c r="B77" s="322" t="s">
        <v>242</v>
      </c>
      <c r="C77" s="322"/>
      <c r="D77" s="7" t="s">
        <v>19</v>
      </c>
      <c r="E77" s="322" t="s">
        <v>243</v>
      </c>
      <c r="F77" s="322"/>
      <c r="G77" s="7" t="s">
        <v>19</v>
      </c>
      <c r="H77" s="327" t="s">
        <v>244</v>
      </c>
      <c r="I77" s="327"/>
      <c r="J77" s="7" t="s">
        <v>19</v>
      </c>
      <c r="K77" s="322" t="s">
        <v>245</v>
      </c>
      <c r="L77" s="322"/>
      <c r="M77" s="7" t="s">
        <v>19</v>
      </c>
      <c r="N77" s="322" t="s">
        <v>246</v>
      </c>
      <c r="O77" s="322"/>
      <c r="P77" s="7" t="s">
        <v>19</v>
      </c>
      <c r="Q77" s="322" t="s">
        <v>247</v>
      </c>
      <c r="R77" s="322"/>
      <c r="S77" s="7" t="s">
        <v>19</v>
      </c>
      <c r="T77" s="322" t="s">
        <v>88</v>
      </c>
      <c r="U77" s="322"/>
      <c r="V77" s="7" t="s">
        <v>19</v>
      </c>
      <c r="W77" s="322" t="s">
        <v>248</v>
      </c>
      <c r="X77" s="322"/>
      <c r="Y77" s="7" t="s">
        <v>19</v>
      </c>
      <c r="Z77" s="322" t="s">
        <v>249</v>
      </c>
      <c r="AA77" s="322"/>
    </row>
    <row r="78" spans="1:27" ht="24.75" customHeight="1">
      <c r="A78" s="7" t="s">
        <v>30</v>
      </c>
      <c r="B78" s="322" t="s">
        <v>31</v>
      </c>
      <c r="C78" s="322"/>
      <c r="D78" s="7" t="s">
        <v>30</v>
      </c>
      <c r="E78" s="310" t="s">
        <v>250</v>
      </c>
      <c r="F78" s="310"/>
      <c r="G78" s="7" t="s">
        <v>30</v>
      </c>
      <c r="H78" s="325" t="s">
        <v>251</v>
      </c>
      <c r="I78" s="325"/>
      <c r="J78" s="7" t="s">
        <v>30</v>
      </c>
      <c r="K78" s="310" t="s">
        <v>252</v>
      </c>
      <c r="L78" s="310"/>
      <c r="M78" s="7" t="s">
        <v>30</v>
      </c>
      <c r="N78" s="310" t="s">
        <v>253</v>
      </c>
      <c r="O78" s="310"/>
      <c r="P78" s="7" t="s">
        <v>30</v>
      </c>
      <c r="Q78" s="310" t="s">
        <v>254</v>
      </c>
      <c r="R78" s="310"/>
      <c r="S78" s="7" t="s">
        <v>30</v>
      </c>
      <c r="T78" s="310" t="s">
        <v>255</v>
      </c>
      <c r="U78" s="310"/>
      <c r="V78" s="7" t="s">
        <v>30</v>
      </c>
      <c r="W78" s="310" t="s">
        <v>256</v>
      </c>
      <c r="X78" s="310"/>
      <c r="Y78" s="7" t="s">
        <v>30</v>
      </c>
      <c r="Z78" s="310" t="s">
        <v>257</v>
      </c>
      <c r="AA78" s="310"/>
    </row>
    <row r="79" spans="1:27" ht="24.75" customHeight="1">
      <c r="A79" s="7" t="s">
        <v>41</v>
      </c>
      <c r="B79" s="310" t="s">
        <v>42</v>
      </c>
      <c r="C79" s="310"/>
      <c r="D79" s="7" t="s">
        <v>41</v>
      </c>
      <c r="E79" s="322" t="s">
        <v>258</v>
      </c>
      <c r="F79" s="310"/>
      <c r="G79" s="7" t="s">
        <v>41</v>
      </c>
      <c r="H79" s="325" t="s">
        <v>259</v>
      </c>
      <c r="I79" s="325"/>
      <c r="J79" s="7" t="s">
        <v>41</v>
      </c>
      <c r="K79" s="310" t="s">
        <v>42</v>
      </c>
      <c r="L79" s="310"/>
      <c r="M79" s="7" t="s">
        <v>41</v>
      </c>
      <c r="N79" s="359" t="s">
        <v>1117</v>
      </c>
      <c r="O79" s="310"/>
      <c r="P79" s="7" t="s">
        <v>41</v>
      </c>
      <c r="Q79" s="359" t="s">
        <v>1118</v>
      </c>
      <c r="R79" s="310"/>
      <c r="S79" s="7" t="s">
        <v>41</v>
      </c>
      <c r="T79" s="359" t="s">
        <v>1119</v>
      </c>
      <c r="U79" s="310"/>
      <c r="V79" s="7" t="s">
        <v>41</v>
      </c>
      <c r="W79" s="310" t="s">
        <v>263</v>
      </c>
      <c r="X79" s="310"/>
      <c r="Y79" s="7" t="s">
        <v>41</v>
      </c>
      <c r="Z79" s="361" t="s">
        <v>1837</v>
      </c>
      <c r="AA79" s="325"/>
    </row>
    <row r="80" spans="1:27" ht="24.75" customHeight="1">
      <c r="A80" s="7" t="s">
        <v>121</v>
      </c>
      <c r="B80" s="7" t="s">
        <v>54</v>
      </c>
      <c r="C80" s="7" t="s">
        <v>122</v>
      </c>
      <c r="D80" s="7" t="s">
        <v>121</v>
      </c>
      <c r="E80" s="7" t="s">
        <v>54</v>
      </c>
      <c r="F80" s="7" t="s">
        <v>122</v>
      </c>
      <c r="G80" s="7" t="s">
        <v>121</v>
      </c>
      <c r="H80" s="7" t="s">
        <v>54</v>
      </c>
      <c r="I80" s="7" t="s">
        <v>122</v>
      </c>
      <c r="J80" s="7" t="s">
        <v>121</v>
      </c>
      <c r="K80" s="7" t="s">
        <v>54</v>
      </c>
      <c r="L80" s="7" t="s">
        <v>122</v>
      </c>
      <c r="M80" s="7" t="s">
        <v>121</v>
      </c>
      <c r="N80" s="7" t="s">
        <v>54</v>
      </c>
      <c r="O80" s="7" t="s">
        <v>122</v>
      </c>
      <c r="P80" s="7" t="s">
        <v>121</v>
      </c>
      <c r="Q80" s="7" t="s">
        <v>54</v>
      </c>
      <c r="R80" s="7" t="s">
        <v>122</v>
      </c>
      <c r="S80" s="7" t="s">
        <v>121</v>
      </c>
      <c r="T80" s="7" t="s">
        <v>54</v>
      </c>
      <c r="U80" s="7" t="s">
        <v>122</v>
      </c>
      <c r="V80" s="7" t="s">
        <v>121</v>
      </c>
      <c r="W80" s="7" t="s">
        <v>54</v>
      </c>
      <c r="X80" s="7" t="s">
        <v>122</v>
      </c>
      <c r="Y80" s="7" t="s">
        <v>121</v>
      </c>
      <c r="Z80" s="7" t="s">
        <v>54</v>
      </c>
      <c r="AA80" s="7" t="s">
        <v>122</v>
      </c>
    </row>
    <row r="81" spans="1:33" ht="24.75" customHeight="1">
      <c r="A81" s="7">
        <v>2020</v>
      </c>
      <c r="B81" s="15">
        <f t="shared" ref="B81:B85" si="9">AVERAGE(E81,H81,K81,Z81)</f>
        <v>21.875</v>
      </c>
      <c r="C81" s="15"/>
      <c r="D81" s="7">
        <v>2020</v>
      </c>
      <c r="E81" s="14">
        <v>0</v>
      </c>
      <c r="F81" s="17" t="s">
        <v>1838</v>
      </c>
      <c r="G81" s="7">
        <v>2020</v>
      </c>
      <c r="H81" s="14">
        <v>0</v>
      </c>
      <c r="I81" s="241" t="s">
        <v>1839</v>
      </c>
      <c r="J81" s="7">
        <v>2020</v>
      </c>
      <c r="K81" s="31">
        <f t="shared" ref="K81:K85" si="10">AVERAGE(N81,Q81,T81,W81)</f>
        <v>37.5</v>
      </c>
      <c r="L81" s="14"/>
      <c r="M81" s="7">
        <v>2020</v>
      </c>
      <c r="N81" s="84">
        <v>50</v>
      </c>
      <c r="O81" s="245"/>
      <c r="P81" s="7">
        <v>2020</v>
      </c>
      <c r="Q81" s="21">
        <v>100</v>
      </c>
      <c r="R81" s="17" t="s">
        <v>1840</v>
      </c>
      <c r="S81" s="7">
        <v>2020</v>
      </c>
      <c r="T81" s="84">
        <v>0</v>
      </c>
      <c r="U81" s="83"/>
      <c r="V81" s="7">
        <v>2020</v>
      </c>
      <c r="W81" s="21">
        <v>0</v>
      </c>
      <c r="X81" s="17"/>
      <c r="Y81" s="7">
        <v>2020</v>
      </c>
      <c r="Z81" s="82">
        <v>50</v>
      </c>
      <c r="AA81" s="86"/>
    </row>
    <row r="82" spans="1:33" ht="24.75" customHeight="1">
      <c r="A82" s="7">
        <v>2021</v>
      </c>
      <c r="B82" s="15">
        <f t="shared" si="9"/>
        <v>21.875</v>
      </c>
      <c r="C82" s="15"/>
      <c r="D82" s="7">
        <v>2021</v>
      </c>
      <c r="E82" s="14">
        <v>0</v>
      </c>
      <c r="F82" s="17"/>
      <c r="G82" s="7">
        <v>2021</v>
      </c>
      <c r="H82" s="14">
        <v>0</v>
      </c>
      <c r="I82" s="17"/>
      <c r="J82" s="7">
        <v>2021</v>
      </c>
      <c r="K82" s="31">
        <f t="shared" si="10"/>
        <v>37.5</v>
      </c>
      <c r="L82" s="14"/>
      <c r="M82" s="7">
        <v>2021</v>
      </c>
      <c r="N82" s="84">
        <v>50</v>
      </c>
      <c r="O82" s="83" t="s">
        <v>1841</v>
      </c>
      <c r="P82" s="7">
        <v>2021</v>
      </c>
      <c r="Q82" s="21">
        <v>100</v>
      </c>
      <c r="R82" s="17"/>
      <c r="S82" s="7">
        <v>2021</v>
      </c>
      <c r="T82" s="84">
        <v>0</v>
      </c>
      <c r="U82" s="83"/>
      <c r="V82" s="7">
        <v>2021</v>
      </c>
      <c r="W82" s="21">
        <v>0</v>
      </c>
      <c r="X82" s="17"/>
      <c r="Y82" s="7">
        <v>2021</v>
      </c>
      <c r="Z82" s="82">
        <v>50</v>
      </c>
      <c r="AA82" s="86"/>
    </row>
    <row r="83" spans="1:33" ht="24.75" customHeight="1">
      <c r="A83" s="7">
        <v>2022</v>
      </c>
      <c r="B83" s="15">
        <f t="shared" si="9"/>
        <v>21.875</v>
      </c>
      <c r="C83" s="15"/>
      <c r="D83" s="7">
        <v>2022</v>
      </c>
      <c r="E83" s="14">
        <v>0</v>
      </c>
      <c r="F83" s="17"/>
      <c r="G83" s="7">
        <v>2022</v>
      </c>
      <c r="H83" s="14">
        <v>0</v>
      </c>
      <c r="I83" s="17"/>
      <c r="J83" s="7">
        <v>2022</v>
      </c>
      <c r="K83" s="31">
        <f t="shared" si="10"/>
        <v>37.5</v>
      </c>
      <c r="L83" s="14"/>
      <c r="M83" s="7">
        <v>2022</v>
      </c>
      <c r="N83" s="84">
        <v>50</v>
      </c>
      <c r="O83" s="83"/>
      <c r="P83" s="7">
        <v>2022</v>
      </c>
      <c r="Q83" s="21">
        <v>100</v>
      </c>
      <c r="R83" s="17"/>
      <c r="S83" s="7">
        <v>2022</v>
      </c>
      <c r="T83" s="84">
        <v>0</v>
      </c>
      <c r="U83" s="83"/>
      <c r="V83" s="7">
        <v>2022</v>
      </c>
      <c r="W83" s="21">
        <v>0</v>
      </c>
      <c r="X83" s="17"/>
      <c r="Y83" s="7">
        <v>2022</v>
      </c>
      <c r="Z83" s="82">
        <v>50</v>
      </c>
      <c r="AA83" s="86"/>
    </row>
    <row r="84" spans="1:33" ht="24.75" customHeight="1">
      <c r="A84" s="7">
        <v>2023</v>
      </c>
      <c r="B84" s="15">
        <f t="shared" si="9"/>
        <v>21.875</v>
      </c>
      <c r="C84" s="15"/>
      <c r="D84" s="7">
        <v>2023</v>
      </c>
      <c r="E84" s="14">
        <v>0</v>
      </c>
      <c r="F84" s="17"/>
      <c r="G84" s="7">
        <v>2023</v>
      </c>
      <c r="H84" s="14">
        <v>0</v>
      </c>
      <c r="I84" s="17"/>
      <c r="J84" s="7">
        <v>2023</v>
      </c>
      <c r="K84" s="31">
        <f t="shared" si="10"/>
        <v>37.5</v>
      </c>
      <c r="L84" s="14"/>
      <c r="M84" s="7">
        <v>2023</v>
      </c>
      <c r="N84" s="84">
        <v>50</v>
      </c>
      <c r="O84" s="83"/>
      <c r="P84" s="7">
        <v>2023</v>
      </c>
      <c r="Q84" s="21">
        <v>100</v>
      </c>
      <c r="R84" s="17"/>
      <c r="S84" s="7">
        <v>2023</v>
      </c>
      <c r="T84" s="84">
        <v>0</v>
      </c>
      <c r="U84" s="83"/>
      <c r="V84" s="7">
        <v>2023</v>
      </c>
      <c r="W84" s="21">
        <v>0</v>
      </c>
      <c r="X84" s="17"/>
      <c r="Y84" s="7">
        <v>2023</v>
      </c>
      <c r="Z84" s="82">
        <v>50</v>
      </c>
      <c r="AA84" s="86"/>
    </row>
    <row r="85" spans="1:33" ht="24.75" customHeight="1">
      <c r="A85" s="7">
        <v>2024</v>
      </c>
      <c r="B85" s="15">
        <f t="shared" si="9"/>
        <v>21.875</v>
      </c>
      <c r="C85" s="15"/>
      <c r="D85" s="7">
        <v>2024</v>
      </c>
      <c r="E85" s="14">
        <v>0</v>
      </c>
      <c r="F85" s="17"/>
      <c r="G85" s="7">
        <v>2024</v>
      </c>
      <c r="H85" s="14">
        <v>0</v>
      </c>
      <c r="I85" s="17"/>
      <c r="J85" s="7">
        <v>2024</v>
      </c>
      <c r="K85" s="31">
        <f t="shared" si="10"/>
        <v>37.5</v>
      </c>
      <c r="L85" s="14"/>
      <c r="M85" s="7">
        <v>2024</v>
      </c>
      <c r="N85" s="84">
        <v>50</v>
      </c>
      <c r="O85" s="83"/>
      <c r="P85" s="7">
        <v>2024</v>
      </c>
      <c r="Q85" s="21">
        <v>100</v>
      </c>
      <c r="R85" s="17"/>
      <c r="S85" s="7">
        <v>2024</v>
      </c>
      <c r="T85" s="84">
        <v>0</v>
      </c>
      <c r="U85" s="83"/>
      <c r="V85" s="7">
        <v>2024</v>
      </c>
      <c r="W85" s="21">
        <v>0</v>
      </c>
      <c r="X85" s="17"/>
      <c r="Y85" s="7">
        <v>2024</v>
      </c>
      <c r="Z85" s="82">
        <v>50</v>
      </c>
      <c r="AA85" s="86"/>
    </row>
    <row r="86" spans="1:33" ht="24.75" customHeight="1">
      <c r="W86" s="39"/>
    </row>
    <row r="87" spans="1:33" ht="24.75" customHeight="1">
      <c r="A87" s="5" t="s">
        <v>5</v>
      </c>
      <c r="B87" s="294" t="s">
        <v>265</v>
      </c>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6"/>
    </row>
    <row r="88" spans="1:33" ht="24.75" customHeight="1">
      <c r="A88" s="5" t="s">
        <v>7</v>
      </c>
      <c r="B88" s="318" t="s">
        <v>266</v>
      </c>
      <c r="C88" s="318"/>
      <c r="D88" s="5" t="s">
        <v>7</v>
      </c>
      <c r="E88" s="312" t="s">
        <v>267</v>
      </c>
      <c r="F88" s="312"/>
      <c r="G88" s="5" t="s">
        <v>7</v>
      </c>
      <c r="H88" s="312" t="s">
        <v>268</v>
      </c>
      <c r="I88" s="312"/>
      <c r="J88" s="5" t="s">
        <v>7</v>
      </c>
      <c r="K88" s="312"/>
      <c r="L88" s="312"/>
      <c r="M88" s="5" t="s">
        <v>7</v>
      </c>
      <c r="N88" s="312"/>
      <c r="O88" s="312"/>
      <c r="P88" s="5" t="s">
        <v>7</v>
      </c>
      <c r="Q88" s="312"/>
      <c r="R88" s="312"/>
      <c r="S88" s="5" t="s">
        <v>7</v>
      </c>
      <c r="T88" s="312"/>
      <c r="U88" s="312"/>
      <c r="V88" s="5" t="s">
        <v>7</v>
      </c>
      <c r="W88" s="312" t="s">
        <v>269</v>
      </c>
      <c r="X88" s="312"/>
      <c r="Y88" s="5" t="s">
        <v>7</v>
      </c>
      <c r="Z88" s="312" t="s">
        <v>270</v>
      </c>
      <c r="AA88" s="312"/>
      <c r="AB88" s="5" t="s">
        <v>7</v>
      </c>
      <c r="AC88" s="312" t="s">
        <v>271</v>
      </c>
      <c r="AD88" s="312"/>
      <c r="AE88" s="5" t="s">
        <v>7</v>
      </c>
      <c r="AF88" s="312" t="s">
        <v>272</v>
      </c>
      <c r="AG88" s="312"/>
    </row>
    <row r="89" spans="1:33" ht="24.75" customHeight="1">
      <c r="A89" s="5" t="s">
        <v>13</v>
      </c>
      <c r="B89" s="7"/>
      <c r="C89" s="7"/>
      <c r="D89" s="5" t="s">
        <v>13</v>
      </c>
      <c r="E89" s="8"/>
      <c r="F89" s="8"/>
      <c r="G89" s="5" t="s">
        <v>13</v>
      </c>
      <c r="H89" s="311"/>
      <c r="I89" s="311"/>
      <c r="J89" s="5" t="s">
        <v>13</v>
      </c>
      <c r="K89" s="311" t="s">
        <v>273</v>
      </c>
      <c r="L89" s="311"/>
      <c r="M89" s="5" t="s">
        <v>13</v>
      </c>
      <c r="N89" s="311" t="s">
        <v>274</v>
      </c>
      <c r="O89" s="311"/>
      <c r="P89" s="5" t="s">
        <v>13</v>
      </c>
      <c r="Q89" s="311" t="s">
        <v>275</v>
      </c>
      <c r="R89" s="311"/>
      <c r="S89" s="5" t="s">
        <v>13</v>
      </c>
      <c r="T89" s="311" t="s">
        <v>276</v>
      </c>
      <c r="U89" s="311"/>
      <c r="V89" s="5" t="s">
        <v>13</v>
      </c>
      <c r="W89" s="311"/>
      <c r="X89" s="311"/>
      <c r="Y89" s="5" t="s">
        <v>13</v>
      </c>
      <c r="Z89" s="311"/>
      <c r="AA89" s="311"/>
      <c r="AB89" s="5" t="s">
        <v>13</v>
      </c>
      <c r="AC89" s="311"/>
      <c r="AD89" s="311"/>
      <c r="AE89" s="5" t="s">
        <v>13</v>
      </c>
      <c r="AF89" s="311"/>
      <c r="AG89" s="311"/>
    </row>
    <row r="90" spans="1:33" ht="24.75" customHeight="1">
      <c r="A90" s="7" t="s">
        <v>19</v>
      </c>
      <c r="B90" s="322" t="s">
        <v>277</v>
      </c>
      <c r="C90" s="322"/>
      <c r="D90" s="7" t="s">
        <v>19</v>
      </c>
      <c r="E90" s="322" t="s">
        <v>278</v>
      </c>
      <c r="F90" s="322"/>
      <c r="G90" s="7" t="s">
        <v>19</v>
      </c>
      <c r="H90" s="322" t="s">
        <v>279</v>
      </c>
      <c r="I90" s="322"/>
      <c r="J90" s="7" t="s">
        <v>19</v>
      </c>
      <c r="K90" s="322" t="s">
        <v>280</v>
      </c>
      <c r="L90" s="322"/>
      <c r="M90" s="7" t="s">
        <v>19</v>
      </c>
      <c r="N90" s="322" t="s">
        <v>141</v>
      </c>
      <c r="O90" s="322"/>
      <c r="P90" s="7" t="s">
        <v>19</v>
      </c>
      <c r="Q90" s="322" t="s">
        <v>281</v>
      </c>
      <c r="R90" s="322"/>
      <c r="S90" s="7" t="s">
        <v>19</v>
      </c>
      <c r="T90" s="328" t="s">
        <v>282</v>
      </c>
      <c r="U90" s="328"/>
      <c r="V90" s="7" t="s">
        <v>19</v>
      </c>
      <c r="W90" s="322" t="s">
        <v>283</v>
      </c>
      <c r="X90" s="322"/>
      <c r="Y90" s="7" t="s">
        <v>19</v>
      </c>
      <c r="Z90" s="322" t="s">
        <v>284</v>
      </c>
      <c r="AA90" s="322"/>
      <c r="AB90" s="7" t="s">
        <v>19</v>
      </c>
      <c r="AC90" s="322" t="s">
        <v>285</v>
      </c>
      <c r="AD90" s="322"/>
      <c r="AE90" s="7" t="s">
        <v>19</v>
      </c>
      <c r="AF90" s="322" t="s">
        <v>286</v>
      </c>
      <c r="AG90" s="322"/>
    </row>
    <row r="91" spans="1:33" ht="24.75" customHeight="1">
      <c r="A91" s="7" t="s">
        <v>30</v>
      </c>
      <c r="B91" s="322" t="s">
        <v>31</v>
      </c>
      <c r="C91" s="322"/>
      <c r="D91" s="7" t="s">
        <v>30</v>
      </c>
      <c r="E91" s="310" t="s">
        <v>287</v>
      </c>
      <c r="F91" s="310"/>
      <c r="G91" s="7" t="s">
        <v>30</v>
      </c>
      <c r="H91" s="310" t="s">
        <v>288</v>
      </c>
      <c r="I91" s="310"/>
      <c r="J91" s="7" t="s">
        <v>30</v>
      </c>
      <c r="K91" s="310" t="s">
        <v>289</v>
      </c>
      <c r="L91" s="310"/>
      <c r="M91" s="7" t="s">
        <v>30</v>
      </c>
      <c r="N91" s="310" t="s">
        <v>290</v>
      </c>
      <c r="O91" s="310"/>
      <c r="P91" s="7" t="s">
        <v>30</v>
      </c>
      <c r="Q91" s="310" t="s">
        <v>291</v>
      </c>
      <c r="R91" s="310"/>
      <c r="S91" s="7" t="s">
        <v>30</v>
      </c>
      <c r="T91" s="298" t="s">
        <v>292</v>
      </c>
      <c r="U91" s="298"/>
      <c r="V91" s="7" t="s">
        <v>30</v>
      </c>
      <c r="W91" s="309" t="s">
        <v>293</v>
      </c>
      <c r="X91" s="309"/>
      <c r="Y91" s="7" t="s">
        <v>30</v>
      </c>
      <c r="Z91" s="310" t="s">
        <v>294</v>
      </c>
      <c r="AA91" s="310"/>
      <c r="AB91" s="7" t="s">
        <v>30</v>
      </c>
      <c r="AC91" s="310" t="s">
        <v>295</v>
      </c>
      <c r="AD91" s="310"/>
      <c r="AE91" s="7" t="s">
        <v>30</v>
      </c>
      <c r="AF91" s="310" t="s">
        <v>296</v>
      </c>
      <c r="AG91" s="310"/>
    </row>
    <row r="92" spans="1:33" ht="24.75" customHeight="1">
      <c r="A92" s="7" t="s">
        <v>41</v>
      </c>
      <c r="B92" s="310" t="s">
        <v>42</v>
      </c>
      <c r="C92" s="310"/>
      <c r="D92" s="7" t="s">
        <v>41</v>
      </c>
      <c r="E92" s="310" t="s">
        <v>297</v>
      </c>
      <c r="F92" s="310"/>
      <c r="G92" s="7" t="s">
        <v>41</v>
      </c>
      <c r="H92" s="310" t="s">
        <v>42</v>
      </c>
      <c r="I92" s="310"/>
      <c r="J92" s="7" t="s">
        <v>41</v>
      </c>
      <c r="K92" s="310" t="s">
        <v>298</v>
      </c>
      <c r="L92" s="310"/>
      <c r="M92" s="7" t="s">
        <v>41</v>
      </c>
      <c r="N92" s="310" t="s">
        <v>298</v>
      </c>
      <c r="O92" s="310"/>
      <c r="P92" s="7" t="s">
        <v>41</v>
      </c>
      <c r="Q92" s="310" t="s">
        <v>298</v>
      </c>
      <c r="R92" s="310"/>
      <c r="S92" s="7" t="s">
        <v>41</v>
      </c>
      <c r="T92" s="310" t="s">
        <v>298</v>
      </c>
      <c r="U92" s="310"/>
      <c r="V92" s="7" t="s">
        <v>41</v>
      </c>
      <c r="W92" s="310" t="s">
        <v>299</v>
      </c>
      <c r="X92" s="310"/>
      <c r="Y92" s="7" t="s">
        <v>41</v>
      </c>
      <c r="Z92" s="310" t="s">
        <v>300</v>
      </c>
      <c r="AA92" s="310"/>
      <c r="AB92" s="7" t="s">
        <v>41</v>
      </c>
      <c r="AC92" s="310" t="s">
        <v>301</v>
      </c>
      <c r="AD92" s="310"/>
      <c r="AE92" s="7" t="s">
        <v>41</v>
      </c>
      <c r="AF92" s="310" t="s">
        <v>302</v>
      </c>
      <c r="AG92" s="310"/>
    </row>
    <row r="93" spans="1:33" ht="24.75" customHeight="1">
      <c r="A93" s="7" t="s">
        <v>121</v>
      </c>
      <c r="B93" s="7" t="s">
        <v>54</v>
      </c>
      <c r="C93" s="7" t="s">
        <v>122</v>
      </c>
      <c r="D93" s="7" t="s">
        <v>121</v>
      </c>
      <c r="E93" s="7" t="s">
        <v>54</v>
      </c>
      <c r="F93" s="7" t="s">
        <v>122</v>
      </c>
      <c r="G93" s="7" t="s">
        <v>121</v>
      </c>
      <c r="H93" s="7" t="s">
        <v>54</v>
      </c>
      <c r="I93" s="7" t="s">
        <v>122</v>
      </c>
      <c r="J93" s="7" t="s">
        <v>121</v>
      </c>
      <c r="K93" s="7" t="s">
        <v>54</v>
      </c>
      <c r="L93" s="7" t="s">
        <v>122</v>
      </c>
      <c r="M93" s="7" t="s">
        <v>121</v>
      </c>
      <c r="N93" s="7" t="s">
        <v>54</v>
      </c>
      <c r="O93" s="7" t="s">
        <v>122</v>
      </c>
      <c r="P93" s="7" t="s">
        <v>121</v>
      </c>
      <c r="Q93" s="7" t="s">
        <v>54</v>
      </c>
      <c r="R93" s="7" t="s">
        <v>122</v>
      </c>
      <c r="S93" s="7" t="s">
        <v>121</v>
      </c>
      <c r="T93" s="7" t="s">
        <v>54</v>
      </c>
      <c r="U93" s="7" t="s">
        <v>122</v>
      </c>
      <c r="V93" s="7" t="s">
        <v>121</v>
      </c>
      <c r="W93" s="7" t="s">
        <v>54</v>
      </c>
      <c r="X93" s="7" t="s">
        <v>122</v>
      </c>
      <c r="Y93" s="7" t="s">
        <v>121</v>
      </c>
      <c r="Z93" s="7" t="s">
        <v>54</v>
      </c>
      <c r="AA93" s="7" t="s">
        <v>122</v>
      </c>
      <c r="AB93" s="7" t="s">
        <v>121</v>
      </c>
      <c r="AC93" s="7"/>
      <c r="AD93" s="7"/>
      <c r="AE93" s="7" t="s">
        <v>121</v>
      </c>
      <c r="AF93" s="7"/>
      <c r="AG93" s="7"/>
    </row>
    <row r="94" spans="1:33" ht="24.75" customHeight="1">
      <c r="A94" s="7">
        <v>2020</v>
      </c>
      <c r="B94" s="15">
        <f>AVERAGE(E94,H94, W94,((Z94+AC94+AF94)/3))</f>
        <v>95.833333333333329</v>
      </c>
      <c r="C94" s="15"/>
      <c r="D94" s="7">
        <v>2020</v>
      </c>
      <c r="E94" s="21">
        <v>100</v>
      </c>
      <c r="F94" s="17" t="s">
        <v>1842</v>
      </c>
      <c r="G94" s="7">
        <v>2020</v>
      </c>
      <c r="H94" s="31">
        <f t="shared" ref="H94:H98" si="11">AVERAGE(K94,N94,Q94,T94)</f>
        <v>100</v>
      </c>
      <c r="I94" s="14"/>
      <c r="J94" s="7">
        <v>2020</v>
      </c>
      <c r="K94" s="14">
        <v>100</v>
      </c>
      <c r="L94" s="17" t="s">
        <v>1843</v>
      </c>
      <c r="M94" s="7">
        <v>2020</v>
      </c>
      <c r="N94" s="14">
        <v>100</v>
      </c>
      <c r="O94" s="17" t="s">
        <v>1844</v>
      </c>
      <c r="P94" s="7">
        <v>2020</v>
      </c>
      <c r="Q94" s="21">
        <v>100</v>
      </c>
      <c r="R94" s="17" t="s">
        <v>1845</v>
      </c>
      <c r="S94" s="7">
        <v>2020</v>
      </c>
      <c r="T94" s="14">
        <v>100</v>
      </c>
      <c r="U94" s="17" t="s">
        <v>1846</v>
      </c>
      <c r="V94" s="7">
        <v>2020</v>
      </c>
      <c r="W94" s="14">
        <v>100</v>
      </c>
      <c r="X94" s="17"/>
      <c r="Y94" s="7">
        <v>2020</v>
      </c>
      <c r="Z94" s="14">
        <v>100</v>
      </c>
      <c r="AA94" s="17" t="s">
        <v>1847</v>
      </c>
      <c r="AB94" s="7">
        <v>2020</v>
      </c>
      <c r="AC94" s="82">
        <v>100</v>
      </c>
      <c r="AD94" s="83" t="s">
        <v>1848</v>
      </c>
      <c r="AE94" s="7">
        <v>2020</v>
      </c>
      <c r="AF94" s="82">
        <v>50</v>
      </c>
      <c r="AG94" s="86" t="s">
        <v>1849</v>
      </c>
    </row>
    <row r="95" spans="1:33" ht="24.75" customHeight="1">
      <c r="A95" s="7">
        <v>2021</v>
      </c>
      <c r="B95" s="15">
        <f>AVERAGE(E95,H95, W95,((Z95+AC95+AF95)/3))</f>
        <v>95.833333333333329</v>
      </c>
      <c r="C95" s="15"/>
      <c r="D95" s="7">
        <v>2021</v>
      </c>
      <c r="E95" s="21">
        <v>100</v>
      </c>
      <c r="F95" s="17"/>
      <c r="G95" s="7">
        <v>2021</v>
      </c>
      <c r="H95" s="31">
        <f t="shared" si="11"/>
        <v>100</v>
      </c>
      <c r="I95" s="14"/>
      <c r="J95" s="7">
        <v>2021</v>
      </c>
      <c r="K95" s="14">
        <v>100</v>
      </c>
      <c r="L95" s="17"/>
      <c r="M95" s="7">
        <v>2021</v>
      </c>
      <c r="N95" s="14">
        <v>100</v>
      </c>
      <c r="O95" s="17"/>
      <c r="P95" s="7">
        <v>2021</v>
      </c>
      <c r="Q95" s="21">
        <v>100</v>
      </c>
      <c r="R95" s="17"/>
      <c r="S95" s="7">
        <v>2021</v>
      </c>
      <c r="T95" s="14">
        <v>100</v>
      </c>
      <c r="U95" s="17"/>
      <c r="V95" s="7">
        <v>2021</v>
      </c>
      <c r="W95" s="14">
        <v>100</v>
      </c>
      <c r="X95" s="17"/>
      <c r="Y95" s="7">
        <v>2021</v>
      </c>
      <c r="Z95" s="14">
        <v>100</v>
      </c>
      <c r="AA95" s="17"/>
      <c r="AB95" s="7">
        <v>2021</v>
      </c>
      <c r="AC95" s="82">
        <v>100</v>
      </c>
      <c r="AD95" s="83"/>
      <c r="AE95" s="7">
        <v>2021</v>
      </c>
      <c r="AF95" s="82">
        <v>50</v>
      </c>
      <c r="AG95" s="86"/>
    </row>
    <row r="96" spans="1:33" ht="24.75" customHeight="1">
      <c r="A96" s="7">
        <v>2022</v>
      </c>
      <c r="B96" s="15">
        <f>AVERAGE(E96,H96, W96,((Z96+AC96+AF96)/3))</f>
        <v>95.833333333333329</v>
      </c>
      <c r="C96" s="15"/>
      <c r="D96" s="7">
        <v>2022</v>
      </c>
      <c r="E96" s="21">
        <v>100</v>
      </c>
      <c r="F96" s="17"/>
      <c r="G96" s="7">
        <v>2022</v>
      </c>
      <c r="H96" s="31">
        <f t="shared" si="11"/>
        <v>100</v>
      </c>
      <c r="I96" s="14"/>
      <c r="J96" s="7">
        <v>2022</v>
      </c>
      <c r="K96" s="14">
        <v>100</v>
      </c>
      <c r="L96" s="17"/>
      <c r="M96" s="7">
        <v>2022</v>
      </c>
      <c r="N96" s="14">
        <v>100</v>
      </c>
      <c r="O96" s="17"/>
      <c r="P96" s="7">
        <v>2022</v>
      </c>
      <c r="Q96" s="21">
        <v>100</v>
      </c>
      <c r="R96" s="17"/>
      <c r="S96" s="7">
        <v>2022</v>
      </c>
      <c r="T96" s="14">
        <v>100</v>
      </c>
      <c r="U96" s="17"/>
      <c r="V96" s="7">
        <v>2022</v>
      </c>
      <c r="W96" s="14">
        <v>100</v>
      </c>
      <c r="X96" s="17"/>
      <c r="Y96" s="7">
        <v>2022</v>
      </c>
      <c r="Z96" s="14">
        <v>100</v>
      </c>
      <c r="AA96" s="17"/>
      <c r="AB96" s="7">
        <v>2022</v>
      </c>
      <c r="AC96" s="82">
        <v>100</v>
      </c>
      <c r="AD96" s="83"/>
      <c r="AE96" s="7">
        <v>2022</v>
      </c>
      <c r="AF96" s="82">
        <v>50</v>
      </c>
      <c r="AG96" s="86"/>
    </row>
    <row r="97" spans="1:51" ht="24.75" customHeight="1">
      <c r="A97" s="7">
        <v>2023</v>
      </c>
      <c r="B97" s="15">
        <f>AVERAGE(E97,H97, W97,((Z97+AC97+AF97)/3))</f>
        <v>95.833333333333329</v>
      </c>
      <c r="C97" s="15"/>
      <c r="D97" s="7">
        <v>2023</v>
      </c>
      <c r="E97" s="21">
        <v>100</v>
      </c>
      <c r="F97" s="17"/>
      <c r="G97" s="7">
        <v>2023</v>
      </c>
      <c r="H97" s="31">
        <f t="shared" si="11"/>
        <v>100</v>
      </c>
      <c r="I97" s="14"/>
      <c r="J97" s="7">
        <v>2023</v>
      </c>
      <c r="K97" s="14">
        <v>100</v>
      </c>
      <c r="L97" s="17"/>
      <c r="M97" s="7">
        <v>2023</v>
      </c>
      <c r="N97" s="14">
        <v>100</v>
      </c>
      <c r="O97" s="17"/>
      <c r="P97" s="7">
        <v>2023</v>
      </c>
      <c r="Q97" s="21">
        <v>100</v>
      </c>
      <c r="R97" s="17"/>
      <c r="S97" s="7">
        <v>2023</v>
      </c>
      <c r="T97" s="14">
        <v>100</v>
      </c>
      <c r="U97" s="17"/>
      <c r="V97" s="7">
        <v>2023</v>
      </c>
      <c r="W97" s="14">
        <v>100</v>
      </c>
      <c r="X97" s="17"/>
      <c r="Y97" s="7">
        <v>2023</v>
      </c>
      <c r="Z97" s="14">
        <v>100</v>
      </c>
      <c r="AA97" s="17"/>
      <c r="AB97" s="7">
        <v>2023</v>
      </c>
      <c r="AC97" s="82">
        <v>100</v>
      </c>
      <c r="AD97" s="83"/>
      <c r="AE97" s="7">
        <v>2023</v>
      </c>
      <c r="AF97" s="82">
        <v>50</v>
      </c>
      <c r="AG97" s="86"/>
    </row>
    <row r="98" spans="1:51" ht="24.75" customHeight="1">
      <c r="A98" s="7">
        <v>2024</v>
      </c>
      <c r="B98" s="15">
        <f>AVERAGE(E98,H98, W98,((Z98+AC98+AF98)/3))</f>
        <v>95.833333333333329</v>
      </c>
      <c r="C98" s="15"/>
      <c r="D98" s="7">
        <v>2024</v>
      </c>
      <c r="E98" s="21">
        <v>100</v>
      </c>
      <c r="F98" s="17"/>
      <c r="G98" s="7">
        <v>2024</v>
      </c>
      <c r="H98" s="31">
        <f t="shared" si="11"/>
        <v>100</v>
      </c>
      <c r="I98" s="14"/>
      <c r="J98" s="7">
        <v>2024</v>
      </c>
      <c r="K98" s="14">
        <v>100</v>
      </c>
      <c r="L98" s="17"/>
      <c r="M98" s="7">
        <v>2024</v>
      </c>
      <c r="N98" s="14">
        <v>100</v>
      </c>
      <c r="O98" s="17"/>
      <c r="P98" s="7">
        <v>2024</v>
      </c>
      <c r="Q98" s="21">
        <v>100</v>
      </c>
      <c r="R98" s="17"/>
      <c r="S98" s="7">
        <v>2024</v>
      </c>
      <c r="T98" s="14">
        <v>100</v>
      </c>
      <c r="U98" s="17"/>
      <c r="V98" s="7">
        <v>2024</v>
      </c>
      <c r="W98" s="14">
        <v>100</v>
      </c>
      <c r="X98" s="17"/>
      <c r="Y98" s="7">
        <v>2024</v>
      </c>
      <c r="Z98" s="14">
        <v>100</v>
      </c>
      <c r="AA98" s="17"/>
      <c r="AB98" s="7">
        <v>2024</v>
      </c>
      <c r="AC98" s="82">
        <v>100</v>
      </c>
      <c r="AD98" s="83"/>
      <c r="AE98" s="7">
        <v>2024</v>
      </c>
      <c r="AF98" s="82">
        <v>50</v>
      </c>
      <c r="AG98" s="86"/>
    </row>
    <row r="99" spans="1:51" ht="24.75" customHeight="1"/>
    <row r="100" spans="1:51" s="38" customFormat="1" ht="24.75" customHeight="1">
      <c r="A100" s="26" t="s">
        <v>5</v>
      </c>
      <c r="B100" s="275" t="s">
        <v>305</v>
      </c>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7"/>
      <c r="AN100" s="40"/>
      <c r="AO100" s="40"/>
      <c r="AP100" s="40"/>
      <c r="AQ100" s="40"/>
      <c r="AR100" s="40"/>
      <c r="AS100" s="40"/>
      <c r="AT100" s="40"/>
      <c r="AU100" s="40"/>
      <c r="AV100" s="40"/>
      <c r="AW100" s="40"/>
      <c r="AX100" s="40"/>
      <c r="AY100" s="40"/>
    </row>
    <row r="101" spans="1:51" s="38" customFormat="1" ht="24.75" customHeight="1">
      <c r="A101" s="26" t="s">
        <v>7</v>
      </c>
      <c r="B101" s="313" t="s">
        <v>306</v>
      </c>
      <c r="C101" s="313"/>
      <c r="D101" s="26" t="s">
        <v>7</v>
      </c>
      <c r="E101" s="313" t="s">
        <v>307</v>
      </c>
      <c r="F101" s="313"/>
      <c r="G101" s="26" t="s">
        <v>7</v>
      </c>
      <c r="H101" s="313">
        <v>148</v>
      </c>
      <c r="I101" s="313"/>
      <c r="J101" s="26" t="s">
        <v>7</v>
      </c>
      <c r="K101" s="313" t="s">
        <v>308</v>
      </c>
      <c r="L101" s="313"/>
      <c r="M101" s="26" t="s">
        <v>7</v>
      </c>
      <c r="N101" s="313">
        <v>149</v>
      </c>
      <c r="O101" s="313"/>
      <c r="P101" s="26" t="s">
        <v>7</v>
      </c>
      <c r="Q101" s="313" t="s">
        <v>309</v>
      </c>
      <c r="R101" s="313"/>
      <c r="S101" s="26" t="s">
        <v>7</v>
      </c>
      <c r="T101" s="313">
        <v>150</v>
      </c>
      <c r="U101" s="313"/>
      <c r="V101" s="26" t="s">
        <v>7</v>
      </c>
      <c r="W101" s="313" t="s">
        <v>310</v>
      </c>
      <c r="X101" s="313"/>
      <c r="Y101" s="26" t="s">
        <v>7</v>
      </c>
      <c r="Z101" s="313" t="s">
        <v>311</v>
      </c>
      <c r="AA101" s="313"/>
      <c r="AB101" s="26" t="s">
        <v>7</v>
      </c>
      <c r="AC101" s="313" t="s">
        <v>312</v>
      </c>
      <c r="AD101" s="313"/>
      <c r="AE101" s="26" t="s">
        <v>7</v>
      </c>
      <c r="AF101" s="313">
        <v>159</v>
      </c>
      <c r="AG101" s="313"/>
      <c r="AH101" s="26" t="s">
        <v>7</v>
      </c>
      <c r="AI101" s="313">
        <v>163</v>
      </c>
      <c r="AJ101" s="313"/>
      <c r="AK101" s="26" t="s">
        <v>7</v>
      </c>
      <c r="AL101" s="313">
        <v>165</v>
      </c>
      <c r="AM101" s="313"/>
      <c r="AN101" s="40"/>
      <c r="AO101" s="40"/>
      <c r="AP101" s="40"/>
      <c r="AQ101" s="40"/>
      <c r="AR101" s="40"/>
      <c r="AS101" s="40"/>
      <c r="AT101" s="40"/>
      <c r="AU101" s="40"/>
      <c r="AV101" s="40"/>
      <c r="AW101" s="40"/>
      <c r="AX101" s="40"/>
      <c r="AY101" s="40"/>
    </row>
    <row r="102" spans="1:51" s="38" customFormat="1" ht="24.75" customHeight="1">
      <c r="A102" s="26" t="s">
        <v>13</v>
      </c>
      <c r="B102" s="27"/>
      <c r="C102" s="27"/>
      <c r="D102" s="26" t="s">
        <v>13</v>
      </c>
      <c r="E102" s="307"/>
      <c r="F102" s="307"/>
      <c r="G102" s="26" t="s">
        <v>13</v>
      </c>
      <c r="H102" s="307"/>
      <c r="I102" s="307"/>
      <c r="J102" s="26" t="s">
        <v>13</v>
      </c>
      <c r="K102" s="307"/>
      <c r="L102" s="307"/>
      <c r="M102" s="26" t="s">
        <v>13</v>
      </c>
      <c r="N102" s="307"/>
      <c r="O102" s="307"/>
      <c r="P102" s="26" t="s">
        <v>13</v>
      </c>
      <c r="Q102" s="307"/>
      <c r="R102" s="307"/>
      <c r="S102" s="26" t="s">
        <v>13</v>
      </c>
      <c r="T102" s="307"/>
      <c r="U102" s="307"/>
      <c r="V102" s="26" t="s">
        <v>13</v>
      </c>
      <c r="W102" s="307"/>
      <c r="X102" s="307"/>
      <c r="Y102" s="26" t="s">
        <v>13</v>
      </c>
      <c r="Z102" s="307"/>
      <c r="AA102" s="307"/>
      <c r="AB102" s="26" t="s">
        <v>13</v>
      </c>
      <c r="AC102" s="307"/>
      <c r="AD102" s="307"/>
      <c r="AE102" s="26" t="s">
        <v>13</v>
      </c>
      <c r="AF102" s="307"/>
      <c r="AG102" s="307"/>
      <c r="AH102" s="26" t="s">
        <v>13</v>
      </c>
      <c r="AI102" s="307"/>
      <c r="AJ102" s="307"/>
      <c r="AK102" s="26" t="s">
        <v>13</v>
      </c>
      <c r="AL102" s="307"/>
      <c r="AM102" s="307"/>
      <c r="AN102" s="40"/>
      <c r="AO102" s="40"/>
      <c r="AP102" s="40"/>
      <c r="AQ102" s="40"/>
      <c r="AR102" s="40"/>
      <c r="AS102" s="40"/>
      <c r="AT102" s="40"/>
      <c r="AU102" s="40"/>
      <c r="AV102" s="40"/>
      <c r="AW102" s="40"/>
      <c r="AX102" s="40"/>
      <c r="AY102" s="40"/>
    </row>
    <row r="103" spans="1:51" s="38" customFormat="1" ht="24.75" customHeight="1">
      <c r="A103" s="27" t="s">
        <v>19</v>
      </c>
      <c r="B103" s="327" t="s">
        <v>313</v>
      </c>
      <c r="C103" s="327"/>
      <c r="D103" s="27" t="s">
        <v>19</v>
      </c>
      <c r="E103" s="327" t="s">
        <v>314</v>
      </c>
      <c r="F103" s="327"/>
      <c r="G103" s="27" t="s">
        <v>19</v>
      </c>
      <c r="H103" s="327" t="s">
        <v>315</v>
      </c>
      <c r="I103" s="327"/>
      <c r="J103" s="27" t="s">
        <v>19</v>
      </c>
      <c r="K103" s="327" t="s">
        <v>316</v>
      </c>
      <c r="L103" s="327"/>
      <c r="M103" s="27" t="s">
        <v>19</v>
      </c>
      <c r="N103" s="327" t="s">
        <v>317</v>
      </c>
      <c r="O103" s="327"/>
      <c r="P103" s="27" t="s">
        <v>19</v>
      </c>
      <c r="Q103" s="327" t="s">
        <v>318</v>
      </c>
      <c r="R103" s="327"/>
      <c r="S103" s="27" t="s">
        <v>19</v>
      </c>
      <c r="T103" s="327" t="s">
        <v>319</v>
      </c>
      <c r="U103" s="327"/>
      <c r="V103" s="27" t="s">
        <v>19</v>
      </c>
      <c r="W103" s="327" t="s">
        <v>320</v>
      </c>
      <c r="X103" s="327"/>
      <c r="Y103" s="27" t="s">
        <v>19</v>
      </c>
      <c r="Z103" s="327" t="s">
        <v>321</v>
      </c>
      <c r="AA103" s="327"/>
      <c r="AB103" s="27" t="s">
        <v>19</v>
      </c>
      <c r="AC103" s="327" t="s">
        <v>322</v>
      </c>
      <c r="AD103" s="327"/>
      <c r="AE103" s="27" t="s">
        <v>19</v>
      </c>
      <c r="AF103" s="327" t="s">
        <v>323</v>
      </c>
      <c r="AG103" s="327"/>
      <c r="AH103" s="27" t="s">
        <v>19</v>
      </c>
      <c r="AI103" s="327" t="s">
        <v>324</v>
      </c>
      <c r="AJ103" s="327"/>
      <c r="AK103" s="27" t="s">
        <v>19</v>
      </c>
      <c r="AL103" s="327" t="s">
        <v>325</v>
      </c>
      <c r="AM103" s="327"/>
      <c r="AN103" s="40"/>
      <c r="AO103" s="40"/>
      <c r="AP103" s="40"/>
      <c r="AQ103" s="40"/>
      <c r="AR103" s="40"/>
      <c r="AS103" s="40"/>
      <c r="AT103" s="40"/>
      <c r="AU103" s="40"/>
      <c r="AV103" s="40"/>
      <c r="AW103" s="40"/>
      <c r="AX103" s="40"/>
      <c r="AY103" s="40"/>
    </row>
    <row r="104" spans="1:51" s="38" customFormat="1" ht="24.75" customHeight="1">
      <c r="A104" s="27" t="s">
        <v>30</v>
      </c>
      <c r="B104" s="327" t="s">
        <v>31</v>
      </c>
      <c r="C104" s="327"/>
      <c r="D104" s="27" t="s">
        <v>30</v>
      </c>
      <c r="E104" s="326" t="s">
        <v>326</v>
      </c>
      <c r="F104" s="326"/>
      <c r="G104" s="27" t="s">
        <v>30</v>
      </c>
      <c r="H104" s="326" t="s">
        <v>327</v>
      </c>
      <c r="I104" s="326"/>
      <c r="J104" s="27" t="s">
        <v>30</v>
      </c>
      <c r="K104" s="326" t="s">
        <v>328</v>
      </c>
      <c r="L104" s="326"/>
      <c r="M104" s="27" t="s">
        <v>30</v>
      </c>
      <c r="N104" s="326" t="s">
        <v>327</v>
      </c>
      <c r="O104" s="326"/>
      <c r="P104" s="27" t="s">
        <v>30</v>
      </c>
      <c r="Q104" s="326" t="s">
        <v>329</v>
      </c>
      <c r="R104" s="326"/>
      <c r="S104" s="27" t="s">
        <v>30</v>
      </c>
      <c r="T104" s="326" t="s">
        <v>327</v>
      </c>
      <c r="U104" s="326"/>
      <c r="V104" s="27" t="s">
        <v>30</v>
      </c>
      <c r="W104" s="325" t="s">
        <v>330</v>
      </c>
      <c r="X104" s="325"/>
      <c r="Y104" s="27" t="s">
        <v>30</v>
      </c>
      <c r="Z104" s="325" t="s">
        <v>331</v>
      </c>
      <c r="AA104" s="325"/>
      <c r="AB104" s="27" t="s">
        <v>30</v>
      </c>
      <c r="AC104" s="325" t="s">
        <v>332</v>
      </c>
      <c r="AD104" s="325"/>
      <c r="AE104" s="27" t="s">
        <v>30</v>
      </c>
      <c r="AF104" s="325" t="s">
        <v>333</v>
      </c>
      <c r="AG104" s="325"/>
      <c r="AH104" s="27" t="s">
        <v>30</v>
      </c>
      <c r="AI104" s="325" t="s">
        <v>334</v>
      </c>
      <c r="AJ104" s="325"/>
      <c r="AK104" s="27" t="s">
        <v>30</v>
      </c>
      <c r="AL104" s="325" t="s">
        <v>335</v>
      </c>
      <c r="AM104" s="325"/>
      <c r="AN104" s="40"/>
      <c r="AO104" s="40"/>
      <c r="AP104" s="40"/>
      <c r="AQ104" s="40"/>
      <c r="AR104" s="40"/>
      <c r="AS104" s="40"/>
      <c r="AT104" s="40"/>
      <c r="AU104" s="40"/>
      <c r="AV104" s="40"/>
      <c r="AW104" s="40"/>
      <c r="AX104" s="40"/>
      <c r="AY104" s="40"/>
    </row>
    <row r="105" spans="1:51" s="38" customFormat="1" ht="24.75" customHeight="1">
      <c r="A105" s="27" t="s">
        <v>41</v>
      </c>
      <c r="B105" s="325" t="s">
        <v>42</v>
      </c>
      <c r="C105" s="325"/>
      <c r="D105" s="27" t="s">
        <v>41</v>
      </c>
      <c r="E105" s="358" t="s">
        <v>1148</v>
      </c>
      <c r="F105" s="325"/>
      <c r="G105" s="27" t="s">
        <v>41</v>
      </c>
      <c r="H105" s="358" t="s">
        <v>1149</v>
      </c>
      <c r="I105" s="325"/>
      <c r="J105" s="27" t="s">
        <v>41</v>
      </c>
      <c r="K105" s="358" t="s">
        <v>1150</v>
      </c>
      <c r="L105" s="325"/>
      <c r="M105" s="27" t="s">
        <v>41</v>
      </c>
      <c r="N105" s="325" t="s">
        <v>337</v>
      </c>
      <c r="O105" s="325"/>
      <c r="P105" s="27" t="s">
        <v>41</v>
      </c>
      <c r="Q105" s="358" t="s">
        <v>1150</v>
      </c>
      <c r="R105" s="325"/>
      <c r="S105" s="27" t="s">
        <v>41</v>
      </c>
      <c r="T105" s="358" t="s">
        <v>1149</v>
      </c>
      <c r="U105" s="325"/>
      <c r="V105" s="27" t="s">
        <v>41</v>
      </c>
      <c r="W105" s="358" t="s">
        <v>1151</v>
      </c>
      <c r="X105" s="325"/>
      <c r="Y105" s="27" t="s">
        <v>41</v>
      </c>
      <c r="Z105" s="358" t="s">
        <v>1151</v>
      </c>
      <c r="AA105" s="325"/>
      <c r="AB105" s="27" t="s">
        <v>41</v>
      </c>
      <c r="AC105" s="358" t="s">
        <v>1152</v>
      </c>
      <c r="AD105" s="325"/>
      <c r="AE105" s="27" t="s">
        <v>41</v>
      </c>
      <c r="AF105" s="358" t="s">
        <v>1153</v>
      </c>
      <c r="AG105" s="325"/>
      <c r="AH105" s="27" t="s">
        <v>41</v>
      </c>
      <c r="AI105" s="358" t="s">
        <v>1154</v>
      </c>
      <c r="AJ105" s="325"/>
      <c r="AK105" s="27" t="s">
        <v>41</v>
      </c>
      <c r="AL105" s="325" t="s">
        <v>343</v>
      </c>
      <c r="AM105" s="325"/>
      <c r="AN105" s="40"/>
      <c r="AO105" s="40"/>
      <c r="AP105" s="40"/>
      <c r="AQ105" s="40"/>
      <c r="AR105" s="40"/>
      <c r="AS105" s="40"/>
      <c r="AT105" s="40"/>
      <c r="AU105" s="40"/>
      <c r="AV105" s="40"/>
      <c r="AW105" s="40"/>
      <c r="AX105" s="40"/>
      <c r="AY105" s="40"/>
    </row>
    <row r="106" spans="1:51" s="38" customFormat="1" ht="24.75" customHeight="1">
      <c r="A106" s="27" t="s">
        <v>1</v>
      </c>
      <c r="B106" s="27" t="s">
        <v>52</v>
      </c>
      <c r="C106" s="27" t="s">
        <v>53</v>
      </c>
      <c r="D106" s="27" t="s">
        <v>121</v>
      </c>
      <c r="E106" s="27" t="s">
        <v>54</v>
      </c>
      <c r="F106" s="27" t="s">
        <v>122</v>
      </c>
      <c r="G106" s="27" t="s">
        <v>121</v>
      </c>
      <c r="H106" s="27" t="s">
        <v>54</v>
      </c>
      <c r="I106" s="27" t="s">
        <v>122</v>
      </c>
      <c r="J106" s="27" t="s">
        <v>121</v>
      </c>
      <c r="K106" s="27" t="s">
        <v>54</v>
      </c>
      <c r="L106" s="27" t="s">
        <v>122</v>
      </c>
      <c r="M106" s="27" t="s">
        <v>121</v>
      </c>
      <c r="N106" s="27" t="s">
        <v>54</v>
      </c>
      <c r="O106" s="27" t="s">
        <v>122</v>
      </c>
      <c r="P106" s="27" t="s">
        <v>121</v>
      </c>
      <c r="Q106" s="27" t="s">
        <v>54</v>
      </c>
      <c r="R106" s="27" t="s">
        <v>122</v>
      </c>
      <c r="S106" s="27" t="s">
        <v>121</v>
      </c>
      <c r="T106" s="27" t="s">
        <v>54</v>
      </c>
      <c r="U106" s="27" t="s">
        <v>122</v>
      </c>
      <c r="V106" s="27" t="s">
        <v>121</v>
      </c>
      <c r="W106" s="27" t="s">
        <v>54</v>
      </c>
      <c r="X106" s="27" t="s">
        <v>122</v>
      </c>
      <c r="Y106" s="27" t="s">
        <v>121</v>
      </c>
      <c r="Z106" s="27" t="s">
        <v>54</v>
      </c>
      <c r="AA106" s="27" t="s">
        <v>122</v>
      </c>
      <c r="AB106" s="27" t="s">
        <v>121</v>
      </c>
      <c r="AC106" s="27" t="s">
        <v>54</v>
      </c>
      <c r="AD106" s="27" t="s">
        <v>122</v>
      </c>
      <c r="AE106" s="27" t="s">
        <v>121</v>
      </c>
      <c r="AF106" s="27" t="s">
        <v>54</v>
      </c>
      <c r="AG106" s="27" t="s">
        <v>122</v>
      </c>
      <c r="AH106" s="27" t="s">
        <v>121</v>
      </c>
      <c r="AI106" s="27" t="s">
        <v>54</v>
      </c>
      <c r="AJ106" s="27" t="s">
        <v>122</v>
      </c>
      <c r="AK106" s="27" t="s">
        <v>121</v>
      </c>
      <c r="AL106" s="27" t="s">
        <v>54</v>
      </c>
      <c r="AM106" s="27" t="s">
        <v>122</v>
      </c>
      <c r="AN106" s="40"/>
      <c r="AO106" s="40"/>
      <c r="AP106" s="40"/>
      <c r="AQ106" s="40"/>
      <c r="AR106" s="40"/>
      <c r="AS106" s="40"/>
      <c r="AT106" s="40"/>
      <c r="AU106" s="40"/>
      <c r="AV106" s="40"/>
      <c r="AW106" s="40"/>
      <c r="AX106" s="40"/>
      <c r="AY106" s="40"/>
    </row>
    <row r="107" spans="1:51" s="38" customFormat="1" ht="24.75" customHeight="1">
      <c r="A107" s="27">
        <v>2020</v>
      </c>
      <c r="B107" s="42">
        <f>AVERAGE((E107+K107+Q107)/3+(H107+N107+T107)/3+W107+Z107+AC107+AF107+AI107+AL107)/8</f>
        <v>33.291666666666671</v>
      </c>
      <c r="C107" s="43"/>
      <c r="D107" s="27">
        <v>2020</v>
      </c>
      <c r="E107" s="167">
        <v>50</v>
      </c>
      <c r="F107" s="170" t="s">
        <v>1850</v>
      </c>
      <c r="G107" s="7">
        <v>2020</v>
      </c>
      <c r="H107" s="44">
        <v>0</v>
      </c>
      <c r="I107" s="23" t="s">
        <v>1851</v>
      </c>
      <c r="J107" s="27">
        <v>2020</v>
      </c>
      <c r="K107" s="85">
        <v>50</v>
      </c>
      <c r="L107" s="246" t="s">
        <v>1852</v>
      </c>
      <c r="M107" s="7">
        <v>2020</v>
      </c>
      <c r="N107" s="84">
        <v>50</v>
      </c>
      <c r="O107" s="86" t="s">
        <v>1853</v>
      </c>
      <c r="P107" s="27">
        <v>2020</v>
      </c>
      <c r="Q107" s="82">
        <v>100</v>
      </c>
      <c r="R107" s="86" t="s">
        <v>1854</v>
      </c>
      <c r="S107" s="7">
        <v>2020</v>
      </c>
      <c r="T107" s="21">
        <v>0</v>
      </c>
      <c r="U107" s="170" t="s">
        <v>1855</v>
      </c>
      <c r="V107" s="7">
        <v>2020</v>
      </c>
      <c r="W107" s="14">
        <v>100</v>
      </c>
      <c r="X107" s="23" t="s">
        <v>1856</v>
      </c>
      <c r="Y107" s="7">
        <v>2020</v>
      </c>
      <c r="Z107" s="14">
        <v>33</v>
      </c>
      <c r="AA107" s="23" t="s">
        <v>1857</v>
      </c>
      <c r="AB107" s="7">
        <v>2020</v>
      </c>
      <c r="AC107" s="21">
        <v>0</v>
      </c>
      <c r="AD107" s="23" t="s">
        <v>1858</v>
      </c>
      <c r="AE107" s="7">
        <v>2020</v>
      </c>
      <c r="AF107" s="14">
        <v>0</v>
      </c>
      <c r="AG107" s="23"/>
      <c r="AH107" s="7">
        <v>2020</v>
      </c>
      <c r="AI107" s="21">
        <v>50</v>
      </c>
      <c r="AJ107" s="23"/>
      <c r="AK107" s="7">
        <v>2020</v>
      </c>
      <c r="AL107" s="21">
        <v>0</v>
      </c>
      <c r="AM107" s="23" t="s">
        <v>1859</v>
      </c>
      <c r="AN107" s="40"/>
      <c r="AO107" s="40"/>
      <c r="AP107" s="40"/>
      <c r="AQ107" s="40"/>
      <c r="AR107" s="40"/>
      <c r="AS107" s="40"/>
      <c r="AT107" s="40"/>
      <c r="AU107" s="40"/>
      <c r="AV107" s="40"/>
      <c r="AW107" s="40"/>
      <c r="AX107" s="40"/>
      <c r="AY107" s="40"/>
    </row>
    <row r="108" spans="1:51" s="38" customFormat="1" ht="24.75" customHeight="1">
      <c r="A108" s="27">
        <v>2021</v>
      </c>
      <c r="B108" s="42">
        <f>AVERAGE((E108+K108+Q108)/3+(H108+N108+T108)/3+W108+Z108+AC108+AF108+AI108+AL108)/8</f>
        <v>33.291666666666671</v>
      </c>
      <c r="C108" s="49"/>
      <c r="D108" s="27">
        <v>2021</v>
      </c>
      <c r="E108" s="167">
        <v>50</v>
      </c>
      <c r="F108" s="23"/>
      <c r="G108" s="7">
        <v>2021</v>
      </c>
      <c r="H108" s="44">
        <v>0</v>
      </c>
      <c r="I108" s="23"/>
      <c r="J108" s="27">
        <v>2021</v>
      </c>
      <c r="K108" s="85">
        <v>50</v>
      </c>
      <c r="L108" s="86" t="s">
        <v>1860</v>
      </c>
      <c r="M108" s="7">
        <v>2021</v>
      </c>
      <c r="N108" s="84">
        <v>50</v>
      </c>
      <c r="O108" s="86" t="s">
        <v>1861</v>
      </c>
      <c r="P108" s="27">
        <v>2021</v>
      </c>
      <c r="Q108" s="82">
        <v>100</v>
      </c>
      <c r="R108" s="86" t="s">
        <v>1862</v>
      </c>
      <c r="S108" s="7">
        <v>2021</v>
      </c>
      <c r="T108" s="21">
        <v>0</v>
      </c>
      <c r="U108" s="23"/>
      <c r="V108" s="7">
        <v>2021</v>
      </c>
      <c r="W108" s="14">
        <v>100</v>
      </c>
      <c r="X108" s="23"/>
      <c r="Y108" s="7">
        <v>2021</v>
      </c>
      <c r="Z108" s="14">
        <v>33</v>
      </c>
      <c r="AA108" s="23" t="s">
        <v>1433</v>
      </c>
      <c r="AB108" s="7">
        <v>2021</v>
      </c>
      <c r="AC108" s="21">
        <v>0</v>
      </c>
      <c r="AD108" s="23"/>
      <c r="AE108" s="7">
        <v>2021</v>
      </c>
      <c r="AF108" s="14">
        <v>0</v>
      </c>
      <c r="AG108" s="23"/>
      <c r="AH108" s="7">
        <v>2021</v>
      </c>
      <c r="AI108" s="21">
        <v>50</v>
      </c>
      <c r="AJ108" s="23"/>
      <c r="AK108" s="7">
        <v>2021</v>
      </c>
      <c r="AL108" s="21">
        <v>0</v>
      </c>
      <c r="AM108" s="23"/>
      <c r="AN108" s="40"/>
      <c r="AO108" s="40"/>
      <c r="AP108" s="40"/>
      <c r="AQ108" s="40"/>
      <c r="AR108" s="40"/>
      <c r="AS108" s="40"/>
      <c r="AT108" s="40"/>
      <c r="AU108" s="40"/>
      <c r="AV108" s="40"/>
      <c r="AW108" s="40"/>
      <c r="AX108" s="40"/>
      <c r="AY108" s="40"/>
    </row>
    <row r="109" spans="1:51" s="38" customFormat="1" ht="24.75" customHeight="1">
      <c r="A109" s="27">
        <v>2022</v>
      </c>
      <c r="B109" s="42">
        <f>AVERAGE((E109+K109+Q109)/3+(H109+N109+T109)/3+W109+Z109+AC109+AF109+AI109+AL109)/8</f>
        <v>33.291666666666671</v>
      </c>
      <c r="C109" s="49"/>
      <c r="D109" s="27">
        <v>2022</v>
      </c>
      <c r="E109" s="167">
        <v>50</v>
      </c>
      <c r="F109" s="23"/>
      <c r="G109" s="27">
        <v>2022</v>
      </c>
      <c r="H109" s="44">
        <v>0</v>
      </c>
      <c r="I109" s="23"/>
      <c r="J109" s="27">
        <v>2022</v>
      </c>
      <c r="K109" s="85">
        <v>50</v>
      </c>
      <c r="L109" s="86"/>
      <c r="M109" s="27">
        <v>2022</v>
      </c>
      <c r="N109" s="84">
        <v>50</v>
      </c>
      <c r="O109" s="86" t="s">
        <v>1861</v>
      </c>
      <c r="P109" s="27">
        <v>2022</v>
      </c>
      <c r="Q109" s="82">
        <v>100</v>
      </c>
      <c r="R109" s="86"/>
      <c r="S109" s="27">
        <v>2022</v>
      </c>
      <c r="T109" s="21">
        <v>0</v>
      </c>
      <c r="U109" s="23"/>
      <c r="V109" s="27">
        <v>2022</v>
      </c>
      <c r="W109" s="14">
        <v>100</v>
      </c>
      <c r="X109" s="23"/>
      <c r="Y109" s="27">
        <v>2022</v>
      </c>
      <c r="Z109" s="14">
        <v>33</v>
      </c>
      <c r="AA109" s="23" t="s">
        <v>1433</v>
      </c>
      <c r="AB109" s="27">
        <v>2022</v>
      </c>
      <c r="AC109" s="21">
        <v>0</v>
      </c>
      <c r="AD109" s="23" t="s">
        <v>1863</v>
      </c>
      <c r="AE109" s="27">
        <v>2022</v>
      </c>
      <c r="AF109" s="14">
        <v>0</v>
      </c>
      <c r="AG109" s="23"/>
      <c r="AH109" s="27">
        <v>2022</v>
      </c>
      <c r="AI109" s="21">
        <v>50</v>
      </c>
      <c r="AJ109" s="23"/>
      <c r="AK109" s="27">
        <v>2022</v>
      </c>
      <c r="AL109" s="21">
        <v>0</v>
      </c>
      <c r="AM109" s="23"/>
      <c r="AN109" s="40"/>
      <c r="AO109" s="40"/>
      <c r="AP109" s="40"/>
      <c r="AQ109" s="40"/>
      <c r="AR109" s="40"/>
      <c r="AS109" s="40"/>
      <c r="AT109" s="40"/>
      <c r="AU109" s="40"/>
      <c r="AV109" s="40"/>
      <c r="AW109" s="40"/>
      <c r="AX109" s="40"/>
      <c r="AY109" s="40"/>
    </row>
    <row r="110" spans="1:51" ht="24" customHeight="1">
      <c r="A110" s="27">
        <v>2023</v>
      </c>
      <c r="B110" s="42">
        <f>AVERAGE((E110+K110+Q110)/3+(H110+N110+T110)/3+W110+Z110+AC110+AF110+AI110+AL110)/8</f>
        <v>33.291666666666671</v>
      </c>
      <c r="C110" s="49"/>
      <c r="D110" s="27">
        <v>2023</v>
      </c>
      <c r="E110" s="167">
        <v>50</v>
      </c>
      <c r="F110" s="23"/>
      <c r="G110" s="27">
        <v>2023</v>
      </c>
      <c r="H110" s="44">
        <v>0</v>
      </c>
      <c r="I110" s="23"/>
      <c r="J110" s="27">
        <v>2023</v>
      </c>
      <c r="K110" s="85">
        <v>50</v>
      </c>
      <c r="L110" s="86"/>
      <c r="M110" s="27">
        <v>2023</v>
      </c>
      <c r="N110" s="84">
        <v>50</v>
      </c>
      <c r="O110" s="86" t="s">
        <v>1861</v>
      </c>
      <c r="P110" s="27">
        <v>2023</v>
      </c>
      <c r="Q110" s="82">
        <v>100</v>
      </c>
      <c r="R110" s="86"/>
      <c r="S110" s="27">
        <v>2023</v>
      </c>
      <c r="T110" s="21">
        <v>0</v>
      </c>
      <c r="U110" s="23" t="s">
        <v>1864</v>
      </c>
      <c r="V110" s="27">
        <v>2023</v>
      </c>
      <c r="W110" s="14">
        <v>100</v>
      </c>
      <c r="X110" s="23"/>
      <c r="Y110" s="27">
        <v>2023</v>
      </c>
      <c r="Z110" s="14">
        <v>33</v>
      </c>
      <c r="AA110" s="23" t="s">
        <v>1433</v>
      </c>
      <c r="AB110" s="27">
        <v>2023</v>
      </c>
      <c r="AC110" s="21">
        <v>0</v>
      </c>
      <c r="AD110" s="23"/>
      <c r="AE110" s="27">
        <v>2023</v>
      </c>
      <c r="AF110" s="14">
        <v>0</v>
      </c>
      <c r="AG110" s="23"/>
      <c r="AH110" s="27">
        <v>2023</v>
      </c>
      <c r="AI110" s="21">
        <v>50</v>
      </c>
      <c r="AJ110" s="23"/>
      <c r="AK110" s="27">
        <v>2023</v>
      </c>
      <c r="AL110" s="21">
        <v>0</v>
      </c>
      <c r="AM110" s="23"/>
    </row>
    <row r="111" spans="1:51" ht="22.5" customHeight="1">
      <c r="A111" s="27">
        <v>2024</v>
      </c>
      <c r="B111" s="42">
        <f>AVERAGE((E111+K111+Q111)/3+(H111+N111+T111)/3+W111+Z111+AC111+AF111+AI111+AL111)/8</f>
        <v>33.291666666666671</v>
      </c>
      <c r="C111" s="49"/>
      <c r="D111" s="27">
        <v>2024</v>
      </c>
      <c r="E111" s="167">
        <v>50</v>
      </c>
      <c r="F111" s="23"/>
      <c r="G111" s="27">
        <v>2024</v>
      </c>
      <c r="H111" s="44">
        <v>0</v>
      </c>
      <c r="I111" s="23"/>
      <c r="J111" s="27">
        <v>2024</v>
      </c>
      <c r="K111" s="85">
        <v>50</v>
      </c>
      <c r="L111" s="86"/>
      <c r="M111" s="27">
        <v>2024</v>
      </c>
      <c r="N111" s="84">
        <v>50</v>
      </c>
      <c r="O111" s="86" t="s">
        <v>1861</v>
      </c>
      <c r="P111" s="27">
        <v>2024</v>
      </c>
      <c r="Q111" s="82">
        <v>100</v>
      </c>
      <c r="R111" s="86" t="s">
        <v>1865</v>
      </c>
      <c r="S111" s="27">
        <v>2024</v>
      </c>
      <c r="T111" s="21">
        <v>0</v>
      </c>
      <c r="U111" s="23"/>
      <c r="V111" s="27">
        <v>2024</v>
      </c>
      <c r="W111" s="14">
        <v>100</v>
      </c>
      <c r="X111" s="23"/>
      <c r="Y111" s="27">
        <v>2024</v>
      </c>
      <c r="Z111" s="14">
        <v>33</v>
      </c>
      <c r="AA111" s="23" t="s">
        <v>1433</v>
      </c>
      <c r="AB111" s="27">
        <v>2024</v>
      </c>
      <c r="AC111" s="21">
        <v>0</v>
      </c>
      <c r="AD111" s="170" t="s">
        <v>1866</v>
      </c>
      <c r="AE111" s="27">
        <v>2024</v>
      </c>
      <c r="AF111" s="14">
        <v>0</v>
      </c>
      <c r="AG111" s="23" t="s">
        <v>1867</v>
      </c>
      <c r="AH111" s="27">
        <v>2024</v>
      </c>
      <c r="AI111" s="21">
        <v>50</v>
      </c>
      <c r="AJ111" s="23" t="s">
        <v>1868</v>
      </c>
      <c r="AK111" s="27">
        <v>2024</v>
      </c>
      <c r="AL111" s="21">
        <v>0</v>
      </c>
      <c r="AM111" s="23"/>
    </row>
  </sheetData>
  <mergeCells count="424">
    <mergeCell ref="A1:D1"/>
    <mergeCell ref="B9:AD9"/>
    <mergeCell ref="B10:C10"/>
    <mergeCell ref="E10:F10"/>
    <mergeCell ref="H10:I10"/>
    <mergeCell ref="K10:L10"/>
    <mergeCell ref="N10:O10"/>
    <mergeCell ref="Q10:R10"/>
    <mergeCell ref="T10:U10"/>
    <mergeCell ref="W10:X10"/>
    <mergeCell ref="Z10:AA10"/>
    <mergeCell ref="AC10:AD10"/>
    <mergeCell ref="E11:F11"/>
    <mergeCell ref="H11:I11"/>
    <mergeCell ref="K11:L11"/>
    <mergeCell ref="N11:O11"/>
    <mergeCell ref="Q11:R11"/>
    <mergeCell ref="T11:U11"/>
    <mergeCell ref="W11:X11"/>
    <mergeCell ref="Z11:AA11"/>
    <mergeCell ref="T12:U12"/>
    <mergeCell ref="W12:X12"/>
    <mergeCell ref="Z12:AA12"/>
    <mergeCell ref="Q14:R14"/>
    <mergeCell ref="T14:U14"/>
    <mergeCell ref="W14:X14"/>
    <mergeCell ref="Z14:AA14"/>
    <mergeCell ref="AC12:AD12"/>
    <mergeCell ref="B13:C13"/>
    <mergeCell ref="E13:F13"/>
    <mergeCell ref="H13:I13"/>
    <mergeCell ref="K13:L13"/>
    <mergeCell ref="N13:O13"/>
    <mergeCell ref="Q13:R13"/>
    <mergeCell ref="B12:C12"/>
    <mergeCell ref="E12:F12"/>
    <mergeCell ref="H12:I12"/>
    <mergeCell ref="K12:L12"/>
    <mergeCell ref="N12:O12"/>
    <mergeCell ref="Q12:R12"/>
    <mergeCell ref="T13:U13"/>
    <mergeCell ref="W13:X13"/>
    <mergeCell ref="Z13:AA13"/>
    <mergeCell ref="AC13:AD13"/>
    <mergeCell ref="AC14:AD14"/>
    <mergeCell ref="B14:C14"/>
    <mergeCell ref="E14:F14"/>
    <mergeCell ref="AR23:AS23"/>
    <mergeCell ref="AU23:AV23"/>
    <mergeCell ref="AX23:AY23"/>
    <mergeCell ref="Q23:R23"/>
    <mergeCell ref="T23:U23"/>
    <mergeCell ref="W23:X23"/>
    <mergeCell ref="Z23:AA23"/>
    <mergeCell ref="AC23:AD23"/>
    <mergeCell ref="AF23:AG23"/>
    <mergeCell ref="H14:I14"/>
    <mergeCell ref="K14:L14"/>
    <mergeCell ref="N14:O14"/>
    <mergeCell ref="Z24:AA24"/>
    <mergeCell ref="AC24:AD24"/>
    <mergeCell ref="AF24:AG24"/>
    <mergeCell ref="AI24:AJ24"/>
    <mergeCell ref="AL24:AM24"/>
    <mergeCell ref="AO24:AP24"/>
    <mergeCell ref="H24:I24"/>
    <mergeCell ref="K24:L24"/>
    <mergeCell ref="N24:O24"/>
    <mergeCell ref="Q24:R24"/>
    <mergeCell ref="T24:U24"/>
    <mergeCell ref="W24:X24"/>
    <mergeCell ref="B22:AY22"/>
    <mergeCell ref="B23:C23"/>
    <mergeCell ref="E23:F23"/>
    <mergeCell ref="H23:I23"/>
    <mergeCell ref="K23:L23"/>
    <mergeCell ref="N23:O23"/>
    <mergeCell ref="AI23:AJ23"/>
    <mergeCell ref="AL23:AM23"/>
    <mergeCell ref="AO23:AP23"/>
    <mergeCell ref="AL25:AM25"/>
    <mergeCell ref="AO25:AP25"/>
    <mergeCell ref="AR25:AS25"/>
    <mergeCell ref="AU25:AV25"/>
    <mergeCell ref="AX25:AY25"/>
    <mergeCell ref="B26:C26"/>
    <mergeCell ref="E26:F26"/>
    <mergeCell ref="H26:I26"/>
    <mergeCell ref="K26:L26"/>
    <mergeCell ref="N26:O26"/>
    <mergeCell ref="T25:U25"/>
    <mergeCell ref="W25:X25"/>
    <mergeCell ref="Z25:AA25"/>
    <mergeCell ref="AC25:AD25"/>
    <mergeCell ref="AF25:AG25"/>
    <mergeCell ref="AI25:AJ25"/>
    <mergeCell ref="B25:C25"/>
    <mergeCell ref="E25:F25"/>
    <mergeCell ref="H25:I25"/>
    <mergeCell ref="K25:L25"/>
    <mergeCell ref="N25:O25"/>
    <mergeCell ref="Q25:R25"/>
    <mergeCell ref="AI26:AJ26"/>
    <mergeCell ref="AL26:AM26"/>
    <mergeCell ref="AO26:AP26"/>
    <mergeCell ref="AR26:AS26"/>
    <mergeCell ref="AU26:AV26"/>
    <mergeCell ref="AX26:AY26"/>
    <mergeCell ref="Q26:R26"/>
    <mergeCell ref="T26:U26"/>
    <mergeCell ref="W26:X26"/>
    <mergeCell ref="Z26:AA26"/>
    <mergeCell ref="AC26:AD26"/>
    <mergeCell ref="AF26:AG26"/>
    <mergeCell ref="AU27:AV27"/>
    <mergeCell ref="AX27:AY27"/>
    <mergeCell ref="B35:AM35"/>
    <mergeCell ref="T27:U27"/>
    <mergeCell ref="W27:X27"/>
    <mergeCell ref="Z27:AA27"/>
    <mergeCell ref="AC27:AD27"/>
    <mergeCell ref="AF27:AG27"/>
    <mergeCell ref="AI27:AJ27"/>
    <mergeCell ref="B27:C27"/>
    <mergeCell ref="E27:F27"/>
    <mergeCell ref="H27:I27"/>
    <mergeCell ref="K27:L27"/>
    <mergeCell ref="N27:O27"/>
    <mergeCell ref="Q27:R27"/>
    <mergeCell ref="B36:C36"/>
    <mergeCell ref="E36:F36"/>
    <mergeCell ref="H36:I36"/>
    <mergeCell ref="K36:L36"/>
    <mergeCell ref="N36:O36"/>
    <mergeCell ref="Q36:R36"/>
    <mergeCell ref="AL27:AM27"/>
    <mergeCell ref="AO27:AP27"/>
    <mergeCell ref="AR27:AS27"/>
    <mergeCell ref="AL36:AM36"/>
    <mergeCell ref="T36:U36"/>
    <mergeCell ref="W36:X36"/>
    <mergeCell ref="Z36:AA36"/>
    <mergeCell ref="AC36:AD36"/>
    <mergeCell ref="AF36:AG36"/>
    <mergeCell ref="AI36:AJ36"/>
    <mergeCell ref="H37:I37"/>
    <mergeCell ref="K37:L37"/>
    <mergeCell ref="N37:O37"/>
    <mergeCell ref="Q37:R37"/>
    <mergeCell ref="T37:U37"/>
    <mergeCell ref="W37:X37"/>
    <mergeCell ref="AC37:AD37"/>
    <mergeCell ref="AI37:AJ37"/>
    <mergeCell ref="AL37:AM37"/>
    <mergeCell ref="AL38:AM38"/>
    <mergeCell ref="B39:C39"/>
    <mergeCell ref="E39:F39"/>
    <mergeCell ref="H39:I39"/>
    <mergeCell ref="K39:L39"/>
    <mergeCell ref="N39:O39"/>
    <mergeCell ref="Q39:R39"/>
    <mergeCell ref="T39:U39"/>
    <mergeCell ref="W39:X39"/>
    <mergeCell ref="Z39:AA39"/>
    <mergeCell ref="T38:U38"/>
    <mergeCell ref="W38:X38"/>
    <mergeCell ref="Z38:AA38"/>
    <mergeCell ref="AC38:AD38"/>
    <mergeCell ref="AF38:AG38"/>
    <mergeCell ref="AI38:AJ38"/>
    <mergeCell ref="B38:C38"/>
    <mergeCell ref="E38:F38"/>
    <mergeCell ref="H38:I38"/>
    <mergeCell ref="K38:L38"/>
    <mergeCell ref="N38:O38"/>
    <mergeCell ref="Q38:R38"/>
    <mergeCell ref="AC39:AD39"/>
    <mergeCell ref="AF39:AG39"/>
    <mergeCell ref="AI39:AJ39"/>
    <mergeCell ref="AL39:AM39"/>
    <mergeCell ref="B40:C40"/>
    <mergeCell ref="E40:F40"/>
    <mergeCell ref="H40:I40"/>
    <mergeCell ref="K40:L40"/>
    <mergeCell ref="N40:O40"/>
    <mergeCell ref="Q40:R40"/>
    <mergeCell ref="AL40:AM40"/>
    <mergeCell ref="Z40:AA40"/>
    <mergeCell ref="AC40:AD40"/>
    <mergeCell ref="AF40:AG40"/>
    <mergeCell ref="AI40:AJ40"/>
    <mergeCell ref="B48:R48"/>
    <mergeCell ref="B49:C49"/>
    <mergeCell ref="E49:F49"/>
    <mergeCell ref="H49:I49"/>
    <mergeCell ref="K49:L49"/>
    <mergeCell ref="N49:O49"/>
    <mergeCell ref="Q49:R49"/>
    <mergeCell ref="T40:U40"/>
    <mergeCell ref="W40:X40"/>
    <mergeCell ref="H50:I50"/>
    <mergeCell ref="K50:L50"/>
    <mergeCell ref="N50:O50"/>
    <mergeCell ref="Q50:R50"/>
    <mergeCell ref="B51:C51"/>
    <mergeCell ref="E51:F51"/>
    <mergeCell ref="H51:I51"/>
    <mergeCell ref="K51:L51"/>
    <mergeCell ref="N51:O51"/>
    <mergeCell ref="Q51:R51"/>
    <mergeCell ref="B53:C53"/>
    <mergeCell ref="E53:F53"/>
    <mergeCell ref="H53:I53"/>
    <mergeCell ref="K53:L53"/>
    <mergeCell ref="N53:O53"/>
    <mergeCell ref="Q53:R53"/>
    <mergeCell ref="B52:C52"/>
    <mergeCell ref="E52:F52"/>
    <mergeCell ref="H52:I52"/>
    <mergeCell ref="K52:L52"/>
    <mergeCell ref="N52:O52"/>
    <mergeCell ref="Q52:R52"/>
    <mergeCell ref="H63:I63"/>
    <mergeCell ref="K63:L63"/>
    <mergeCell ref="N63:O63"/>
    <mergeCell ref="Q63:R63"/>
    <mergeCell ref="T63:U63"/>
    <mergeCell ref="W63:X63"/>
    <mergeCell ref="B61:X61"/>
    <mergeCell ref="B62:C62"/>
    <mergeCell ref="E62:F62"/>
    <mergeCell ref="H62:I62"/>
    <mergeCell ref="K62:L62"/>
    <mergeCell ref="N62:O62"/>
    <mergeCell ref="Q62:R62"/>
    <mergeCell ref="T62:U62"/>
    <mergeCell ref="W62:X62"/>
    <mergeCell ref="T64:U64"/>
    <mergeCell ref="W64:X64"/>
    <mergeCell ref="B65:C65"/>
    <mergeCell ref="E65:F65"/>
    <mergeCell ref="H65:I65"/>
    <mergeCell ref="K65:L65"/>
    <mergeCell ref="N65:O65"/>
    <mergeCell ref="Q65:R65"/>
    <mergeCell ref="T65:U65"/>
    <mergeCell ref="W65:X65"/>
    <mergeCell ref="B64:C64"/>
    <mergeCell ref="E64:F64"/>
    <mergeCell ref="H64:I64"/>
    <mergeCell ref="K64:L64"/>
    <mergeCell ref="N64:O64"/>
    <mergeCell ref="Q64:R64"/>
    <mergeCell ref="T76:U76"/>
    <mergeCell ref="W76:X76"/>
    <mergeCell ref="Z76:AA76"/>
    <mergeCell ref="T77:U77"/>
    <mergeCell ref="W77:X77"/>
    <mergeCell ref="Z77:AA77"/>
    <mergeCell ref="T66:U66"/>
    <mergeCell ref="W66:X66"/>
    <mergeCell ref="B74:AA74"/>
    <mergeCell ref="B75:C75"/>
    <mergeCell ref="E75:F75"/>
    <mergeCell ref="H75:I75"/>
    <mergeCell ref="K75:L75"/>
    <mergeCell ref="N75:O75"/>
    <mergeCell ref="Q75:R75"/>
    <mergeCell ref="T75:U75"/>
    <mergeCell ref="B66:C66"/>
    <mergeCell ref="E66:F66"/>
    <mergeCell ref="H66:I66"/>
    <mergeCell ref="K66:L66"/>
    <mergeCell ref="N66:O66"/>
    <mergeCell ref="Q66:R66"/>
    <mergeCell ref="W75:X75"/>
    <mergeCell ref="Z75:AA75"/>
    <mergeCell ref="B77:C77"/>
    <mergeCell ref="E77:F77"/>
    <mergeCell ref="H77:I77"/>
    <mergeCell ref="K77:L77"/>
    <mergeCell ref="N77:O77"/>
    <mergeCell ref="Q77:R77"/>
    <mergeCell ref="H76:I76"/>
    <mergeCell ref="K76:L76"/>
    <mergeCell ref="N76:O76"/>
    <mergeCell ref="Q76:R76"/>
    <mergeCell ref="W78:X78"/>
    <mergeCell ref="Z78:AA78"/>
    <mergeCell ref="B79:C79"/>
    <mergeCell ref="E79:F79"/>
    <mergeCell ref="H79:I79"/>
    <mergeCell ref="K79:L79"/>
    <mergeCell ref="N79:O79"/>
    <mergeCell ref="Q79:R79"/>
    <mergeCell ref="T79:U79"/>
    <mergeCell ref="W79:X79"/>
    <mergeCell ref="Z79:AA79"/>
    <mergeCell ref="B78:C78"/>
    <mergeCell ref="E78:F78"/>
    <mergeCell ref="H78:I78"/>
    <mergeCell ref="K78:L78"/>
    <mergeCell ref="N78:O78"/>
    <mergeCell ref="Q78:R78"/>
    <mergeCell ref="T78:U78"/>
    <mergeCell ref="B87:AG87"/>
    <mergeCell ref="B88:C88"/>
    <mergeCell ref="E88:F88"/>
    <mergeCell ref="H88:I88"/>
    <mergeCell ref="K88:L88"/>
    <mergeCell ref="N88:O88"/>
    <mergeCell ref="Q88:R88"/>
    <mergeCell ref="T88:U88"/>
    <mergeCell ref="W88:X88"/>
    <mergeCell ref="Z88:AA88"/>
    <mergeCell ref="AC88:AD88"/>
    <mergeCell ref="AF88:AG88"/>
    <mergeCell ref="H89:I89"/>
    <mergeCell ref="K89:L89"/>
    <mergeCell ref="N89:O89"/>
    <mergeCell ref="Q89:R89"/>
    <mergeCell ref="T89:U89"/>
    <mergeCell ref="W89:X89"/>
    <mergeCell ref="Z89:AA89"/>
    <mergeCell ref="AC89:AD89"/>
    <mergeCell ref="AF89:AG89"/>
    <mergeCell ref="AC90:AD90"/>
    <mergeCell ref="AF90:AG90"/>
    <mergeCell ref="B91:C91"/>
    <mergeCell ref="E91:F91"/>
    <mergeCell ref="H91:I91"/>
    <mergeCell ref="K91:L91"/>
    <mergeCell ref="N91:O91"/>
    <mergeCell ref="Q91:R91"/>
    <mergeCell ref="T91:U91"/>
    <mergeCell ref="B90:C90"/>
    <mergeCell ref="E90:F90"/>
    <mergeCell ref="H90:I90"/>
    <mergeCell ref="K90:L90"/>
    <mergeCell ref="N90:O90"/>
    <mergeCell ref="Q90:R90"/>
    <mergeCell ref="T90:U90"/>
    <mergeCell ref="W90:X90"/>
    <mergeCell ref="Z90:AA90"/>
    <mergeCell ref="AF92:AG92"/>
    <mergeCell ref="B100:AM100"/>
    <mergeCell ref="W91:X91"/>
    <mergeCell ref="Z91:AA91"/>
    <mergeCell ref="AC91:AD91"/>
    <mergeCell ref="AF91:AG91"/>
    <mergeCell ref="B92:C92"/>
    <mergeCell ref="E92:F92"/>
    <mergeCell ref="H92:I92"/>
    <mergeCell ref="K92:L92"/>
    <mergeCell ref="N92:O92"/>
    <mergeCell ref="Q92:R92"/>
    <mergeCell ref="E101:F101"/>
    <mergeCell ref="H101:I101"/>
    <mergeCell ref="K101:L101"/>
    <mergeCell ref="N101:O101"/>
    <mergeCell ref="Q101:R101"/>
    <mergeCell ref="T92:U92"/>
    <mergeCell ref="W92:X92"/>
    <mergeCell ref="Z92:AA92"/>
    <mergeCell ref="AC92:AD92"/>
    <mergeCell ref="B103:C103"/>
    <mergeCell ref="E103:F103"/>
    <mergeCell ref="H103:I103"/>
    <mergeCell ref="K103:L103"/>
    <mergeCell ref="N103:O103"/>
    <mergeCell ref="Q103:R103"/>
    <mergeCell ref="T103:U103"/>
    <mergeCell ref="AL101:AM101"/>
    <mergeCell ref="E102:F102"/>
    <mergeCell ref="H102:I102"/>
    <mergeCell ref="K102:L102"/>
    <mergeCell ref="N102:O102"/>
    <mergeCell ref="Q102:R102"/>
    <mergeCell ref="T102:U102"/>
    <mergeCell ref="W102:X102"/>
    <mergeCell ref="Z102:AA102"/>
    <mergeCell ref="AC102:AD102"/>
    <mergeCell ref="T101:U101"/>
    <mergeCell ref="W101:X101"/>
    <mergeCell ref="Z101:AA101"/>
    <mergeCell ref="AC101:AD101"/>
    <mergeCell ref="AF101:AG101"/>
    <mergeCell ref="AI101:AJ101"/>
    <mergeCell ref="B101:C101"/>
    <mergeCell ref="N104:O104"/>
    <mergeCell ref="Q104:R104"/>
    <mergeCell ref="W103:X103"/>
    <mergeCell ref="Z103:AA103"/>
    <mergeCell ref="AC103:AD103"/>
    <mergeCell ref="AF103:AG103"/>
    <mergeCell ref="AI103:AJ103"/>
    <mergeCell ref="AL103:AM103"/>
    <mergeCell ref="AF102:AG102"/>
    <mergeCell ref="AI102:AJ102"/>
    <mergeCell ref="AL102:AM102"/>
    <mergeCell ref="AC105:AD105"/>
    <mergeCell ref="AF105:AG105"/>
    <mergeCell ref="AI105:AJ105"/>
    <mergeCell ref="AL105:AM105"/>
    <mergeCell ref="AL104:AM104"/>
    <mergeCell ref="B105:C105"/>
    <mergeCell ref="E105:F105"/>
    <mergeCell ref="H105:I105"/>
    <mergeCell ref="K105:L105"/>
    <mergeCell ref="N105:O105"/>
    <mergeCell ref="Q105:R105"/>
    <mergeCell ref="T105:U105"/>
    <mergeCell ref="W105:X105"/>
    <mergeCell ref="Z105:AA105"/>
    <mergeCell ref="T104:U104"/>
    <mergeCell ref="W104:X104"/>
    <mergeCell ref="Z104:AA104"/>
    <mergeCell ref="AC104:AD104"/>
    <mergeCell ref="AF104:AG104"/>
    <mergeCell ref="AI104:AJ104"/>
    <mergeCell ref="B104:C104"/>
    <mergeCell ref="E104:F104"/>
    <mergeCell ref="H104:I104"/>
    <mergeCell ref="K104:L104"/>
  </mergeCells>
  <hyperlinks>
    <hyperlink ref="O16" r:id="rId1" xr:uid="{BD58B2B2-A53F-48A9-B74B-9C7D4C27AF73}"/>
  </hyperlinks>
  <pageMargins left="0.70833333333333304" right="0.70833333333333304" top="0.74791666666666701" bottom="0.74791666666666701" header="0.31458333333333299" footer="0.31458333333333299"/>
  <pageSetup paperSize="9" scale="50" orientation="landscap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28</vt:i4>
      </vt:variant>
      <vt:variant>
        <vt:lpstr>Named Ranges</vt:lpstr>
      </vt:variant>
      <vt:variant>
        <vt:i4>28</vt:i4>
      </vt:variant>
    </vt:vector>
  </HeadingPairs>
  <TitlesOfParts>
    <vt:vector size="56" baseType="lpstr">
      <vt:lpstr>AT</vt:lpstr>
      <vt:lpstr>BE</vt:lpstr>
      <vt:lpstr>BG</vt:lpstr>
      <vt:lpstr>CA</vt:lpstr>
      <vt:lpstr>CY</vt:lpstr>
      <vt:lpstr>CZ</vt:lpstr>
      <vt:lpstr>DE</vt:lpstr>
      <vt:lpstr>DK</vt:lpstr>
      <vt:lpstr>EE</vt:lpstr>
      <vt:lpstr>ES</vt:lpstr>
      <vt:lpstr>FI</vt:lpstr>
      <vt:lpstr>FR</vt:lpstr>
      <vt:lpstr>GR</vt:lpstr>
      <vt:lpstr>HR</vt:lpstr>
      <vt:lpstr>HU</vt:lpstr>
      <vt:lpstr>IE</vt:lpstr>
      <vt:lpstr>IT</vt:lpstr>
      <vt:lpstr>LT</vt:lpstr>
      <vt:lpstr>LU</vt:lpstr>
      <vt:lpstr>LV</vt:lpstr>
      <vt:lpstr>MT</vt:lpstr>
      <vt:lpstr>NL</vt:lpstr>
      <vt:lpstr>PL</vt:lpstr>
      <vt:lpstr>PT</vt:lpstr>
      <vt:lpstr>RO</vt:lpstr>
      <vt:lpstr>SK</vt:lpstr>
      <vt:lpstr>SE</vt:lpstr>
      <vt:lpstr>SI</vt:lpstr>
      <vt:lpstr>AT!Print_Area</vt:lpstr>
      <vt:lpstr>BE!Print_Area</vt:lpstr>
      <vt:lpstr>BG!Print_Area</vt:lpstr>
      <vt:lpstr>CA!Print_Area</vt:lpstr>
      <vt:lpstr>CY!Print_Area</vt:lpstr>
      <vt:lpstr>CZ!Print_Area</vt:lpstr>
      <vt:lpstr>DE!Print_Area</vt:lpstr>
      <vt:lpstr>DK!Print_Area</vt:lpstr>
      <vt:lpstr>EE!Print_Area</vt:lpstr>
      <vt:lpstr>ES!Print_Area</vt:lpstr>
      <vt:lpstr>FI!Print_Area</vt:lpstr>
      <vt:lpstr>FR!Print_Area</vt:lpstr>
      <vt:lpstr>GR!Print_Area</vt:lpstr>
      <vt:lpstr>HR!Print_Area</vt:lpstr>
      <vt:lpstr>HU!Print_Area</vt:lpstr>
      <vt:lpstr>IE!Print_Area</vt:lpstr>
      <vt:lpstr>IT!Print_Area</vt:lpstr>
      <vt:lpstr>LT!Print_Area</vt:lpstr>
      <vt:lpstr>LU!Print_Area</vt:lpstr>
      <vt:lpstr>LV!Print_Area</vt:lpstr>
      <vt:lpstr>MT!Print_Area</vt:lpstr>
      <vt:lpstr>NL!Print_Area</vt:lpstr>
      <vt:lpstr>PL!Print_Area</vt:lpstr>
      <vt:lpstr>PT!Print_Area</vt:lpstr>
      <vt:lpstr>RO!Print_Area</vt:lpstr>
      <vt:lpstr>SE!Print_Area</vt:lpstr>
      <vt:lpstr>SI!Print_Area</vt:lpstr>
      <vt:lpstr>SK!Print_Area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Gorgerino</dc:creator>
  <cp:lastModifiedBy>outreach</cp:lastModifiedBy>
  <dcterms:created xsi:type="dcterms:W3CDTF">2015-06-05T18:17:20Z</dcterms:created>
  <dcterms:modified xsi:type="dcterms:W3CDTF">2025-09-23T09:28:15Z</dcterms:modified>
</cp:coreProperties>
</file>